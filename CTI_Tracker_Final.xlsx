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ster Tracking Ledger" sheetId="1" state="visible" r:id="rId1"/>
    <sheet xmlns:r="http://schemas.openxmlformats.org/officeDocument/2006/relationships" name="Blind Scoring Sheet" sheetId="2" state="visible" r:id="rId2"/>
    <sheet xmlns:r="http://schemas.openxmlformats.org/officeDocument/2006/relationships" name="Analysis Dashboard" sheetId="3" state="visible" r:id="rId3"/>
    <sheet xmlns:r="http://schemas.openxmlformats.org/officeDocument/2006/relationships" name="Anonymization Key" sheetId="4" state="visible" r:id="rId4"/>
    <sheet xmlns:r="http://schemas.openxmlformats.org/officeDocument/2006/relationships" name="Score Reconciliation" sheetId="5" state="visible" r:id="rId5"/>
    <sheet xmlns:r="http://schemas.openxmlformats.org/officeDocument/2006/relationships" name="Dashboard Calc" sheetId="6" state="visible" r:id="rId6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0.0"/>
    <numFmt numFmtId="166" formatCode="0.000"/>
    <numFmt numFmtId="167" formatCode="0.0%"/>
    <numFmt numFmtId="168" formatCode="\+0.000;\-0.000;0.000"/>
  </numFmts>
  <fonts count="9">
    <font>
      <name val="Calibri"/>
      <charset val="1"/>
      <family val="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2"/>
    </font>
    <font>
      <name val="Arial"/>
      <charset val="1"/>
      <family val="0"/>
      <sz val="10"/>
    </font>
    <font>
      <name val="Arial"/>
      <charset val="1"/>
      <family val="0"/>
      <sz val="11"/>
    </font>
    <font>
      <name val="Arial"/>
      <charset val="1"/>
      <family val="0"/>
      <b val="1"/>
      <sz val="10"/>
    </font>
    <font>
      <name val="Arial"/>
      <charset val="1"/>
      <family val="0"/>
      <i val="1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4" fillId="2" borderId="1" applyAlignment="1" pivotButton="0" quotePrefix="0" xfId="0">
      <alignment horizontal="center" vertical="center" wrapText="1"/>
    </xf>
    <xf numFmtId="49" fontId="5" fillId="2" borderId="2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left" vertical="center"/>
    </xf>
    <xf numFmtId="1" fontId="5" fillId="2" borderId="3" applyAlignment="1" pivotButton="0" quotePrefix="0" xfId="0">
      <alignment horizontal="left" vertical="center"/>
    </xf>
    <xf numFmtId="164" fontId="5" fillId="2" borderId="3" applyAlignment="1" pivotButton="0" quotePrefix="0" xfId="0">
      <alignment horizontal="left" vertical="center"/>
    </xf>
    <xf numFmtId="165" fontId="5" fillId="2" borderId="3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1" fontId="5" fillId="2" borderId="3" applyAlignment="1" pivotButton="0" quotePrefix="0" xfId="0">
      <alignment horizontal="left" vertical="center" wrapText="1"/>
    </xf>
    <xf numFmtId="1" fontId="5" fillId="2" borderId="3" applyAlignment="1" pivotButton="0" quotePrefix="0" xfId="0">
      <alignment horizontal="center" vertical="bottom"/>
    </xf>
    <xf numFmtId="166" fontId="5" fillId="2" borderId="3" applyAlignment="1" pivotButton="0" quotePrefix="0" xfId="0">
      <alignment horizontal="center" vertical="bottom"/>
    </xf>
    <xf numFmtId="167" fontId="5" fillId="2" borderId="3" applyAlignment="1" pivotButton="0" quotePrefix="0" xfId="0">
      <alignment horizontal="center" vertical="bottom"/>
    </xf>
    <xf numFmtId="0" fontId="0" fillId="2" borderId="1" applyAlignment="1" pivotButton="0" quotePrefix="0" xfId="0">
      <alignment horizontal="general" vertical="bottom"/>
    </xf>
    <xf numFmtId="49" fontId="6" fillId="2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general" vertical="bottom"/>
    </xf>
    <xf numFmtId="1" fontId="5" fillId="2" borderId="3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general" vertical="bottom"/>
    </xf>
    <xf numFmtId="2" fontId="5" fillId="2" borderId="3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left" vertical="center"/>
    </xf>
    <xf numFmtId="167" fontId="5" fillId="2" borderId="3" applyAlignment="1" pivotButton="0" quotePrefix="0" xfId="0">
      <alignment horizontal="center" vertical="center" wrapText="1"/>
    </xf>
    <xf numFmtId="166" fontId="5" fillId="2" borderId="3" applyAlignment="1" pivotButton="0" quotePrefix="0" xfId="0">
      <alignment horizontal="center" vertical="center" wrapText="1"/>
    </xf>
    <xf numFmtId="168" fontId="5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left" vertical="center"/>
    </xf>
    <xf numFmtId="49" fontId="4" fillId="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general" vertical="bottom"/>
    </xf>
    <xf numFmtId="49" fontId="5" fillId="2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general" vertical="bottom"/>
    </xf>
    <xf numFmtId="0" fontId="4" fillId="2" borderId="7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166" fontId="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4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49" fontId="5" fillId="2" borderId="2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49" fontId="5" fillId="2" borderId="3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left" vertical="center"/>
    </xf>
    <xf numFmtId="1" fontId="5" fillId="2" borderId="3" applyAlignment="1" pivotButton="0" quotePrefix="0" xfId="0">
      <alignment horizontal="left" vertical="center"/>
    </xf>
    <xf numFmtId="164" fontId="5" fillId="2" borderId="3" applyAlignment="1" pivotButton="0" quotePrefix="0" xfId="0">
      <alignment horizontal="left" vertical="center"/>
    </xf>
    <xf numFmtId="165" fontId="5" fillId="2" borderId="3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1" fontId="5" fillId="2" borderId="3" applyAlignment="1" pivotButton="0" quotePrefix="0" xfId="0">
      <alignment horizontal="left" vertical="center" wrapText="1"/>
    </xf>
    <xf numFmtId="1" fontId="5" fillId="2" borderId="3" applyAlignment="1" pivotButton="0" quotePrefix="0" xfId="0">
      <alignment horizontal="center" vertical="bottom"/>
    </xf>
    <xf numFmtId="166" fontId="5" fillId="2" borderId="3" applyAlignment="1" pivotButton="0" quotePrefix="0" xfId="0">
      <alignment horizontal="center" vertical="bottom"/>
    </xf>
    <xf numFmtId="167" fontId="5" fillId="2" borderId="3" applyAlignment="1" pivotButton="0" quotePrefix="0" xfId="0">
      <alignment horizontal="center" vertical="bottom"/>
    </xf>
    <xf numFmtId="0" fontId="0" fillId="2" borderId="1" applyAlignment="1" pivotButton="0" quotePrefix="0" xfId="0">
      <alignment horizontal="general" vertical="bottom"/>
    </xf>
    <xf numFmtId="49" fontId="6" fillId="2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general" vertical="bottom"/>
    </xf>
    <xf numFmtId="1" fontId="5" fillId="2" borderId="3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general" vertical="bottom"/>
    </xf>
    <xf numFmtId="2" fontId="5" fillId="2" borderId="3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5" pivotButton="0" quotePrefix="0" xfId="0"/>
    <xf numFmtId="0" fontId="7" fillId="2" borderId="3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left" vertical="center"/>
    </xf>
    <xf numFmtId="167" fontId="5" fillId="2" borderId="3" applyAlignment="1" pivotButton="0" quotePrefix="0" xfId="0">
      <alignment horizontal="center" vertical="center" wrapText="1"/>
    </xf>
    <xf numFmtId="166" fontId="5" fillId="2" borderId="3" applyAlignment="1" pivotButton="0" quotePrefix="0" xfId="0">
      <alignment horizontal="center" vertical="center" wrapText="1"/>
    </xf>
    <xf numFmtId="168" fontId="5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left" vertical="center"/>
    </xf>
    <xf numFmtId="49" fontId="4" fillId="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general" vertical="bottom"/>
    </xf>
    <xf numFmtId="49" fontId="5" fillId="2" borderId="6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general" vertical="bottom"/>
    </xf>
    <xf numFmtId="0" fontId="5" fillId="2" borderId="3" applyAlignment="1" pivotButton="0" quotePrefix="0" xfId="0">
      <alignment horizontal="left" vertical="center"/>
    </xf>
    <xf numFmtId="0" fontId="4" fillId="2" borderId="7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166" fontId="5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100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" activeCellId="0" sqref="N1"/>
    </sheetView>
  </sheetViews>
  <sheetFormatPr baseColWidth="8" defaultColWidth="8.66796875" defaultRowHeight="15" customHeight="0" zeroHeight="0" outlineLevelRow="0"/>
  <cols>
    <col width="30" customWidth="1" style="37" min="1" max="1"/>
    <col width="12" customWidth="1" style="37" min="2" max="2"/>
    <col width="42" customWidth="1" style="37" min="3" max="3"/>
    <col width="10" customWidth="1" style="37" min="4" max="4"/>
    <col width="26" customWidth="1" style="37" min="5" max="5"/>
    <col width="10" customWidth="1" style="37" min="6" max="6"/>
    <col width="24" customWidth="1" style="37" min="7" max="7"/>
    <col width="18" customWidth="1" style="37" min="8" max="8"/>
    <col width="22" customWidth="1" style="37" min="9" max="9"/>
    <col width="26" customWidth="1" style="37" min="10" max="10"/>
    <col width="14" customWidth="1" style="37" min="11" max="11"/>
    <col width="12" customWidth="1" style="37" min="12" max="12"/>
    <col width="16" customWidth="1" style="37" min="13" max="13"/>
    <col width="8.67" customWidth="1" style="37" min="15" max="16381"/>
    <col width="10.16" customWidth="1" style="37" min="16382" max="16383"/>
    <col width="10.16" customWidth="1" style="37" min="16384" max="16384"/>
  </cols>
  <sheetData>
    <row r="1" ht="21.75" customHeight="1" s="38">
      <c r="A1" s="39" t="inlineStr">
        <is>
          <t>MASTER TRACKING LEDGER  |  LLM CTI Executive Report Evaluation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1" t="n"/>
    </row>
    <row r="2" ht="21.75" customHeight="1" s="38">
      <c r="A2" s="42" t="inlineStr">
        <is>
          <t>Researcher: Arcadio Aguilar  |  Advisor: John Hally  |  RPC: Dr. Johannes Ullrich  |  ⚠  SECURED – Keep separate from evaluation workspace  |  Records: R_0001 – R_1000</t>
        </is>
      </c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  <c r="K2" s="43" t="n"/>
      <c r="L2" s="43" t="n"/>
      <c r="M2" s="44" t="n"/>
    </row>
    <row r="3" ht="36" customHeight="1" s="38">
      <c r="A3" s="73" t="inlineStr">
        <is>
          <t>Report_ID</t>
        </is>
      </c>
      <c r="B3" s="73" t="inlineStr">
        <is>
          <t>Random_ID</t>
        </is>
      </c>
      <c r="C3" s="73" t="inlineStr">
        <is>
          <t>Prompt_Strategy</t>
        </is>
      </c>
      <c r="D3" s="73" t="inlineStr">
        <is>
          <t>Scenario_ID</t>
        </is>
      </c>
      <c r="E3" s="73" t="inlineStr">
        <is>
          <t>Incident_Category</t>
        </is>
      </c>
      <c r="F3" s="73" t="inlineStr">
        <is>
          <t>Iteration</t>
        </is>
      </c>
      <c r="G3" s="73" t="inlineStr">
        <is>
          <t>Source_Vendor</t>
        </is>
      </c>
      <c r="H3" s="73" t="inlineStr">
        <is>
          <t>Date_Generated</t>
        </is>
      </c>
      <c r="I3" s="73" t="inlineStr">
        <is>
          <t>Generation_Time_Sec</t>
        </is>
      </c>
      <c r="J3" s="73" t="inlineStr">
        <is>
          <t>Tokens_Per_Second (tok/s)</t>
        </is>
      </c>
      <c r="K3" s="73" t="inlineStr">
        <is>
          <t>Model</t>
        </is>
      </c>
      <c r="L3" s="73" t="inlineStr">
        <is>
          <t>Temperature</t>
        </is>
      </c>
      <c r="M3" s="73" t="inlineStr">
        <is>
          <t>Scoring_Status</t>
        </is>
      </c>
    </row>
    <row r="4" ht="13.5" customHeight="1" s="38">
      <c r="A4" s="46" t="inlineStr">
        <is>
          <t>R_S0_SC01_I01</t>
        </is>
      </c>
      <c r="B4" s="46" t="inlineStr">
        <is>
          <t>R_0667</t>
        </is>
      </c>
      <c r="C4" s="46" t="inlineStr">
        <is>
          <t>Baseline – Zero-Shot (minimal instruction)</t>
        </is>
      </c>
      <c r="D4" s="46" t="inlineStr">
        <is>
          <t>SC01</t>
        </is>
      </c>
      <c r="E4" s="46" t="inlineStr">
        <is>
          <t>Ransomware</t>
        </is>
      </c>
      <c r="F4" s="47" t="n">
        <v>1</v>
      </c>
      <c r="G4" s="46" t="inlineStr">
        <is>
          <t>Gemma3:27b via Ollama</t>
        </is>
      </c>
      <c r="H4" s="48" t="n">
        <v>46152</v>
      </c>
      <c r="I4" s="46" t="inlineStr">
        <is>
          <t>9.079</t>
        </is>
      </c>
      <c r="J4" s="46" t="inlineStr">
        <is>
          <t>62.45</t>
        </is>
      </c>
      <c r="K4" s="46" t="inlineStr">
        <is>
          <t>Gemma3:27b</t>
        </is>
      </c>
      <c r="L4" s="46" t="inlineStr">
        <is>
          <t>0.3</t>
        </is>
      </c>
      <c r="M4" s="73" t="inlineStr">
        <is>
          <t>Complete</t>
        </is>
      </c>
    </row>
    <row r="5" ht="13.5" customHeight="1" s="38">
      <c r="A5" s="46" t="inlineStr">
        <is>
          <t>R_S0_SC01_I02</t>
        </is>
      </c>
      <c r="B5" s="46" t="inlineStr">
        <is>
          <t>R_0573</t>
        </is>
      </c>
      <c r="C5" s="46" t="inlineStr">
        <is>
          <t>Baseline – Zero-Shot (minimal instruction)</t>
        </is>
      </c>
      <c r="D5" s="46" t="inlineStr">
        <is>
          <t>SC01</t>
        </is>
      </c>
      <c r="E5" s="46" t="inlineStr">
        <is>
          <t>Ransomware</t>
        </is>
      </c>
      <c r="F5" s="47" t="n">
        <v>2</v>
      </c>
      <c r="G5" s="46" t="inlineStr">
        <is>
          <t>Gemma3:27b via Ollama</t>
        </is>
      </c>
      <c r="H5" s="48" t="n">
        <v>46152</v>
      </c>
      <c r="I5" s="46" t="inlineStr">
        <is>
          <t>8.371</t>
        </is>
      </c>
      <c r="J5" s="46" t="inlineStr">
        <is>
          <t>67.97</t>
        </is>
      </c>
      <c r="K5" s="46" t="inlineStr">
        <is>
          <t>Gemma3:27b</t>
        </is>
      </c>
      <c r="L5" s="46" t="inlineStr">
        <is>
          <t>0.3</t>
        </is>
      </c>
      <c r="M5" s="73" t="inlineStr">
        <is>
          <t>Complete</t>
        </is>
      </c>
    </row>
    <row r="6" ht="13.5" customHeight="1" s="38">
      <c r="A6" s="46" t="inlineStr">
        <is>
          <t>R_S0_SC01_I03</t>
        </is>
      </c>
      <c r="B6" s="46" t="inlineStr">
        <is>
          <t>R_0732</t>
        </is>
      </c>
      <c r="C6" s="46" t="inlineStr">
        <is>
          <t>Baseline – Zero-Shot (minimal instruction)</t>
        </is>
      </c>
      <c r="D6" s="46" t="inlineStr">
        <is>
          <t>SC01</t>
        </is>
      </c>
      <c r="E6" s="46" t="inlineStr">
        <is>
          <t>Ransomware</t>
        </is>
      </c>
      <c r="F6" s="47" t="n">
        <v>3</v>
      </c>
      <c r="G6" s="46" t="inlineStr">
        <is>
          <t>Gemma3:27b via Ollama</t>
        </is>
      </c>
      <c r="H6" s="48" t="n">
        <v>46152</v>
      </c>
      <c r="I6" s="46" t="inlineStr">
        <is>
          <t>12.223</t>
        </is>
      </c>
      <c r="J6" s="46" t="inlineStr">
        <is>
          <t>67.58</t>
        </is>
      </c>
      <c r="K6" s="46" t="inlineStr">
        <is>
          <t>Gemma3:27b</t>
        </is>
      </c>
      <c r="L6" s="46" t="inlineStr">
        <is>
          <t>0.3</t>
        </is>
      </c>
      <c r="M6" s="73" t="inlineStr">
        <is>
          <t>Complete</t>
        </is>
      </c>
    </row>
    <row r="7" ht="13.5" customHeight="1" s="38">
      <c r="A7" s="46" t="inlineStr">
        <is>
          <t>R_S0_SC01_I04</t>
        </is>
      </c>
      <c r="B7" s="46" t="inlineStr">
        <is>
          <t>R_0335</t>
        </is>
      </c>
      <c r="C7" s="46" t="inlineStr">
        <is>
          <t>Baseline – Zero-Shot (minimal instruction)</t>
        </is>
      </c>
      <c r="D7" s="46" t="inlineStr">
        <is>
          <t>SC01</t>
        </is>
      </c>
      <c r="E7" s="46" t="inlineStr">
        <is>
          <t>Ransomware</t>
        </is>
      </c>
      <c r="F7" s="47" t="n">
        <v>4</v>
      </c>
      <c r="G7" s="46" t="inlineStr">
        <is>
          <t>Gemma3:27b via Ollama</t>
        </is>
      </c>
      <c r="H7" s="48" t="n">
        <v>46152</v>
      </c>
      <c r="I7" s="46" t="inlineStr">
        <is>
          <t>11.759</t>
        </is>
      </c>
      <c r="J7" s="46" t="inlineStr">
        <is>
          <t>66.67</t>
        </is>
      </c>
      <c r="K7" s="46" t="inlineStr">
        <is>
          <t>Gemma3:27b</t>
        </is>
      </c>
      <c r="L7" s="46" t="inlineStr">
        <is>
          <t>0.3</t>
        </is>
      </c>
      <c r="M7" s="73" t="inlineStr">
        <is>
          <t>Complete</t>
        </is>
      </c>
    </row>
    <row r="8" ht="13.5" customHeight="1" s="38">
      <c r="A8" s="46" t="inlineStr">
        <is>
          <t>R_S0_SC01_I05</t>
        </is>
      </c>
      <c r="B8" s="46" t="inlineStr">
        <is>
          <t>R_0733</t>
        </is>
      </c>
      <c r="C8" s="46" t="inlineStr">
        <is>
          <t>Baseline – Zero-Shot (minimal instruction)</t>
        </is>
      </c>
      <c r="D8" s="46" t="inlineStr">
        <is>
          <t>SC01</t>
        </is>
      </c>
      <c r="E8" s="46" t="inlineStr">
        <is>
          <t>Ransomware</t>
        </is>
      </c>
      <c r="F8" s="47" t="n">
        <v>5</v>
      </c>
      <c r="G8" s="46" t="inlineStr">
        <is>
          <t>Gemma3:27b via Ollama</t>
        </is>
      </c>
      <c r="H8" s="48" t="n">
        <v>46152</v>
      </c>
      <c r="I8" s="46" t="inlineStr">
        <is>
          <t>12.856</t>
        </is>
      </c>
      <c r="J8" s="46" t="inlineStr">
        <is>
          <t>65.03</t>
        </is>
      </c>
      <c r="K8" s="46" t="inlineStr">
        <is>
          <t>Gemma3:27b</t>
        </is>
      </c>
      <c r="L8" s="46" t="inlineStr">
        <is>
          <t>0.3</t>
        </is>
      </c>
      <c r="M8" s="73" t="inlineStr">
        <is>
          <t>Complete</t>
        </is>
      </c>
    </row>
    <row r="9" ht="13.5" customHeight="1" s="38">
      <c r="A9" s="46" t="inlineStr">
        <is>
          <t>R_S0_SC01_I06</t>
        </is>
      </c>
      <c r="B9" s="46" t="inlineStr">
        <is>
          <t>R_0502</t>
        </is>
      </c>
      <c r="C9" s="46" t="inlineStr">
        <is>
          <t>Baseline – Zero-Shot (minimal instruction)</t>
        </is>
      </c>
      <c r="D9" s="46" t="inlineStr">
        <is>
          <t>SC01</t>
        </is>
      </c>
      <c r="E9" s="46" t="inlineStr">
        <is>
          <t>Ransomware</t>
        </is>
      </c>
      <c r="F9" s="47" t="n">
        <v>6</v>
      </c>
      <c r="G9" s="46" t="inlineStr">
        <is>
          <t>Gemma3:27b via Ollama</t>
        </is>
      </c>
      <c r="H9" s="48" t="n">
        <v>46152</v>
      </c>
      <c r="I9" s="46" t="inlineStr">
        <is>
          <t>12.476</t>
        </is>
      </c>
      <c r="J9" s="46" t="inlineStr">
        <is>
          <t>66.05</t>
        </is>
      </c>
      <c r="K9" s="46" t="inlineStr">
        <is>
          <t>Gemma3:27b</t>
        </is>
      </c>
      <c r="L9" s="46" t="inlineStr">
        <is>
          <t>0.3</t>
        </is>
      </c>
      <c r="M9" s="73" t="inlineStr">
        <is>
          <t>Complete</t>
        </is>
      </c>
    </row>
    <row r="10" ht="13.5" customHeight="1" s="38">
      <c r="A10" s="46" t="inlineStr">
        <is>
          <t>R_S0_SC01_I07</t>
        </is>
      </c>
      <c r="B10" s="46" t="inlineStr">
        <is>
          <t>R_0638</t>
        </is>
      </c>
      <c r="C10" s="46" t="inlineStr">
        <is>
          <t>Baseline – Zero-Shot (minimal instruction)</t>
        </is>
      </c>
      <c r="D10" s="46" t="inlineStr">
        <is>
          <t>SC01</t>
        </is>
      </c>
      <c r="E10" s="46" t="inlineStr">
        <is>
          <t>Ransomware</t>
        </is>
      </c>
      <c r="F10" s="47" t="n">
        <v>7</v>
      </c>
      <c r="G10" s="46" t="inlineStr">
        <is>
          <t>Gemma3:27b via Ollama</t>
        </is>
      </c>
      <c r="H10" s="48" t="n">
        <v>46152</v>
      </c>
      <c r="I10" s="46" t="inlineStr">
        <is>
          <t>12.823</t>
        </is>
      </c>
      <c r="J10" s="46" t="inlineStr">
        <is>
          <t>66.13</t>
        </is>
      </c>
      <c r="K10" s="46" t="inlineStr">
        <is>
          <t>Gemma3:27b</t>
        </is>
      </c>
      <c r="L10" s="46" t="inlineStr">
        <is>
          <t>0.3</t>
        </is>
      </c>
      <c r="M10" s="73" t="inlineStr">
        <is>
          <t>Complete</t>
        </is>
      </c>
    </row>
    <row r="11" ht="13.5" customHeight="1" s="38">
      <c r="A11" s="46" t="inlineStr">
        <is>
          <t>R_S0_SC01_I08</t>
        </is>
      </c>
      <c r="B11" s="46" t="inlineStr">
        <is>
          <t>R_0636</t>
        </is>
      </c>
      <c r="C11" s="46" t="inlineStr">
        <is>
          <t>Baseline – Zero-Shot (minimal instruction)</t>
        </is>
      </c>
      <c r="D11" s="46" t="inlineStr">
        <is>
          <t>SC01</t>
        </is>
      </c>
      <c r="E11" s="46" t="inlineStr">
        <is>
          <t>Ransomware</t>
        </is>
      </c>
      <c r="F11" s="47" t="n">
        <v>8</v>
      </c>
      <c r="G11" s="46" t="inlineStr">
        <is>
          <t>Gemma3:27b via Ollama</t>
        </is>
      </c>
      <c r="H11" s="48" t="n">
        <v>46152</v>
      </c>
      <c r="I11" s="46" t="inlineStr">
        <is>
          <t>12.096</t>
        </is>
      </c>
      <c r="J11" s="46" t="inlineStr">
        <is>
          <t>65.89</t>
        </is>
      </c>
      <c r="K11" s="46" t="inlineStr">
        <is>
          <t>Gemma3:27b</t>
        </is>
      </c>
      <c r="L11" s="46" t="inlineStr">
        <is>
          <t>0.3</t>
        </is>
      </c>
      <c r="M11" s="73" t="inlineStr">
        <is>
          <t>Complete</t>
        </is>
      </c>
    </row>
    <row r="12" ht="13.5" customHeight="1" s="38">
      <c r="A12" s="46" t="inlineStr">
        <is>
          <t>R_S0_SC01_I09</t>
        </is>
      </c>
      <c r="B12" s="46" t="inlineStr">
        <is>
          <t>R_0054</t>
        </is>
      </c>
      <c r="C12" s="46" t="inlineStr">
        <is>
          <t>Baseline – Zero-Shot (minimal instruction)</t>
        </is>
      </c>
      <c r="D12" s="46" t="inlineStr">
        <is>
          <t>SC01</t>
        </is>
      </c>
      <c r="E12" s="46" t="inlineStr">
        <is>
          <t>Ransomware</t>
        </is>
      </c>
      <c r="F12" s="47" t="n">
        <v>9</v>
      </c>
      <c r="G12" s="46" t="inlineStr">
        <is>
          <t>Gemma3:27b via Ollama</t>
        </is>
      </c>
      <c r="H12" s="48" t="n">
        <v>46152</v>
      </c>
      <c r="I12" s="46" t="inlineStr">
        <is>
          <t>11.648</t>
        </is>
      </c>
      <c r="J12" s="46" t="inlineStr">
        <is>
          <t>66.10</t>
        </is>
      </c>
      <c r="K12" s="46" t="inlineStr">
        <is>
          <t>Gemma3:27b</t>
        </is>
      </c>
      <c r="L12" s="46" t="inlineStr">
        <is>
          <t>0.3</t>
        </is>
      </c>
      <c r="M12" s="73" t="inlineStr">
        <is>
          <t>Complete</t>
        </is>
      </c>
    </row>
    <row r="13" ht="13.5" customHeight="1" s="38">
      <c r="A13" s="46" t="inlineStr">
        <is>
          <t>R_S0_SC01_I10</t>
        </is>
      </c>
      <c r="B13" s="46" t="inlineStr">
        <is>
          <t>R_0834</t>
        </is>
      </c>
      <c r="C13" s="46" t="inlineStr">
        <is>
          <t>Baseline – Zero-Shot (minimal instruction)</t>
        </is>
      </c>
      <c r="D13" s="46" t="inlineStr">
        <is>
          <t>SC01</t>
        </is>
      </c>
      <c r="E13" s="46" t="inlineStr">
        <is>
          <t>Ransomware</t>
        </is>
      </c>
      <c r="F13" s="47" t="n">
        <v>10</v>
      </c>
      <c r="G13" s="46" t="inlineStr">
        <is>
          <t>Gemma3:27b via Ollama</t>
        </is>
      </c>
      <c r="H13" s="48" t="n">
        <v>46152</v>
      </c>
      <c r="I13" s="46" t="inlineStr">
        <is>
          <t>12.940</t>
        </is>
      </c>
      <c r="J13" s="46" t="inlineStr">
        <is>
          <t>66.38</t>
        </is>
      </c>
      <c r="K13" s="46" t="inlineStr">
        <is>
          <t>Gemma3:27b</t>
        </is>
      </c>
      <c r="L13" s="46" t="inlineStr">
        <is>
          <t>0.3</t>
        </is>
      </c>
      <c r="M13" s="73" t="inlineStr">
        <is>
          <t>Complete</t>
        </is>
      </c>
    </row>
    <row r="14" ht="13.5" customHeight="1" s="38">
      <c r="A14" s="46" t="inlineStr">
        <is>
          <t>R_S0_SC02_I01</t>
        </is>
      </c>
      <c r="B14" s="46" t="inlineStr">
        <is>
          <t>R_0720</t>
        </is>
      </c>
      <c r="C14" s="46" t="inlineStr">
        <is>
          <t>Baseline – Zero-Shot (minimal instruction)</t>
        </is>
      </c>
      <c r="D14" s="46" t="inlineStr">
        <is>
          <t>SC02</t>
        </is>
      </c>
      <c r="E14" s="46" t="inlineStr">
        <is>
          <t>Ransomware</t>
        </is>
      </c>
      <c r="F14" s="47" t="n">
        <v>1</v>
      </c>
      <c r="G14" s="46" t="inlineStr">
        <is>
          <t>Gemma3:27b via Ollama</t>
        </is>
      </c>
      <c r="H14" s="48" t="n">
        <v>46152</v>
      </c>
      <c r="I14" s="46" t="inlineStr">
        <is>
          <t>13.571</t>
        </is>
      </c>
      <c r="J14" s="46" t="inlineStr">
        <is>
          <t>65.95</t>
        </is>
      </c>
      <c r="K14" s="46" t="inlineStr">
        <is>
          <t>Gemma3:27b</t>
        </is>
      </c>
      <c r="L14" s="46" t="inlineStr">
        <is>
          <t>0.3</t>
        </is>
      </c>
      <c r="M14" s="73" t="inlineStr">
        <is>
          <t>Complete</t>
        </is>
      </c>
    </row>
    <row r="15" ht="13.5" customHeight="1" s="38">
      <c r="A15" s="46" t="inlineStr">
        <is>
          <t>R_S0_SC02_I02</t>
        </is>
      </c>
      <c r="B15" s="46" t="inlineStr">
        <is>
          <t>R_0534</t>
        </is>
      </c>
      <c r="C15" s="46" t="inlineStr">
        <is>
          <t>Baseline – Zero-Shot (minimal instruction)</t>
        </is>
      </c>
      <c r="D15" s="46" t="inlineStr">
        <is>
          <t>SC02</t>
        </is>
      </c>
      <c r="E15" s="46" t="inlineStr">
        <is>
          <t>Ransomware</t>
        </is>
      </c>
      <c r="F15" s="47" t="n">
        <v>2</v>
      </c>
      <c r="G15" s="46" t="inlineStr">
        <is>
          <t>Gemma3:27b via Ollama</t>
        </is>
      </c>
      <c r="H15" s="48" t="n">
        <v>46152</v>
      </c>
      <c r="I15" s="46" t="inlineStr">
        <is>
          <t>11.953</t>
        </is>
      </c>
      <c r="J15" s="46" t="inlineStr">
        <is>
          <t>66.01</t>
        </is>
      </c>
      <c r="K15" s="46" t="inlineStr">
        <is>
          <t>Gemma3:27b</t>
        </is>
      </c>
      <c r="L15" s="46" t="inlineStr">
        <is>
          <t>0.3</t>
        </is>
      </c>
      <c r="M15" s="73" t="inlineStr">
        <is>
          <t>Complete</t>
        </is>
      </c>
    </row>
    <row r="16" ht="13.5" customHeight="1" s="38">
      <c r="A16" s="46" t="inlineStr">
        <is>
          <t>R_S0_SC02_I03</t>
        </is>
      </c>
      <c r="B16" s="46" t="inlineStr">
        <is>
          <t>R_0555</t>
        </is>
      </c>
      <c r="C16" s="46" t="inlineStr">
        <is>
          <t>Baseline – Zero-Shot (minimal instruction)</t>
        </is>
      </c>
      <c r="D16" s="46" t="inlineStr">
        <is>
          <t>SC02</t>
        </is>
      </c>
      <c r="E16" s="46" t="inlineStr">
        <is>
          <t>Ransomware</t>
        </is>
      </c>
      <c r="F16" s="47" t="n">
        <v>3</v>
      </c>
      <c r="G16" s="46" t="inlineStr">
        <is>
          <t>Gemma3:27b via Ollama</t>
        </is>
      </c>
      <c r="H16" s="48" t="n">
        <v>46152</v>
      </c>
      <c r="I16" s="46" t="inlineStr">
        <is>
          <t>14.408</t>
        </is>
      </c>
      <c r="J16" s="46" t="inlineStr">
        <is>
          <t>66.14</t>
        </is>
      </c>
      <c r="K16" s="46" t="inlineStr">
        <is>
          <t>Gemma3:27b</t>
        </is>
      </c>
      <c r="L16" s="46" t="inlineStr">
        <is>
          <t>0.3</t>
        </is>
      </c>
      <c r="M16" s="73" t="inlineStr">
        <is>
          <t>Complete</t>
        </is>
      </c>
    </row>
    <row r="17" ht="13.5" customHeight="1" s="38">
      <c r="A17" s="46" t="inlineStr">
        <is>
          <t>R_S0_SC02_I04</t>
        </is>
      </c>
      <c r="B17" s="46" t="inlineStr">
        <is>
          <t>R_0630</t>
        </is>
      </c>
      <c r="C17" s="46" t="inlineStr">
        <is>
          <t>Baseline – Zero-Shot (minimal instruction)</t>
        </is>
      </c>
      <c r="D17" s="46" t="inlineStr">
        <is>
          <t>SC02</t>
        </is>
      </c>
      <c r="E17" s="46" t="inlineStr">
        <is>
          <t>Ransomware</t>
        </is>
      </c>
      <c r="F17" s="47" t="n">
        <v>4</v>
      </c>
      <c r="G17" s="46" t="inlineStr">
        <is>
          <t>Gemma3:27b via Ollama</t>
        </is>
      </c>
      <c r="H17" s="48" t="n">
        <v>46152</v>
      </c>
      <c r="I17" s="46" t="inlineStr">
        <is>
          <t>15.766</t>
        </is>
      </c>
      <c r="J17" s="46" t="inlineStr">
        <is>
          <t>66.03</t>
        </is>
      </c>
      <c r="K17" s="46" t="inlineStr">
        <is>
          <t>Gemma3:27b</t>
        </is>
      </c>
      <c r="L17" s="46" t="inlineStr">
        <is>
          <t>0.3</t>
        </is>
      </c>
      <c r="M17" s="73" t="inlineStr">
        <is>
          <t>Complete</t>
        </is>
      </c>
    </row>
    <row r="18" ht="13.5" customHeight="1" s="38">
      <c r="A18" s="46" t="inlineStr">
        <is>
          <t>R_S0_SC02_I05</t>
        </is>
      </c>
      <c r="B18" s="46" t="inlineStr">
        <is>
          <t>R_0528</t>
        </is>
      </c>
      <c r="C18" s="46" t="inlineStr">
        <is>
          <t>Baseline – Zero-Shot (minimal instruction)</t>
        </is>
      </c>
      <c r="D18" s="46" t="inlineStr">
        <is>
          <t>SC02</t>
        </is>
      </c>
      <c r="E18" s="46" t="inlineStr">
        <is>
          <t>Ransomware</t>
        </is>
      </c>
      <c r="F18" s="47" t="n">
        <v>5</v>
      </c>
      <c r="G18" s="46" t="inlineStr">
        <is>
          <t>Gemma3:27b via Ollama</t>
        </is>
      </c>
      <c r="H18" s="48" t="n">
        <v>46152</v>
      </c>
      <c r="I18" s="46" t="inlineStr">
        <is>
          <t>14.955</t>
        </is>
      </c>
      <c r="J18" s="46" t="inlineStr">
        <is>
          <t>66.40</t>
        </is>
      </c>
      <c r="K18" s="46" t="inlineStr">
        <is>
          <t>Gemma3:27b</t>
        </is>
      </c>
      <c r="L18" s="46" t="inlineStr">
        <is>
          <t>0.3</t>
        </is>
      </c>
      <c r="M18" s="73" t="inlineStr">
        <is>
          <t>Complete</t>
        </is>
      </c>
    </row>
    <row r="19" ht="13.5" customHeight="1" s="38">
      <c r="A19" s="46" t="inlineStr">
        <is>
          <t>R_S0_SC02_I06</t>
        </is>
      </c>
      <c r="B19" s="46" t="inlineStr">
        <is>
          <t>R_0602</t>
        </is>
      </c>
      <c r="C19" s="46" t="inlineStr">
        <is>
          <t>Baseline – Zero-Shot (minimal instruction)</t>
        </is>
      </c>
      <c r="D19" s="46" t="inlineStr">
        <is>
          <t>SC02</t>
        </is>
      </c>
      <c r="E19" s="46" t="inlineStr">
        <is>
          <t>Ransomware</t>
        </is>
      </c>
      <c r="F19" s="47" t="n">
        <v>6</v>
      </c>
      <c r="G19" s="46" t="inlineStr">
        <is>
          <t>Gemma3:27b via Ollama</t>
        </is>
      </c>
      <c r="H19" s="48" t="n">
        <v>46152</v>
      </c>
      <c r="I19" s="46" t="inlineStr">
        <is>
          <t>13.114</t>
        </is>
      </c>
      <c r="J19" s="46" t="inlineStr">
        <is>
          <t>66.57</t>
        </is>
      </c>
      <c r="K19" s="46" t="inlineStr">
        <is>
          <t>Gemma3:27b</t>
        </is>
      </c>
      <c r="L19" s="46" t="inlineStr">
        <is>
          <t>0.3</t>
        </is>
      </c>
      <c r="M19" s="73" t="inlineStr">
        <is>
          <t>Complete</t>
        </is>
      </c>
    </row>
    <row r="20" ht="13.5" customHeight="1" s="38">
      <c r="A20" s="46" t="inlineStr">
        <is>
          <t>R_S0_SC02_I07</t>
        </is>
      </c>
      <c r="B20" s="46" t="inlineStr">
        <is>
          <t>R_0086</t>
        </is>
      </c>
      <c r="C20" s="46" t="inlineStr">
        <is>
          <t>Baseline – Zero-Shot (minimal instruction)</t>
        </is>
      </c>
      <c r="D20" s="46" t="inlineStr">
        <is>
          <t>SC02</t>
        </is>
      </c>
      <c r="E20" s="46" t="inlineStr">
        <is>
          <t>Ransomware</t>
        </is>
      </c>
      <c r="F20" s="47" t="n">
        <v>7</v>
      </c>
      <c r="G20" s="46" t="inlineStr">
        <is>
          <t>Gemma3:27b via Ollama</t>
        </is>
      </c>
      <c r="H20" s="48" t="n">
        <v>46152</v>
      </c>
      <c r="I20" s="46" t="inlineStr">
        <is>
          <t>13.733</t>
        </is>
      </c>
      <c r="J20" s="46" t="inlineStr">
        <is>
          <t>66.48</t>
        </is>
      </c>
      <c r="K20" s="46" t="inlineStr">
        <is>
          <t>Gemma3:27b</t>
        </is>
      </c>
      <c r="L20" s="46" t="inlineStr">
        <is>
          <t>0.3</t>
        </is>
      </c>
      <c r="M20" s="73" t="inlineStr">
        <is>
          <t>Complete</t>
        </is>
      </c>
    </row>
    <row r="21" ht="13.5" customHeight="1" s="38">
      <c r="A21" s="46" t="inlineStr">
        <is>
          <t>R_S0_SC02_I08</t>
        </is>
      </c>
      <c r="B21" s="46" t="inlineStr">
        <is>
          <t>R_0117</t>
        </is>
      </c>
      <c r="C21" s="46" t="inlineStr">
        <is>
          <t>Baseline – Zero-Shot (minimal instruction)</t>
        </is>
      </c>
      <c r="D21" s="46" t="inlineStr">
        <is>
          <t>SC02</t>
        </is>
      </c>
      <c r="E21" s="46" t="inlineStr">
        <is>
          <t>Ransomware</t>
        </is>
      </c>
      <c r="F21" s="47" t="n">
        <v>8</v>
      </c>
      <c r="G21" s="46" t="inlineStr">
        <is>
          <t>Gemma3:27b via Ollama</t>
        </is>
      </c>
      <c r="H21" s="48" t="n">
        <v>46152</v>
      </c>
      <c r="I21" s="46" t="inlineStr">
        <is>
          <t>14.030</t>
        </is>
      </c>
      <c r="J21" s="46" t="inlineStr">
        <is>
          <t>66.43</t>
        </is>
      </c>
      <c r="K21" s="46" t="inlineStr">
        <is>
          <t>Gemma3:27b</t>
        </is>
      </c>
      <c r="L21" s="46" t="inlineStr">
        <is>
          <t>0.3</t>
        </is>
      </c>
      <c r="M21" s="73" t="inlineStr">
        <is>
          <t>Complete</t>
        </is>
      </c>
    </row>
    <row r="22" ht="13.5" customHeight="1" s="38">
      <c r="A22" s="46" t="inlineStr">
        <is>
          <t>R_S0_SC02_I09</t>
        </is>
      </c>
      <c r="B22" s="46" t="inlineStr">
        <is>
          <t>R_0794</t>
        </is>
      </c>
      <c r="C22" s="46" t="inlineStr">
        <is>
          <t>Baseline – Zero-Shot (minimal instruction)</t>
        </is>
      </c>
      <c r="D22" s="46" t="inlineStr">
        <is>
          <t>SC02</t>
        </is>
      </c>
      <c r="E22" s="46" t="inlineStr">
        <is>
          <t>Ransomware</t>
        </is>
      </c>
      <c r="F22" s="47" t="n">
        <v>9</v>
      </c>
      <c r="G22" s="46" t="inlineStr">
        <is>
          <t>Gemma3:27b via Ollama</t>
        </is>
      </c>
      <c r="H22" s="48" t="n">
        <v>46152</v>
      </c>
      <c r="I22" s="46" t="inlineStr">
        <is>
          <t>14.234</t>
        </is>
      </c>
      <c r="J22" s="46" t="inlineStr">
        <is>
          <t>66.53</t>
        </is>
      </c>
      <c r="K22" s="46" t="inlineStr">
        <is>
          <t>Gemma3:27b</t>
        </is>
      </c>
      <c r="L22" s="46" t="inlineStr">
        <is>
          <t>0.3</t>
        </is>
      </c>
      <c r="M22" s="73" t="inlineStr">
        <is>
          <t>Complete</t>
        </is>
      </c>
    </row>
    <row r="23" ht="13.5" customHeight="1" s="38">
      <c r="A23" s="46" t="inlineStr">
        <is>
          <t>R_S0_SC02_I10</t>
        </is>
      </c>
      <c r="B23" s="46" t="inlineStr">
        <is>
          <t>R_0282</t>
        </is>
      </c>
      <c r="C23" s="46" t="inlineStr">
        <is>
          <t>Baseline – Zero-Shot (minimal instruction)</t>
        </is>
      </c>
      <c r="D23" s="46" t="inlineStr">
        <is>
          <t>SC02</t>
        </is>
      </c>
      <c r="E23" s="46" t="inlineStr">
        <is>
          <t>Ransomware</t>
        </is>
      </c>
      <c r="F23" s="47" t="n">
        <v>10</v>
      </c>
      <c r="G23" s="46" t="inlineStr">
        <is>
          <t>Gemma3:27b via Ollama</t>
        </is>
      </c>
      <c r="H23" s="48" t="n">
        <v>46152</v>
      </c>
      <c r="I23" s="46" t="inlineStr">
        <is>
          <t>13.863</t>
        </is>
      </c>
      <c r="J23" s="46" t="inlineStr">
        <is>
          <t>66.51</t>
        </is>
      </c>
      <c r="K23" s="46" t="inlineStr">
        <is>
          <t>Gemma3:27b</t>
        </is>
      </c>
      <c r="L23" s="46" t="inlineStr">
        <is>
          <t>0.3</t>
        </is>
      </c>
      <c r="M23" s="73" t="inlineStr">
        <is>
          <t>Complete</t>
        </is>
      </c>
    </row>
    <row r="24" ht="13.5" customHeight="1" s="38">
      <c r="A24" s="46" t="inlineStr">
        <is>
          <t>R_S0_SC03_I01</t>
        </is>
      </c>
      <c r="B24" s="46" t="inlineStr">
        <is>
          <t>R_0886</t>
        </is>
      </c>
      <c r="C24" s="46" t="inlineStr">
        <is>
          <t>Baseline – Zero-Shot (minimal instruction)</t>
        </is>
      </c>
      <c r="D24" s="46" t="inlineStr">
        <is>
          <t>SC03</t>
        </is>
      </c>
      <c r="E24" s="46" t="inlineStr">
        <is>
          <t>Ransomware</t>
        </is>
      </c>
      <c r="F24" s="47" t="n">
        <v>1</v>
      </c>
      <c r="G24" s="46" t="inlineStr">
        <is>
          <t>Gemma3:27b via Ollama</t>
        </is>
      </c>
      <c r="H24" s="48" t="n">
        <v>46152</v>
      </c>
      <c r="I24" s="46" t="inlineStr">
        <is>
          <t>13.451</t>
        </is>
      </c>
      <c r="J24" s="46" t="inlineStr">
        <is>
          <t>66.09</t>
        </is>
      </c>
      <c r="K24" s="46" t="inlineStr">
        <is>
          <t>Gemma3:27b</t>
        </is>
      </c>
      <c r="L24" s="46" t="inlineStr">
        <is>
          <t>0.3</t>
        </is>
      </c>
      <c r="M24" s="73" t="inlineStr">
        <is>
          <t>Complete</t>
        </is>
      </c>
    </row>
    <row r="25" ht="13.5" customHeight="1" s="38">
      <c r="A25" s="46" t="inlineStr">
        <is>
          <t>R_S0_SC03_I02</t>
        </is>
      </c>
      <c r="B25" s="46" t="inlineStr">
        <is>
          <t>R_0500</t>
        </is>
      </c>
      <c r="C25" s="46" t="inlineStr">
        <is>
          <t>Baseline – Zero-Shot (minimal instruction)</t>
        </is>
      </c>
      <c r="D25" s="46" t="inlineStr">
        <is>
          <t>SC03</t>
        </is>
      </c>
      <c r="E25" s="46" t="inlineStr">
        <is>
          <t>Ransomware</t>
        </is>
      </c>
      <c r="F25" s="47" t="n">
        <v>2</v>
      </c>
      <c r="G25" s="46" t="inlineStr">
        <is>
          <t>Gemma3:27b via Ollama</t>
        </is>
      </c>
      <c r="H25" s="48" t="n">
        <v>46152</v>
      </c>
      <c r="I25" s="46" t="inlineStr">
        <is>
          <t>11.444</t>
        </is>
      </c>
      <c r="J25" s="46" t="inlineStr">
        <is>
          <t>66.32</t>
        </is>
      </c>
      <c r="K25" s="46" t="inlineStr">
        <is>
          <t>Gemma3:27b</t>
        </is>
      </c>
      <c r="L25" s="46" t="inlineStr">
        <is>
          <t>0.3</t>
        </is>
      </c>
      <c r="M25" s="73" t="inlineStr">
        <is>
          <t>Complete</t>
        </is>
      </c>
    </row>
    <row r="26" ht="13.5" customHeight="1" s="38">
      <c r="A26" s="46" t="inlineStr">
        <is>
          <t>R_S0_SC03_I03</t>
        </is>
      </c>
      <c r="B26" s="46" t="inlineStr">
        <is>
          <t>R_0906</t>
        </is>
      </c>
      <c r="C26" s="46" t="inlineStr">
        <is>
          <t>Baseline – Zero-Shot (minimal instruction)</t>
        </is>
      </c>
      <c r="D26" s="46" t="inlineStr">
        <is>
          <t>SC03</t>
        </is>
      </c>
      <c r="E26" s="46" t="inlineStr">
        <is>
          <t>Ransomware</t>
        </is>
      </c>
      <c r="F26" s="47" t="n">
        <v>3</v>
      </c>
      <c r="G26" s="46" t="inlineStr">
        <is>
          <t>Gemma3:27b via Ollama</t>
        </is>
      </c>
      <c r="H26" s="48" t="n">
        <v>46152</v>
      </c>
      <c r="I26" s="46" t="inlineStr">
        <is>
          <t>14.808</t>
        </is>
      </c>
      <c r="J26" s="46" t="inlineStr">
        <is>
          <t>66.38</t>
        </is>
      </c>
      <c r="K26" s="46" t="inlineStr">
        <is>
          <t>Gemma3:27b</t>
        </is>
      </c>
      <c r="L26" s="46" t="inlineStr">
        <is>
          <t>0.3</t>
        </is>
      </c>
      <c r="M26" s="73" t="inlineStr">
        <is>
          <t>Complete</t>
        </is>
      </c>
    </row>
    <row r="27" ht="13.5" customHeight="1" s="38">
      <c r="A27" s="46" t="inlineStr">
        <is>
          <t>R_S0_SC03_I04</t>
        </is>
      </c>
      <c r="B27" s="46" t="inlineStr">
        <is>
          <t>R_0252</t>
        </is>
      </c>
      <c r="C27" s="46" t="inlineStr">
        <is>
          <t>Baseline – Zero-Shot (minimal instruction)</t>
        </is>
      </c>
      <c r="D27" s="46" t="inlineStr">
        <is>
          <t>SC03</t>
        </is>
      </c>
      <c r="E27" s="46" t="inlineStr">
        <is>
          <t>Ransomware</t>
        </is>
      </c>
      <c r="F27" s="47" t="n">
        <v>4</v>
      </c>
      <c r="G27" s="46" t="inlineStr">
        <is>
          <t>Gemma3:27b via Ollama</t>
        </is>
      </c>
      <c r="H27" s="48" t="n">
        <v>46152</v>
      </c>
      <c r="I27" s="46" t="inlineStr">
        <is>
          <t>13.848</t>
        </is>
      </c>
      <c r="J27" s="46" t="inlineStr">
        <is>
          <t>63.98</t>
        </is>
      </c>
      <c r="K27" s="46" t="inlineStr">
        <is>
          <t>Gemma3:27b</t>
        </is>
      </c>
      <c r="L27" s="46" t="inlineStr">
        <is>
          <t>0.3</t>
        </is>
      </c>
      <c r="M27" s="73" t="inlineStr">
        <is>
          <t>Complete</t>
        </is>
      </c>
    </row>
    <row r="28" ht="13.5" customHeight="1" s="38">
      <c r="A28" s="46" t="inlineStr">
        <is>
          <t>R_S0_SC03_I05</t>
        </is>
      </c>
      <c r="B28" s="46" t="inlineStr">
        <is>
          <t>R_0050</t>
        </is>
      </c>
      <c r="C28" s="46" t="inlineStr">
        <is>
          <t>Baseline – Zero-Shot (minimal instruction)</t>
        </is>
      </c>
      <c r="D28" s="46" t="inlineStr">
        <is>
          <t>SC03</t>
        </is>
      </c>
      <c r="E28" s="46" t="inlineStr">
        <is>
          <t>Ransomware</t>
        </is>
      </c>
      <c r="F28" s="47" t="n">
        <v>5</v>
      </c>
      <c r="G28" s="46" t="inlineStr">
        <is>
          <t>Gemma3:27b via Ollama</t>
        </is>
      </c>
      <c r="H28" s="48" t="n">
        <v>46152</v>
      </c>
      <c r="I28" s="46" t="inlineStr">
        <is>
          <t>14.956</t>
        </is>
      </c>
      <c r="J28" s="46" t="inlineStr">
        <is>
          <t>64.06</t>
        </is>
      </c>
      <c r="K28" s="46" t="inlineStr">
        <is>
          <t>Gemma3:27b</t>
        </is>
      </c>
      <c r="L28" s="46" t="inlineStr">
        <is>
          <t>0.3</t>
        </is>
      </c>
      <c r="M28" s="73" t="inlineStr">
        <is>
          <t>Complete</t>
        </is>
      </c>
    </row>
    <row r="29" ht="13.5" customHeight="1" s="38">
      <c r="A29" s="46" t="inlineStr">
        <is>
          <t>R_S0_SC03_I06</t>
        </is>
      </c>
      <c r="B29" s="46" t="inlineStr">
        <is>
          <t>R_0065</t>
        </is>
      </c>
      <c r="C29" s="46" t="inlineStr">
        <is>
          <t>Baseline – Zero-Shot (minimal instruction)</t>
        </is>
      </c>
      <c r="D29" s="46" t="inlineStr">
        <is>
          <t>SC03</t>
        </is>
      </c>
      <c r="E29" s="46" t="inlineStr">
        <is>
          <t>Ransomware</t>
        </is>
      </c>
      <c r="F29" s="47" t="n">
        <v>6</v>
      </c>
      <c r="G29" s="46" t="inlineStr">
        <is>
          <t>Gemma3:27b via Ollama</t>
        </is>
      </c>
      <c r="H29" s="48" t="n">
        <v>46152</v>
      </c>
      <c r="I29" s="46" t="inlineStr">
        <is>
          <t>14.312</t>
        </is>
      </c>
      <c r="J29" s="46" t="inlineStr">
        <is>
          <t>63.65</t>
        </is>
      </c>
      <c r="K29" s="46" t="inlineStr">
        <is>
          <t>Gemma3:27b</t>
        </is>
      </c>
      <c r="L29" s="46" t="inlineStr">
        <is>
          <t>0.3</t>
        </is>
      </c>
      <c r="M29" s="73" t="inlineStr">
        <is>
          <t>Complete</t>
        </is>
      </c>
    </row>
    <row r="30" ht="13.5" customHeight="1" s="38">
      <c r="A30" s="46" t="inlineStr">
        <is>
          <t>R_S0_SC03_I07</t>
        </is>
      </c>
      <c r="B30" s="46" t="inlineStr">
        <is>
          <t>R_0232</t>
        </is>
      </c>
      <c r="C30" s="46" t="inlineStr">
        <is>
          <t>Baseline – Zero-Shot (minimal instruction)</t>
        </is>
      </c>
      <c r="D30" s="46" t="inlineStr">
        <is>
          <t>SC03</t>
        </is>
      </c>
      <c r="E30" s="46" t="inlineStr">
        <is>
          <t>Ransomware</t>
        </is>
      </c>
      <c r="F30" s="47" t="n">
        <v>7</v>
      </c>
      <c r="G30" s="46" t="inlineStr">
        <is>
          <t>Gemma3:27b via Ollama</t>
        </is>
      </c>
      <c r="H30" s="48" t="n">
        <v>46152</v>
      </c>
      <c r="I30" s="46" t="inlineStr">
        <is>
          <t>13.785</t>
        </is>
      </c>
      <c r="J30" s="46" t="inlineStr">
        <is>
          <t>64.05</t>
        </is>
      </c>
      <c r="K30" s="46" t="inlineStr">
        <is>
          <t>Gemma3:27b</t>
        </is>
      </c>
      <c r="L30" s="46" t="inlineStr">
        <is>
          <t>0.3</t>
        </is>
      </c>
      <c r="M30" s="73" t="inlineStr">
        <is>
          <t>Complete</t>
        </is>
      </c>
    </row>
    <row r="31" ht="13.5" customHeight="1" s="38">
      <c r="A31" s="46" t="inlineStr">
        <is>
          <t>R_S0_SC03_I08</t>
        </is>
      </c>
      <c r="B31" s="46" t="inlineStr">
        <is>
          <t>R_0299</t>
        </is>
      </c>
      <c r="C31" s="46" t="inlineStr">
        <is>
          <t>Baseline – Zero-Shot (minimal instruction)</t>
        </is>
      </c>
      <c r="D31" s="46" t="inlineStr">
        <is>
          <t>SC03</t>
        </is>
      </c>
      <c r="E31" s="46" t="inlineStr">
        <is>
          <t>Ransomware</t>
        </is>
      </c>
      <c r="F31" s="47" t="n">
        <v>8</v>
      </c>
      <c r="G31" s="46" t="inlineStr">
        <is>
          <t>Gemma3:27b via Ollama</t>
        </is>
      </c>
      <c r="H31" s="48" t="n">
        <v>46152</v>
      </c>
      <c r="I31" s="46" t="inlineStr">
        <is>
          <t>12.137</t>
        </is>
      </c>
      <c r="J31" s="46" t="inlineStr">
        <is>
          <t>64.18</t>
        </is>
      </c>
      <c r="K31" s="46" t="inlineStr">
        <is>
          <t>Gemma3:27b</t>
        </is>
      </c>
      <c r="L31" s="46" t="inlineStr">
        <is>
          <t>0.3</t>
        </is>
      </c>
      <c r="M31" s="73" t="inlineStr">
        <is>
          <t>Complete</t>
        </is>
      </c>
    </row>
    <row r="32" ht="13.5" customHeight="1" s="38">
      <c r="A32" s="46" t="inlineStr">
        <is>
          <t>R_S0_SC03_I09</t>
        </is>
      </c>
      <c r="B32" s="46" t="inlineStr">
        <is>
          <t>R_0186</t>
        </is>
      </c>
      <c r="C32" s="46" t="inlineStr">
        <is>
          <t>Baseline – Zero-Shot (minimal instruction)</t>
        </is>
      </c>
      <c r="D32" s="46" t="inlineStr">
        <is>
          <t>SC03</t>
        </is>
      </c>
      <c r="E32" s="46" t="inlineStr">
        <is>
          <t>Ransomware</t>
        </is>
      </c>
      <c r="F32" s="47" t="n">
        <v>9</v>
      </c>
      <c r="G32" s="46" t="inlineStr">
        <is>
          <t>Gemma3:27b via Ollama</t>
        </is>
      </c>
      <c r="H32" s="48" t="n">
        <v>46152</v>
      </c>
      <c r="I32" s="46" t="inlineStr">
        <is>
          <t>14.879</t>
        </is>
      </c>
      <c r="J32" s="46" t="inlineStr">
        <is>
          <t>64.86</t>
        </is>
      </c>
      <c r="K32" s="46" t="inlineStr">
        <is>
          <t>Gemma3:27b</t>
        </is>
      </c>
      <c r="L32" s="46" t="inlineStr">
        <is>
          <t>0.3</t>
        </is>
      </c>
      <c r="M32" s="73" t="inlineStr">
        <is>
          <t>Complete</t>
        </is>
      </c>
    </row>
    <row r="33" ht="13.5" customHeight="1" s="38">
      <c r="A33" s="46" t="inlineStr">
        <is>
          <t>R_S0_SC03_I10</t>
        </is>
      </c>
      <c r="B33" s="46" t="inlineStr">
        <is>
          <t>R_0019</t>
        </is>
      </c>
      <c r="C33" s="46" t="inlineStr">
        <is>
          <t>Baseline – Zero-Shot (minimal instruction)</t>
        </is>
      </c>
      <c r="D33" s="46" t="inlineStr">
        <is>
          <t>SC03</t>
        </is>
      </c>
      <c r="E33" s="46" t="inlineStr">
        <is>
          <t>Ransomware</t>
        </is>
      </c>
      <c r="F33" s="47" t="n">
        <v>10</v>
      </c>
      <c r="G33" s="46" t="inlineStr">
        <is>
          <t>Gemma3:27b via Ollama</t>
        </is>
      </c>
      <c r="H33" s="48" t="n">
        <v>46152</v>
      </c>
      <c r="I33" s="46" t="inlineStr">
        <is>
          <t>12.521</t>
        </is>
      </c>
      <c r="J33" s="46" t="inlineStr">
        <is>
          <t>65.17</t>
        </is>
      </c>
      <c r="K33" s="46" t="inlineStr">
        <is>
          <t>Gemma3:27b</t>
        </is>
      </c>
      <c r="L33" s="46" t="inlineStr">
        <is>
          <t>0.3</t>
        </is>
      </c>
      <c r="M33" s="73" t="inlineStr">
        <is>
          <t>Complete</t>
        </is>
      </c>
    </row>
    <row r="34" ht="13.5" customHeight="1" s="38">
      <c r="A34" s="46" t="inlineStr">
        <is>
          <t>R_S0_SC04_I01</t>
        </is>
      </c>
      <c r="B34" s="46" t="inlineStr">
        <is>
          <t>R_0302</t>
        </is>
      </c>
      <c r="C34" s="46" t="inlineStr">
        <is>
          <t>Baseline – Zero-Shot (minimal instruction)</t>
        </is>
      </c>
      <c r="D34" s="46" t="inlineStr">
        <is>
          <t>SC04</t>
        </is>
      </c>
      <c r="E34" s="46" t="inlineStr">
        <is>
          <t>Ransomware</t>
        </is>
      </c>
      <c r="F34" s="47" t="n">
        <v>1</v>
      </c>
      <c r="G34" s="46" t="inlineStr">
        <is>
          <t>Gemma3:27b via Ollama</t>
        </is>
      </c>
      <c r="H34" s="48" t="n">
        <v>46158</v>
      </c>
      <c r="I34" s="46" t="inlineStr">
        <is>
          <t>12.129</t>
        </is>
      </c>
      <c r="J34" s="46" t="inlineStr">
        <is>
          <t>66.12</t>
        </is>
      </c>
      <c r="K34" s="46" t="inlineStr">
        <is>
          <t>Gemma3:27b</t>
        </is>
      </c>
      <c r="L34" s="46" t="inlineStr">
        <is>
          <t>0.3</t>
        </is>
      </c>
      <c r="M34" s="73" t="inlineStr">
        <is>
          <t>Complete</t>
        </is>
      </c>
    </row>
    <row r="35" ht="13.5" customHeight="1" s="38">
      <c r="A35" s="46" t="inlineStr">
        <is>
          <t>R_S0_SC04_I02</t>
        </is>
      </c>
      <c r="B35" s="46" t="inlineStr">
        <is>
          <t>R_0767</t>
        </is>
      </c>
      <c r="C35" s="46" t="inlineStr">
        <is>
          <t>Baseline – Zero-Shot (minimal instruction)</t>
        </is>
      </c>
      <c r="D35" s="46" t="inlineStr">
        <is>
          <t>SC04</t>
        </is>
      </c>
      <c r="E35" s="46" t="inlineStr">
        <is>
          <t>Ransomware</t>
        </is>
      </c>
      <c r="F35" s="47" t="n">
        <v>2</v>
      </c>
      <c r="G35" s="46" t="inlineStr">
        <is>
          <t>Gemma3:27b via Ollama</t>
        </is>
      </c>
      <c r="H35" s="48" t="n">
        <v>46158</v>
      </c>
      <c r="I35" s="46" t="inlineStr">
        <is>
          <t>12.608</t>
        </is>
      </c>
      <c r="J35" s="46" t="inlineStr">
        <is>
          <t>65.20</t>
        </is>
      </c>
      <c r="K35" s="46" t="inlineStr">
        <is>
          <t>Gemma3:27b</t>
        </is>
      </c>
      <c r="L35" s="46" t="inlineStr">
        <is>
          <t>0.3</t>
        </is>
      </c>
      <c r="M35" s="73" t="inlineStr">
        <is>
          <t>Complete</t>
        </is>
      </c>
    </row>
    <row r="36" ht="13.5" customHeight="1" s="38">
      <c r="A36" s="46" t="inlineStr">
        <is>
          <t>R_S0_SC04_I03</t>
        </is>
      </c>
      <c r="B36" s="46" t="inlineStr">
        <is>
          <t>R_0329</t>
        </is>
      </c>
      <c r="C36" s="46" t="inlineStr">
        <is>
          <t>Baseline – Zero-Shot (minimal instruction)</t>
        </is>
      </c>
      <c r="D36" s="46" t="inlineStr">
        <is>
          <t>SC04</t>
        </is>
      </c>
      <c r="E36" s="46" t="inlineStr">
        <is>
          <t>Ransomware</t>
        </is>
      </c>
      <c r="F36" s="47" t="n">
        <v>3</v>
      </c>
      <c r="G36" s="46" t="inlineStr">
        <is>
          <t>Gemma3:27b via Ollama</t>
        </is>
      </c>
      <c r="H36" s="48" t="n">
        <v>46158</v>
      </c>
      <c r="I36" s="46" t="inlineStr">
        <is>
          <t>12.046</t>
        </is>
      </c>
      <c r="J36" s="46" t="inlineStr">
        <is>
          <t>64.59</t>
        </is>
      </c>
      <c r="K36" s="46" t="inlineStr">
        <is>
          <t>Gemma3:27b</t>
        </is>
      </c>
      <c r="L36" s="46" t="inlineStr">
        <is>
          <t>0.3</t>
        </is>
      </c>
      <c r="M36" s="73" t="inlineStr">
        <is>
          <t>Complete</t>
        </is>
      </c>
    </row>
    <row r="37" ht="13.5" customHeight="1" s="38">
      <c r="A37" s="46" t="inlineStr">
        <is>
          <t>R_S0_SC04_I04</t>
        </is>
      </c>
      <c r="B37" s="46" t="inlineStr">
        <is>
          <t>R_0939</t>
        </is>
      </c>
      <c r="C37" s="46" t="inlineStr">
        <is>
          <t>Baseline – Zero-Shot (minimal instruction)</t>
        </is>
      </c>
      <c r="D37" s="46" t="inlineStr">
        <is>
          <t>SC04</t>
        </is>
      </c>
      <c r="E37" s="46" t="inlineStr">
        <is>
          <t>Ransomware</t>
        </is>
      </c>
      <c r="F37" s="47" t="n">
        <v>4</v>
      </c>
      <c r="G37" s="46" t="inlineStr">
        <is>
          <t>Gemma3:27b via Ollama</t>
        </is>
      </c>
      <c r="H37" s="48" t="n">
        <v>46158</v>
      </c>
      <c r="I37" s="46" t="inlineStr">
        <is>
          <t>12.434</t>
        </is>
      </c>
      <c r="J37" s="46" t="inlineStr">
        <is>
          <t>64.90</t>
        </is>
      </c>
      <c r="K37" s="46" t="inlineStr">
        <is>
          <t>Gemma3:27b</t>
        </is>
      </c>
      <c r="L37" s="46" t="inlineStr">
        <is>
          <t>0.3</t>
        </is>
      </c>
      <c r="M37" s="73" t="inlineStr">
        <is>
          <t>Complete</t>
        </is>
      </c>
    </row>
    <row r="38" ht="13.5" customHeight="1" s="38">
      <c r="A38" s="46" t="inlineStr">
        <is>
          <t>R_S0_SC04_I05</t>
        </is>
      </c>
      <c r="B38" s="46" t="inlineStr">
        <is>
          <t>R_0029</t>
        </is>
      </c>
      <c r="C38" s="46" t="inlineStr">
        <is>
          <t>Baseline – Zero-Shot (minimal instruction)</t>
        </is>
      </c>
      <c r="D38" s="46" t="inlineStr">
        <is>
          <t>SC04</t>
        </is>
      </c>
      <c r="E38" s="46" t="inlineStr">
        <is>
          <t>Ransomware</t>
        </is>
      </c>
      <c r="F38" s="47" t="n">
        <v>5</v>
      </c>
      <c r="G38" s="46" t="inlineStr">
        <is>
          <t>Gemma3:27b via Ollama</t>
        </is>
      </c>
      <c r="H38" s="48" t="n">
        <v>46158</v>
      </c>
      <c r="I38" s="46" t="inlineStr">
        <is>
          <t>12.963</t>
        </is>
      </c>
      <c r="J38" s="46" t="inlineStr">
        <is>
          <t>65.19</t>
        </is>
      </c>
      <c r="K38" s="46" t="inlineStr">
        <is>
          <t>Gemma3:27b</t>
        </is>
      </c>
      <c r="L38" s="46" t="inlineStr">
        <is>
          <t>0.3</t>
        </is>
      </c>
      <c r="M38" s="73" t="inlineStr">
        <is>
          <t>Complete</t>
        </is>
      </c>
    </row>
    <row r="39" ht="13.5" customHeight="1" s="38">
      <c r="A39" s="46" t="inlineStr">
        <is>
          <t>R_S0_SC04_I06</t>
        </is>
      </c>
      <c r="B39" s="46" t="inlineStr">
        <is>
          <t>R_0677</t>
        </is>
      </c>
      <c r="C39" s="46" t="inlineStr">
        <is>
          <t>Baseline – Zero-Shot (minimal instruction)</t>
        </is>
      </c>
      <c r="D39" s="46" t="inlineStr">
        <is>
          <t>SC04</t>
        </is>
      </c>
      <c r="E39" s="46" t="inlineStr">
        <is>
          <t>Ransomware</t>
        </is>
      </c>
      <c r="F39" s="47" t="n">
        <v>6</v>
      </c>
      <c r="G39" s="46" t="inlineStr">
        <is>
          <t>Gemma3:27b via Ollama</t>
        </is>
      </c>
      <c r="H39" s="48" t="n">
        <v>46158</v>
      </c>
      <c r="I39" s="46" t="inlineStr">
        <is>
          <t>12.393</t>
        </is>
      </c>
      <c r="J39" s="46" t="inlineStr">
        <is>
          <t>64.15</t>
        </is>
      </c>
      <c r="K39" s="46" t="inlineStr">
        <is>
          <t>Gemma3:27b</t>
        </is>
      </c>
      <c r="L39" s="46" t="inlineStr">
        <is>
          <t>0.3</t>
        </is>
      </c>
      <c r="M39" s="73" t="inlineStr">
        <is>
          <t>Complete</t>
        </is>
      </c>
    </row>
    <row r="40" ht="13.5" customHeight="1" s="38">
      <c r="A40" s="46" t="inlineStr">
        <is>
          <t>R_S0_SC04_I07</t>
        </is>
      </c>
      <c r="B40" s="46" t="inlineStr">
        <is>
          <t>R_0034</t>
        </is>
      </c>
      <c r="C40" s="46" t="inlineStr">
        <is>
          <t>Baseline – Zero-Shot (minimal instruction)</t>
        </is>
      </c>
      <c r="D40" s="46" t="inlineStr">
        <is>
          <t>SC04</t>
        </is>
      </c>
      <c r="E40" s="46" t="inlineStr">
        <is>
          <t>Ransomware</t>
        </is>
      </c>
      <c r="F40" s="47" t="n">
        <v>7</v>
      </c>
      <c r="G40" s="46" t="inlineStr">
        <is>
          <t>Gemma3:27b via Ollama</t>
        </is>
      </c>
      <c r="H40" s="48" t="n">
        <v>46158</v>
      </c>
      <c r="I40" s="46" t="inlineStr">
        <is>
          <t>12.113</t>
        </is>
      </c>
      <c r="J40" s="46" t="inlineStr">
        <is>
          <t>63.82</t>
        </is>
      </c>
      <c r="K40" s="46" t="inlineStr">
        <is>
          <t>Gemma3:27b</t>
        </is>
      </c>
      <c r="L40" s="46" t="inlineStr">
        <is>
          <t>0.3</t>
        </is>
      </c>
      <c r="M40" s="73" t="inlineStr">
        <is>
          <t>Complete</t>
        </is>
      </c>
    </row>
    <row r="41" ht="13.5" customHeight="1" s="38">
      <c r="A41" s="46" t="inlineStr">
        <is>
          <t>R_S0_SC04_I08</t>
        </is>
      </c>
      <c r="B41" s="46" t="inlineStr">
        <is>
          <t>R_0291</t>
        </is>
      </c>
      <c r="C41" s="46" t="inlineStr">
        <is>
          <t>Baseline – Zero-Shot (minimal instruction)</t>
        </is>
      </c>
      <c r="D41" s="46" t="inlineStr">
        <is>
          <t>SC04</t>
        </is>
      </c>
      <c r="E41" s="46" t="inlineStr">
        <is>
          <t>Ransomware</t>
        </is>
      </c>
      <c r="F41" s="47" t="n">
        <v>8</v>
      </c>
      <c r="G41" s="46" t="inlineStr">
        <is>
          <t>Gemma3:27b via Ollama</t>
        </is>
      </c>
      <c r="H41" s="48" t="n">
        <v>46158</v>
      </c>
      <c r="I41" s="46" t="inlineStr">
        <is>
          <t>12.272</t>
        </is>
      </c>
      <c r="J41" s="46" t="inlineStr">
        <is>
          <t>63.64</t>
        </is>
      </c>
      <c r="K41" s="46" t="inlineStr">
        <is>
          <t>Gemma3:27b</t>
        </is>
      </c>
      <c r="L41" s="46" t="inlineStr">
        <is>
          <t>0.3</t>
        </is>
      </c>
      <c r="M41" s="73" t="inlineStr">
        <is>
          <t>Complete</t>
        </is>
      </c>
    </row>
    <row r="42" ht="13.5" customHeight="1" s="38">
      <c r="A42" s="46" t="inlineStr">
        <is>
          <t>R_S0_SC04_I09</t>
        </is>
      </c>
      <c r="B42" s="46" t="inlineStr">
        <is>
          <t>R_0679</t>
        </is>
      </c>
      <c r="C42" s="46" t="inlineStr">
        <is>
          <t>Baseline – Zero-Shot (minimal instruction)</t>
        </is>
      </c>
      <c r="D42" s="46" t="inlineStr">
        <is>
          <t>SC04</t>
        </is>
      </c>
      <c r="E42" s="46" t="inlineStr">
        <is>
          <t>Ransomware</t>
        </is>
      </c>
      <c r="F42" s="47" t="n">
        <v>9</v>
      </c>
      <c r="G42" s="46" t="inlineStr">
        <is>
          <t>Gemma3:27b via Ollama</t>
        </is>
      </c>
      <c r="H42" s="48" t="n">
        <v>46158</v>
      </c>
      <c r="I42" s="46" t="inlineStr">
        <is>
          <t>12.871</t>
        </is>
      </c>
      <c r="J42" s="46" t="inlineStr">
        <is>
          <t>63.48</t>
        </is>
      </c>
      <c r="K42" s="46" t="inlineStr">
        <is>
          <t>Gemma3:27b</t>
        </is>
      </c>
      <c r="L42" s="46" t="inlineStr">
        <is>
          <t>0.3</t>
        </is>
      </c>
      <c r="M42" s="73" t="inlineStr">
        <is>
          <t>Complete</t>
        </is>
      </c>
    </row>
    <row r="43" ht="13.5" customHeight="1" s="38">
      <c r="A43" s="46" t="inlineStr">
        <is>
          <t>R_S0_SC04_I10</t>
        </is>
      </c>
      <c r="B43" s="46" t="inlineStr">
        <is>
          <t>R_0586</t>
        </is>
      </c>
      <c r="C43" s="46" t="inlineStr">
        <is>
          <t>Baseline – Zero-Shot (minimal instruction)</t>
        </is>
      </c>
      <c r="D43" s="46" t="inlineStr">
        <is>
          <t>SC04</t>
        </is>
      </c>
      <c r="E43" s="46" t="inlineStr">
        <is>
          <t>Ransomware</t>
        </is>
      </c>
      <c r="F43" s="47" t="n">
        <v>10</v>
      </c>
      <c r="G43" s="46" t="inlineStr">
        <is>
          <t>Gemma3:27b via Ollama</t>
        </is>
      </c>
      <c r="H43" s="48" t="n">
        <v>46158</v>
      </c>
      <c r="I43" s="46" t="inlineStr">
        <is>
          <t>13.374</t>
        </is>
      </c>
      <c r="J43" s="46" t="inlineStr">
        <is>
          <t>63.86</t>
        </is>
      </c>
      <c r="K43" s="46" t="inlineStr">
        <is>
          <t>Gemma3:27b</t>
        </is>
      </c>
      <c r="L43" s="46" t="inlineStr">
        <is>
          <t>0.3</t>
        </is>
      </c>
      <c r="M43" s="73" t="inlineStr">
        <is>
          <t>Complete</t>
        </is>
      </c>
    </row>
    <row r="44" ht="13.5" customHeight="1" s="38">
      <c r="A44" s="46" t="inlineStr">
        <is>
          <t>R_S0_SC05_I01</t>
        </is>
      </c>
      <c r="B44" s="46" t="inlineStr">
        <is>
          <t>R_0425</t>
        </is>
      </c>
      <c r="C44" s="46" t="inlineStr">
        <is>
          <t>Baseline – Zero-Shot (minimal instruction)</t>
        </is>
      </c>
      <c r="D44" s="46" t="inlineStr">
        <is>
          <t>SC05</t>
        </is>
      </c>
      <c r="E44" s="46" t="inlineStr">
        <is>
          <t>Ransomware</t>
        </is>
      </c>
      <c r="F44" s="47" t="n">
        <v>1</v>
      </c>
      <c r="G44" s="46" t="inlineStr">
        <is>
          <t>Gemma3:27b via Ollama</t>
        </is>
      </c>
      <c r="H44" s="48" t="n">
        <v>46158</v>
      </c>
      <c r="I44" s="46" t="inlineStr">
        <is>
          <t>13.127</t>
        </is>
      </c>
      <c r="J44" s="46" t="inlineStr">
        <is>
          <t>64.14</t>
        </is>
      </c>
      <c r="K44" s="46" t="inlineStr">
        <is>
          <t>Gemma3:27b</t>
        </is>
      </c>
      <c r="L44" s="46" t="inlineStr">
        <is>
          <t>0.3</t>
        </is>
      </c>
      <c r="M44" s="73" t="inlineStr">
        <is>
          <t>Complete</t>
        </is>
      </c>
    </row>
    <row r="45" ht="13.5" customHeight="1" s="38">
      <c r="A45" s="46" t="inlineStr">
        <is>
          <t>R_S0_SC05_I02</t>
        </is>
      </c>
      <c r="B45" s="46" t="inlineStr">
        <is>
          <t>R_0478</t>
        </is>
      </c>
      <c r="C45" s="46" t="inlineStr">
        <is>
          <t>Baseline – Zero-Shot (minimal instruction)</t>
        </is>
      </c>
      <c r="D45" s="46" t="inlineStr">
        <is>
          <t>SC05</t>
        </is>
      </c>
      <c r="E45" s="46" t="inlineStr">
        <is>
          <t>Ransomware</t>
        </is>
      </c>
      <c r="F45" s="47" t="n">
        <v>2</v>
      </c>
      <c r="G45" s="46" t="inlineStr">
        <is>
          <t>Gemma3:27b via Ollama</t>
        </is>
      </c>
      <c r="H45" s="48" t="n">
        <v>46158</v>
      </c>
      <c r="I45" s="46" t="inlineStr">
        <is>
          <t>14.911</t>
        </is>
      </c>
      <c r="J45" s="46" t="inlineStr">
        <is>
          <t>64.05</t>
        </is>
      </c>
      <c r="K45" s="46" t="inlineStr">
        <is>
          <t>Gemma3:27b</t>
        </is>
      </c>
      <c r="L45" s="46" t="inlineStr">
        <is>
          <t>0.3</t>
        </is>
      </c>
      <c r="M45" s="73" t="inlineStr">
        <is>
          <t>Complete</t>
        </is>
      </c>
    </row>
    <row r="46" ht="13.5" customHeight="1" s="38">
      <c r="A46" s="46" t="inlineStr">
        <is>
          <t>R_S0_SC05_I03</t>
        </is>
      </c>
      <c r="B46" s="46" t="inlineStr">
        <is>
          <t>R_0114</t>
        </is>
      </c>
      <c r="C46" s="46" t="inlineStr">
        <is>
          <t>Baseline – Zero-Shot (minimal instruction)</t>
        </is>
      </c>
      <c r="D46" s="46" t="inlineStr">
        <is>
          <t>SC05</t>
        </is>
      </c>
      <c r="E46" s="46" t="inlineStr">
        <is>
          <t>Ransomware</t>
        </is>
      </c>
      <c r="F46" s="47" t="n">
        <v>3</v>
      </c>
      <c r="G46" s="46" t="inlineStr">
        <is>
          <t>Gemma3:27b via Ollama</t>
        </is>
      </c>
      <c r="H46" s="48" t="n">
        <v>46158</v>
      </c>
      <c r="I46" s="46" t="inlineStr">
        <is>
          <t>13.161</t>
        </is>
      </c>
      <c r="J46" s="46" t="inlineStr">
        <is>
          <t>63.83</t>
        </is>
      </c>
      <c r="K46" s="46" t="inlineStr">
        <is>
          <t>Gemma3:27b</t>
        </is>
      </c>
      <c r="L46" s="46" t="inlineStr">
        <is>
          <t>0.3</t>
        </is>
      </c>
      <c r="M46" s="73" t="inlineStr">
        <is>
          <t>Complete</t>
        </is>
      </c>
    </row>
    <row r="47" ht="13.5" customHeight="1" s="38">
      <c r="A47" s="46" t="inlineStr">
        <is>
          <t>R_S0_SC05_I04</t>
        </is>
      </c>
      <c r="B47" s="46" t="inlineStr">
        <is>
          <t>R_0294</t>
        </is>
      </c>
      <c r="C47" s="46" t="inlineStr">
        <is>
          <t>Baseline – Zero-Shot (minimal instruction)</t>
        </is>
      </c>
      <c r="D47" s="46" t="inlineStr">
        <is>
          <t>SC05</t>
        </is>
      </c>
      <c r="E47" s="46" t="inlineStr">
        <is>
          <t>Ransomware</t>
        </is>
      </c>
      <c r="F47" s="47" t="n">
        <v>4</v>
      </c>
      <c r="G47" s="46" t="inlineStr">
        <is>
          <t>Gemma3:27b via Ollama</t>
        </is>
      </c>
      <c r="H47" s="48" t="n">
        <v>46158</v>
      </c>
      <c r="I47" s="46" t="inlineStr">
        <is>
          <t>14.285</t>
        </is>
      </c>
      <c r="J47" s="46" t="inlineStr">
        <is>
          <t>63.77</t>
        </is>
      </c>
      <c r="K47" s="46" t="inlineStr">
        <is>
          <t>Gemma3:27b</t>
        </is>
      </c>
      <c r="L47" s="46" t="inlineStr">
        <is>
          <t>0.3</t>
        </is>
      </c>
      <c r="M47" s="73" t="inlineStr">
        <is>
          <t>Complete</t>
        </is>
      </c>
    </row>
    <row r="48" ht="13.5" customHeight="1" s="38">
      <c r="A48" s="46" t="inlineStr">
        <is>
          <t>R_S0_SC05_I05</t>
        </is>
      </c>
      <c r="B48" s="46" t="inlineStr">
        <is>
          <t>R_0867</t>
        </is>
      </c>
      <c r="C48" s="46" t="inlineStr">
        <is>
          <t>Baseline – Zero-Shot (minimal instruction)</t>
        </is>
      </c>
      <c r="D48" s="46" t="inlineStr">
        <is>
          <t>SC05</t>
        </is>
      </c>
      <c r="E48" s="46" t="inlineStr">
        <is>
          <t>Ransomware</t>
        </is>
      </c>
      <c r="F48" s="47" t="n">
        <v>5</v>
      </c>
      <c r="G48" s="46" t="inlineStr">
        <is>
          <t>Gemma3:27b via Ollama</t>
        </is>
      </c>
      <c r="H48" s="48" t="n">
        <v>46158</v>
      </c>
      <c r="I48" s="46" t="inlineStr">
        <is>
          <t>13.552</t>
        </is>
      </c>
      <c r="J48" s="46" t="inlineStr">
        <is>
          <t>63.83</t>
        </is>
      </c>
      <c r="K48" s="46" t="inlineStr">
        <is>
          <t>Gemma3:27b</t>
        </is>
      </c>
      <c r="L48" s="46" t="inlineStr">
        <is>
          <t>0.3</t>
        </is>
      </c>
      <c r="M48" s="73" t="inlineStr">
        <is>
          <t>Complete</t>
        </is>
      </c>
    </row>
    <row r="49" ht="13.5" customHeight="1" s="38">
      <c r="A49" s="46" t="inlineStr">
        <is>
          <t>R_S0_SC05_I06</t>
        </is>
      </c>
      <c r="B49" s="46" t="inlineStr">
        <is>
          <t>R_0214</t>
        </is>
      </c>
      <c r="C49" s="46" t="inlineStr">
        <is>
          <t>Baseline – Zero-Shot (minimal instruction)</t>
        </is>
      </c>
      <c r="D49" s="46" t="inlineStr">
        <is>
          <t>SC05</t>
        </is>
      </c>
      <c r="E49" s="46" t="inlineStr">
        <is>
          <t>Ransomware</t>
        </is>
      </c>
      <c r="F49" s="47" t="n">
        <v>6</v>
      </c>
      <c r="G49" s="46" t="inlineStr">
        <is>
          <t>Gemma3:27b via Ollama</t>
        </is>
      </c>
      <c r="H49" s="48" t="n">
        <v>46158</v>
      </c>
      <c r="I49" s="46" t="inlineStr">
        <is>
          <t>13.462</t>
        </is>
      </c>
      <c r="J49" s="46" t="inlineStr">
        <is>
          <t>63.21</t>
        </is>
      </c>
      <c r="K49" s="46" t="inlineStr">
        <is>
          <t>Gemma3:27b</t>
        </is>
      </c>
      <c r="L49" s="46" t="inlineStr">
        <is>
          <t>0.3</t>
        </is>
      </c>
      <c r="M49" s="73" t="inlineStr">
        <is>
          <t>Complete</t>
        </is>
      </c>
    </row>
    <row r="50" ht="13.5" customHeight="1" s="38">
      <c r="A50" s="46" t="inlineStr">
        <is>
          <t>R_S0_SC05_I07</t>
        </is>
      </c>
      <c r="B50" s="46" t="inlineStr">
        <is>
          <t>R_0890</t>
        </is>
      </c>
      <c r="C50" s="46" t="inlineStr">
        <is>
          <t>Baseline – Zero-Shot (minimal instruction)</t>
        </is>
      </c>
      <c r="D50" s="46" t="inlineStr">
        <is>
          <t>SC05</t>
        </is>
      </c>
      <c r="E50" s="46" t="inlineStr">
        <is>
          <t>Ransomware</t>
        </is>
      </c>
      <c r="F50" s="47" t="n">
        <v>7</v>
      </c>
      <c r="G50" s="46" t="inlineStr">
        <is>
          <t>Gemma3:27b via Ollama</t>
        </is>
      </c>
      <c r="H50" s="48" t="n">
        <v>46158</v>
      </c>
      <c r="I50" s="46" t="inlineStr">
        <is>
          <t>13.407</t>
        </is>
      </c>
      <c r="J50" s="46" t="inlineStr">
        <is>
          <t>64.07</t>
        </is>
      </c>
      <c r="K50" s="46" t="inlineStr">
        <is>
          <t>Gemma3:27b</t>
        </is>
      </c>
      <c r="L50" s="46" t="inlineStr">
        <is>
          <t>0.3</t>
        </is>
      </c>
      <c r="M50" s="73" t="inlineStr">
        <is>
          <t>Complete</t>
        </is>
      </c>
    </row>
    <row r="51" ht="13.5" customHeight="1" s="38">
      <c r="A51" s="46" t="inlineStr">
        <is>
          <t>R_S0_SC05_I08</t>
        </is>
      </c>
      <c r="B51" s="46" t="inlineStr">
        <is>
          <t>R_0211</t>
        </is>
      </c>
      <c r="C51" s="46" t="inlineStr">
        <is>
          <t>Baseline – Zero-Shot (minimal instruction)</t>
        </is>
      </c>
      <c r="D51" s="46" t="inlineStr">
        <is>
          <t>SC05</t>
        </is>
      </c>
      <c r="E51" s="46" t="inlineStr">
        <is>
          <t>Ransomware</t>
        </is>
      </c>
      <c r="F51" s="47" t="n">
        <v>8</v>
      </c>
      <c r="G51" s="46" t="inlineStr">
        <is>
          <t>Gemma3:27b via Ollama</t>
        </is>
      </c>
      <c r="H51" s="48" t="n">
        <v>46158</v>
      </c>
      <c r="I51" s="46" t="inlineStr">
        <is>
          <t>13.818</t>
        </is>
      </c>
      <c r="J51" s="46" t="inlineStr">
        <is>
          <t>63.83</t>
        </is>
      </c>
      <c r="K51" s="46" t="inlineStr">
        <is>
          <t>Gemma3:27b</t>
        </is>
      </c>
      <c r="L51" s="46" t="inlineStr">
        <is>
          <t>0.3</t>
        </is>
      </c>
      <c r="M51" s="73" t="inlineStr">
        <is>
          <t>Complete</t>
        </is>
      </c>
    </row>
    <row r="52" ht="13.5" customHeight="1" s="38">
      <c r="A52" s="46" t="inlineStr">
        <is>
          <t>R_S0_SC05_I09</t>
        </is>
      </c>
      <c r="B52" s="46" t="inlineStr">
        <is>
          <t>R_0261</t>
        </is>
      </c>
      <c r="C52" s="46" t="inlineStr">
        <is>
          <t>Baseline – Zero-Shot (minimal instruction)</t>
        </is>
      </c>
      <c r="D52" s="46" t="inlineStr">
        <is>
          <t>SC05</t>
        </is>
      </c>
      <c r="E52" s="46" t="inlineStr">
        <is>
          <t>Ransomware</t>
        </is>
      </c>
      <c r="F52" s="47" t="n">
        <v>9</v>
      </c>
      <c r="G52" s="46" t="inlineStr">
        <is>
          <t>Gemma3:27b via Ollama</t>
        </is>
      </c>
      <c r="H52" s="48" t="n">
        <v>46158</v>
      </c>
      <c r="I52" s="46" t="inlineStr">
        <is>
          <t>13.956</t>
        </is>
      </c>
      <c r="J52" s="46" t="inlineStr">
        <is>
          <t>63.99</t>
        </is>
      </c>
      <c r="K52" s="46" t="inlineStr">
        <is>
          <t>Gemma3:27b</t>
        </is>
      </c>
      <c r="L52" s="46" t="inlineStr">
        <is>
          <t>0.3</t>
        </is>
      </c>
      <c r="M52" s="73" t="inlineStr">
        <is>
          <t>Complete</t>
        </is>
      </c>
    </row>
    <row r="53" ht="13.5" customHeight="1" s="38">
      <c r="A53" s="46" t="inlineStr">
        <is>
          <t>R_S0_SC05_I10</t>
        </is>
      </c>
      <c r="B53" s="46" t="inlineStr">
        <is>
          <t>R_0190</t>
        </is>
      </c>
      <c r="C53" s="46" t="inlineStr">
        <is>
          <t>Baseline – Zero-Shot (minimal instruction)</t>
        </is>
      </c>
      <c r="D53" s="46" t="inlineStr">
        <is>
          <t>SC05</t>
        </is>
      </c>
      <c r="E53" s="46" t="inlineStr">
        <is>
          <t>Ransomware</t>
        </is>
      </c>
      <c r="F53" s="47" t="n">
        <v>10</v>
      </c>
      <c r="G53" s="46" t="inlineStr">
        <is>
          <t>Gemma3:27b via Ollama</t>
        </is>
      </c>
      <c r="H53" s="48" t="n">
        <v>46158</v>
      </c>
      <c r="I53" s="46" t="inlineStr">
        <is>
          <t>13.639</t>
        </is>
      </c>
      <c r="J53" s="46" t="inlineStr">
        <is>
          <t>62.76</t>
        </is>
      </c>
      <c r="K53" s="46" t="inlineStr">
        <is>
          <t>Gemma3:27b</t>
        </is>
      </c>
      <c r="L53" s="46" t="inlineStr">
        <is>
          <t>0.3</t>
        </is>
      </c>
      <c r="M53" s="73" t="inlineStr">
        <is>
          <t>Complete</t>
        </is>
      </c>
    </row>
    <row r="54" ht="13.5" customHeight="1" s="38">
      <c r="A54" s="46" t="inlineStr">
        <is>
          <t>S_S0_SC01_I01</t>
        </is>
      </c>
      <c r="B54" s="46" t="inlineStr">
        <is>
          <t>R_0328</t>
        </is>
      </c>
      <c r="C54" s="46" t="inlineStr">
        <is>
          <t>Baseline – Zero-Shot (minimal instruction)</t>
        </is>
      </c>
      <c r="D54" s="46" t="inlineStr">
        <is>
          <t>SC01</t>
        </is>
      </c>
      <c r="E54" s="46" t="inlineStr">
        <is>
          <t>Supply Chain</t>
        </is>
      </c>
      <c r="F54" s="47" t="n">
        <v>1</v>
      </c>
      <c r="G54" s="46" t="inlineStr">
        <is>
          <t>Gemma3:27b via Ollama</t>
        </is>
      </c>
      <c r="H54" s="48" t="n">
        <v>46158</v>
      </c>
      <c r="I54" s="46" t="inlineStr">
        <is>
          <t>13.821</t>
        </is>
      </c>
      <c r="J54" s="46" t="inlineStr">
        <is>
          <t>62.22</t>
        </is>
      </c>
      <c r="K54" s="46" t="inlineStr">
        <is>
          <t>Gemma3:27b</t>
        </is>
      </c>
      <c r="L54" s="46" t="inlineStr">
        <is>
          <t>0.3</t>
        </is>
      </c>
      <c r="M54" s="73" t="inlineStr">
        <is>
          <t>Complete</t>
        </is>
      </c>
    </row>
    <row r="55" ht="13.5" customHeight="1" s="38">
      <c r="A55" s="46" t="inlineStr">
        <is>
          <t>S_S0_SC01_I02</t>
        </is>
      </c>
      <c r="B55" s="46" t="inlineStr">
        <is>
          <t>R_0312</t>
        </is>
      </c>
      <c r="C55" s="46" t="inlineStr">
        <is>
          <t>Baseline – Zero-Shot (minimal instruction)</t>
        </is>
      </c>
      <c r="D55" s="46" t="inlineStr">
        <is>
          <t>SC01</t>
        </is>
      </c>
      <c r="E55" s="46" t="inlineStr">
        <is>
          <t>Supply Chain</t>
        </is>
      </c>
      <c r="F55" s="47" t="n">
        <v>2</v>
      </c>
      <c r="G55" s="46" t="inlineStr">
        <is>
          <t>Gemma3:27b via Ollama</t>
        </is>
      </c>
      <c r="H55" s="48" t="n">
        <v>46158</v>
      </c>
      <c r="I55" s="46" t="inlineStr">
        <is>
          <t>13.740</t>
        </is>
      </c>
      <c r="J55" s="46" t="inlineStr">
        <is>
          <t>62.08</t>
        </is>
      </c>
      <c r="K55" s="46" t="inlineStr">
        <is>
          <t>Gemma3:27b</t>
        </is>
      </c>
      <c r="L55" s="46" t="inlineStr">
        <is>
          <t>0.3</t>
        </is>
      </c>
      <c r="M55" s="73" t="inlineStr">
        <is>
          <t>Complete</t>
        </is>
      </c>
    </row>
    <row r="56" ht="13.5" customHeight="1" s="38">
      <c r="A56" s="46" t="inlineStr">
        <is>
          <t>S_S0_SC01_I03</t>
        </is>
      </c>
      <c r="B56" s="46" t="inlineStr">
        <is>
          <t>R_0468</t>
        </is>
      </c>
      <c r="C56" s="46" t="inlineStr">
        <is>
          <t>Baseline – Zero-Shot (minimal instruction)</t>
        </is>
      </c>
      <c r="D56" s="46" t="inlineStr">
        <is>
          <t>SC01</t>
        </is>
      </c>
      <c r="E56" s="46" t="inlineStr">
        <is>
          <t>Supply Chain</t>
        </is>
      </c>
      <c r="F56" s="47" t="n">
        <v>3</v>
      </c>
      <c r="G56" s="46" t="inlineStr">
        <is>
          <t>Gemma3:27b via Ollama</t>
        </is>
      </c>
      <c r="H56" s="48" t="n">
        <v>46158</v>
      </c>
      <c r="I56" s="46" t="inlineStr">
        <is>
          <t>14.039</t>
        </is>
      </c>
      <c r="J56" s="46" t="inlineStr">
        <is>
          <t>62.68</t>
        </is>
      </c>
      <c r="K56" s="46" t="inlineStr">
        <is>
          <t>Gemma3:27b</t>
        </is>
      </c>
      <c r="L56" s="46" t="inlineStr">
        <is>
          <t>0.3</t>
        </is>
      </c>
      <c r="M56" s="73" t="inlineStr">
        <is>
          <t>Complete</t>
        </is>
      </c>
    </row>
    <row r="57" ht="13.5" customHeight="1" s="38">
      <c r="A57" s="46" t="inlineStr">
        <is>
          <t>S_S0_SC01_I04</t>
        </is>
      </c>
      <c r="B57" s="46" t="inlineStr">
        <is>
          <t>R_0150</t>
        </is>
      </c>
      <c r="C57" s="46" t="inlineStr">
        <is>
          <t>Baseline – Zero-Shot (minimal instruction)</t>
        </is>
      </c>
      <c r="D57" s="46" t="inlineStr">
        <is>
          <t>SC01</t>
        </is>
      </c>
      <c r="E57" s="46" t="inlineStr">
        <is>
          <t>Supply Chain</t>
        </is>
      </c>
      <c r="F57" s="47" t="n">
        <v>4</v>
      </c>
      <c r="G57" s="46" t="inlineStr">
        <is>
          <t>Gemma3:27b via Ollama</t>
        </is>
      </c>
      <c r="H57" s="48" t="n">
        <v>46158</v>
      </c>
      <c r="I57" s="46" t="inlineStr">
        <is>
          <t>12.970</t>
        </is>
      </c>
      <c r="J57" s="46" t="inlineStr">
        <is>
          <t>63.30</t>
        </is>
      </c>
      <c r="K57" s="46" t="inlineStr">
        <is>
          <t>Gemma3:27b</t>
        </is>
      </c>
      <c r="L57" s="46" t="inlineStr">
        <is>
          <t>0.3</t>
        </is>
      </c>
      <c r="M57" s="73" t="inlineStr">
        <is>
          <t>Complete</t>
        </is>
      </c>
    </row>
    <row r="58" ht="13.5" customHeight="1" s="38">
      <c r="A58" s="46" t="inlineStr">
        <is>
          <t>S_S0_SC01_I05</t>
        </is>
      </c>
      <c r="B58" s="46" t="inlineStr">
        <is>
          <t>R_0671</t>
        </is>
      </c>
      <c r="C58" s="46" t="inlineStr">
        <is>
          <t>Baseline – Zero-Shot (minimal instruction)</t>
        </is>
      </c>
      <c r="D58" s="46" t="inlineStr">
        <is>
          <t>SC01</t>
        </is>
      </c>
      <c r="E58" s="46" t="inlineStr">
        <is>
          <t>Supply Chain</t>
        </is>
      </c>
      <c r="F58" s="47" t="n">
        <v>5</v>
      </c>
      <c r="G58" s="46" t="inlineStr">
        <is>
          <t>Gemma3:27b via Ollama</t>
        </is>
      </c>
      <c r="H58" s="48" t="n">
        <v>46158</v>
      </c>
      <c r="I58" s="46" t="inlineStr">
        <is>
          <t>13.848</t>
        </is>
      </c>
      <c r="J58" s="46" t="inlineStr">
        <is>
          <t>62.25</t>
        </is>
      </c>
      <c r="K58" s="46" t="inlineStr">
        <is>
          <t>Gemma3:27b</t>
        </is>
      </c>
      <c r="L58" s="46" t="inlineStr">
        <is>
          <t>0.3</t>
        </is>
      </c>
      <c r="M58" s="73" t="inlineStr">
        <is>
          <t>Complete</t>
        </is>
      </c>
    </row>
    <row r="59" ht="13.5" customHeight="1" s="38">
      <c r="A59" s="46" t="inlineStr">
        <is>
          <t>S_S0_SC01_I06</t>
        </is>
      </c>
      <c r="B59" s="46" t="inlineStr">
        <is>
          <t>R_0508</t>
        </is>
      </c>
      <c r="C59" s="46" t="inlineStr">
        <is>
          <t>Baseline – Zero-Shot (minimal instruction)</t>
        </is>
      </c>
      <c r="D59" s="46" t="inlineStr">
        <is>
          <t>SC01</t>
        </is>
      </c>
      <c r="E59" s="46" t="inlineStr">
        <is>
          <t>Supply Chain</t>
        </is>
      </c>
      <c r="F59" s="47" t="n">
        <v>6</v>
      </c>
      <c r="G59" s="46" t="inlineStr">
        <is>
          <t>Gemma3:27b via Ollama</t>
        </is>
      </c>
      <c r="H59" s="48" t="n">
        <v>46158</v>
      </c>
      <c r="I59" s="46" t="inlineStr">
        <is>
          <t>14.297</t>
        </is>
      </c>
      <c r="J59" s="46" t="inlineStr">
        <is>
          <t>62.25</t>
        </is>
      </c>
      <c r="K59" s="46" t="inlineStr">
        <is>
          <t>Gemma3:27b</t>
        </is>
      </c>
      <c r="L59" s="46" t="inlineStr">
        <is>
          <t>0.3</t>
        </is>
      </c>
      <c r="M59" s="73" t="inlineStr">
        <is>
          <t>Complete</t>
        </is>
      </c>
    </row>
    <row r="60" ht="13.5" customHeight="1" s="38">
      <c r="A60" s="46" t="inlineStr">
        <is>
          <t>S_S0_SC01_I07</t>
        </is>
      </c>
      <c r="B60" s="46" t="inlineStr">
        <is>
          <t>R_0178</t>
        </is>
      </c>
      <c r="C60" s="46" t="inlineStr">
        <is>
          <t>Baseline – Zero-Shot (minimal instruction)</t>
        </is>
      </c>
      <c r="D60" s="46" t="inlineStr">
        <is>
          <t>SC01</t>
        </is>
      </c>
      <c r="E60" s="46" t="inlineStr">
        <is>
          <t>Supply Chain</t>
        </is>
      </c>
      <c r="F60" s="47" t="n">
        <v>7</v>
      </c>
      <c r="G60" s="46" t="inlineStr">
        <is>
          <t>Gemma3:27b via Ollama</t>
        </is>
      </c>
      <c r="H60" s="48" t="n">
        <v>46158</v>
      </c>
      <c r="I60" s="46" t="inlineStr">
        <is>
          <t>14.161</t>
        </is>
      </c>
      <c r="J60" s="46" t="inlineStr">
        <is>
          <t>62.71</t>
        </is>
      </c>
      <c r="K60" s="46" t="inlineStr">
        <is>
          <t>Gemma3:27b</t>
        </is>
      </c>
      <c r="L60" s="46" t="inlineStr">
        <is>
          <t>0.3</t>
        </is>
      </c>
      <c r="M60" s="73" t="inlineStr">
        <is>
          <t>Complete</t>
        </is>
      </c>
    </row>
    <row r="61" ht="13.5" customHeight="1" s="38">
      <c r="A61" s="46" t="inlineStr">
        <is>
          <t>S_S0_SC01_I08</t>
        </is>
      </c>
      <c r="B61" s="46" t="inlineStr">
        <is>
          <t>R_0866</t>
        </is>
      </c>
      <c r="C61" s="46" t="inlineStr">
        <is>
          <t>Baseline – Zero-Shot (minimal instruction)</t>
        </is>
      </c>
      <c r="D61" s="46" t="inlineStr">
        <is>
          <t>SC01</t>
        </is>
      </c>
      <c r="E61" s="46" t="inlineStr">
        <is>
          <t>Supply Chain</t>
        </is>
      </c>
      <c r="F61" s="47" t="n">
        <v>8</v>
      </c>
      <c r="G61" s="46" t="inlineStr">
        <is>
          <t>Gemma3:27b via Ollama</t>
        </is>
      </c>
      <c r="H61" s="48" t="n">
        <v>46158</v>
      </c>
      <c r="I61" s="46" t="inlineStr">
        <is>
          <t>12.178</t>
        </is>
      </c>
      <c r="J61" s="46" t="inlineStr">
        <is>
          <t>62.08</t>
        </is>
      </c>
      <c r="K61" s="46" t="inlineStr">
        <is>
          <t>Gemma3:27b</t>
        </is>
      </c>
      <c r="L61" s="46" t="inlineStr">
        <is>
          <t>0.3</t>
        </is>
      </c>
      <c r="M61" s="73" t="inlineStr">
        <is>
          <t>Complete</t>
        </is>
      </c>
    </row>
    <row r="62" ht="13.5" customHeight="1" s="38">
      <c r="A62" s="46" t="inlineStr">
        <is>
          <t>S_S0_SC01_I09</t>
        </is>
      </c>
      <c r="B62" s="46" t="inlineStr">
        <is>
          <t>R_0248</t>
        </is>
      </c>
      <c r="C62" s="46" t="inlineStr">
        <is>
          <t>Baseline – Zero-Shot (minimal instruction)</t>
        </is>
      </c>
      <c r="D62" s="46" t="inlineStr">
        <is>
          <t>SC01</t>
        </is>
      </c>
      <c r="E62" s="46" t="inlineStr">
        <is>
          <t>Supply Chain</t>
        </is>
      </c>
      <c r="F62" s="47" t="n">
        <v>9</v>
      </c>
      <c r="G62" s="46" t="inlineStr">
        <is>
          <t>Gemma3:27b via Ollama</t>
        </is>
      </c>
      <c r="H62" s="48" t="n">
        <v>46158</v>
      </c>
      <c r="I62" s="46" t="inlineStr">
        <is>
          <t>13.778</t>
        </is>
      </c>
      <c r="J62" s="46" t="inlineStr">
        <is>
          <t>62.78</t>
        </is>
      </c>
      <c r="K62" s="46" t="inlineStr">
        <is>
          <t>Gemma3:27b</t>
        </is>
      </c>
      <c r="L62" s="46" t="inlineStr">
        <is>
          <t>0.3</t>
        </is>
      </c>
      <c r="M62" s="73" t="inlineStr">
        <is>
          <t>Complete</t>
        </is>
      </c>
    </row>
    <row r="63" ht="13.5" customHeight="1" s="38">
      <c r="A63" s="46" t="inlineStr">
        <is>
          <t>S_S0_SC01_I10</t>
        </is>
      </c>
      <c r="B63" s="46" t="inlineStr">
        <is>
          <t>R_0203</t>
        </is>
      </c>
      <c r="C63" s="46" t="inlineStr">
        <is>
          <t>Baseline – Zero-Shot (minimal instruction)</t>
        </is>
      </c>
      <c r="D63" s="46" t="inlineStr">
        <is>
          <t>SC01</t>
        </is>
      </c>
      <c r="E63" s="46" t="inlineStr">
        <is>
          <t>Supply Chain</t>
        </is>
      </c>
      <c r="F63" s="47" t="n">
        <v>10</v>
      </c>
      <c r="G63" s="46" t="inlineStr">
        <is>
          <t>Gemma3:27b via Ollama</t>
        </is>
      </c>
      <c r="H63" s="48" t="n">
        <v>46158</v>
      </c>
      <c r="I63" s="46" t="inlineStr">
        <is>
          <t>13.358</t>
        </is>
      </c>
      <c r="J63" s="46" t="inlineStr">
        <is>
          <t>65.06</t>
        </is>
      </c>
      <c r="K63" s="46" t="inlineStr">
        <is>
          <t>Gemma3:27b</t>
        </is>
      </c>
      <c r="L63" s="46" t="inlineStr">
        <is>
          <t>0.3</t>
        </is>
      </c>
      <c r="M63" s="73" t="inlineStr">
        <is>
          <t>Complete</t>
        </is>
      </c>
    </row>
    <row r="64" ht="13.5" customHeight="1" s="38">
      <c r="A64" s="46" t="inlineStr">
        <is>
          <t>S_S0_SC02_I01</t>
        </is>
      </c>
      <c r="B64" s="46" t="inlineStr">
        <is>
          <t>R_0917</t>
        </is>
      </c>
      <c r="C64" s="46" t="inlineStr">
        <is>
          <t>Baseline – Zero-Shot (minimal instruction)</t>
        </is>
      </c>
      <c r="D64" s="46" t="inlineStr">
        <is>
          <t>SC02</t>
        </is>
      </c>
      <c r="E64" s="46" t="inlineStr">
        <is>
          <t>Supply Chain</t>
        </is>
      </c>
      <c r="F64" s="47" t="n">
        <v>1</v>
      </c>
      <c r="G64" s="46" t="inlineStr">
        <is>
          <t>Gemma3:27b via Ollama</t>
        </is>
      </c>
      <c r="H64" s="48" t="n">
        <v>46158</v>
      </c>
      <c r="I64" s="46" t="inlineStr">
        <is>
          <t>13.033</t>
        </is>
      </c>
      <c r="J64" s="46" t="inlineStr">
        <is>
          <t>62.69</t>
        </is>
      </c>
      <c r="K64" s="46" t="inlineStr">
        <is>
          <t>Gemma3:27b</t>
        </is>
      </c>
      <c r="L64" s="46" t="inlineStr">
        <is>
          <t>0.3</t>
        </is>
      </c>
      <c r="M64" s="73" t="inlineStr">
        <is>
          <t>Complete</t>
        </is>
      </c>
    </row>
    <row r="65" ht="13.5" customHeight="1" s="38">
      <c r="A65" s="46" t="inlineStr">
        <is>
          <t>S_S0_SC02_I02</t>
        </is>
      </c>
      <c r="B65" s="46" t="inlineStr">
        <is>
          <t>R_0784</t>
        </is>
      </c>
      <c r="C65" s="46" t="inlineStr">
        <is>
          <t>Baseline – Zero-Shot (minimal instruction)</t>
        </is>
      </c>
      <c r="D65" s="46" t="inlineStr">
        <is>
          <t>SC02</t>
        </is>
      </c>
      <c r="E65" s="46" t="inlineStr">
        <is>
          <t>Supply Chain</t>
        </is>
      </c>
      <c r="F65" s="47" t="n">
        <v>2</v>
      </c>
      <c r="G65" s="46" t="inlineStr">
        <is>
          <t>Gemma3:27b via Ollama</t>
        </is>
      </c>
      <c r="H65" s="48" t="n">
        <v>46158</v>
      </c>
      <c r="I65" s="46" t="inlineStr">
        <is>
          <t>13.428</t>
        </is>
      </c>
      <c r="J65" s="46" t="inlineStr">
        <is>
          <t>62.71</t>
        </is>
      </c>
      <c r="K65" s="46" t="inlineStr">
        <is>
          <t>Gemma3:27b</t>
        </is>
      </c>
      <c r="L65" s="46" t="inlineStr">
        <is>
          <t>0.3</t>
        </is>
      </c>
      <c r="M65" s="73" t="inlineStr">
        <is>
          <t>Complete</t>
        </is>
      </c>
    </row>
    <row r="66" ht="13.5" customHeight="1" s="38">
      <c r="A66" s="46" t="inlineStr">
        <is>
          <t>S_S0_SC02_I03</t>
        </is>
      </c>
      <c r="B66" s="46" t="inlineStr">
        <is>
          <t>R_0910</t>
        </is>
      </c>
      <c r="C66" s="46" t="inlineStr">
        <is>
          <t>Baseline – Zero-Shot (minimal instruction)</t>
        </is>
      </c>
      <c r="D66" s="46" t="inlineStr">
        <is>
          <t>SC02</t>
        </is>
      </c>
      <c r="E66" s="46" t="inlineStr">
        <is>
          <t>Supply Chain</t>
        </is>
      </c>
      <c r="F66" s="47" t="n">
        <v>3</v>
      </c>
      <c r="G66" s="46" t="inlineStr">
        <is>
          <t>Gemma3:27b via Ollama</t>
        </is>
      </c>
      <c r="H66" s="48" t="n">
        <v>46158</v>
      </c>
      <c r="I66" s="46" t="inlineStr">
        <is>
          <t>13.465</t>
        </is>
      </c>
      <c r="J66" s="46" t="inlineStr">
        <is>
          <t>62.68</t>
        </is>
      </c>
      <c r="K66" s="46" t="inlineStr">
        <is>
          <t>Gemma3:27b</t>
        </is>
      </c>
      <c r="L66" s="46" t="inlineStr">
        <is>
          <t>0.3</t>
        </is>
      </c>
      <c r="M66" s="73" t="inlineStr">
        <is>
          <t>Complete</t>
        </is>
      </c>
    </row>
    <row r="67" ht="13.5" customHeight="1" s="38">
      <c r="A67" s="46" t="inlineStr">
        <is>
          <t>S_S0_SC02_I04</t>
        </is>
      </c>
      <c r="B67" s="46" t="inlineStr">
        <is>
          <t>R_0151</t>
        </is>
      </c>
      <c r="C67" s="46" t="inlineStr">
        <is>
          <t>Baseline – Zero-Shot (minimal instruction)</t>
        </is>
      </c>
      <c r="D67" s="46" t="inlineStr">
        <is>
          <t>SC02</t>
        </is>
      </c>
      <c r="E67" s="46" t="inlineStr">
        <is>
          <t>Supply Chain</t>
        </is>
      </c>
      <c r="F67" s="47" t="n">
        <v>4</v>
      </c>
      <c r="G67" s="46" t="inlineStr">
        <is>
          <t>Gemma3:27b via Ollama</t>
        </is>
      </c>
      <c r="H67" s="48" t="n">
        <v>46158</v>
      </c>
      <c r="I67" s="46" t="inlineStr">
        <is>
          <t>13.007</t>
        </is>
      </c>
      <c r="J67" s="46" t="inlineStr">
        <is>
          <t>62.81</t>
        </is>
      </c>
      <c r="K67" s="46" t="inlineStr">
        <is>
          <t>Gemma3:27b</t>
        </is>
      </c>
      <c r="L67" s="46" t="inlineStr">
        <is>
          <t>0.3</t>
        </is>
      </c>
      <c r="M67" s="73" t="inlineStr">
        <is>
          <t>Complete</t>
        </is>
      </c>
    </row>
    <row r="68" ht="13.5" customHeight="1" s="38">
      <c r="A68" s="46" t="inlineStr">
        <is>
          <t>S_S0_SC02_I05</t>
        </is>
      </c>
      <c r="B68" s="46" t="inlineStr">
        <is>
          <t>R_0757</t>
        </is>
      </c>
      <c r="C68" s="46" t="inlineStr">
        <is>
          <t>Baseline – Zero-Shot (minimal instruction)</t>
        </is>
      </c>
      <c r="D68" s="46" t="inlineStr">
        <is>
          <t>SC02</t>
        </is>
      </c>
      <c r="E68" s="46" t="inlineStr">
        <is>
          <t>Supply Chain</t>
        </is>
      </c>
      <c r="F68" s="47" t="n">
        <v>5</v>
      </c>
      <c r="G68" s="46" t="inlineStr">
        <is>
          <t>Gemma3:27b via Ollama</t>
        </is>
      </c>
      <c r="H68" s="48" t="n">
        <v>46158</v>
      </c>
      <c r="I68" s="46" t="inlineStr">
        <is>
          <t>12.264</t>
        </is>
      </c>
      <c r="J68" s="46" t="inlineStr">
        <is>
          <t>62.70</t>
        </is>
      </c>
      <c r="K68" s="46" t="inlineStr">
        <is>
          <t>Gemma3:27b</t>
        </is>
      </c>
      <c r="L68" s="46" t="inlineStr">
        <is>
          <t>0.3</t>
        </is>
      </c>
      <c r="M68" s="73" t="inlineStr">
        <is>
          <t>Complete</t>
        </is>
      </c>
    </row>
    <row r="69" ht="13.5" customHeight="1" s="38">
      <c r="A69" s="46" t="inlineStr">
        <is>
          <t>S_S0_SC02_I06</t>
        </is>
      </c>
      <c r="B69" s="46" t="inlineStr">
        <is>
          <t>R_0412</t>
        </is>
      </c>
      <c r="C69" s="46" t="inlineStr">
        <is>
          <t>Baseline – Zero-Shot (minimal instruction)</t>
        </is>
      </c>
      <c r="D69" s="46" t="inlineStr">
        <is>
          <t>SC02</t>
        </is>
      </c>
      <c r="E69" s="46" t="inlineStr">
        <is>
          <t>Supply Chain</t>
        </is>
      </c>
      <c r="F69" s="47" t="n">
        <v>6</v>
      </c>
      <c r="G69" s="46" t="inlineStr">
        <is>
          <t>Gemma3:27b via Ollama</t>
        </is>
      </c>
      <c r="H69" s="48" t="n">
        <v>46158</v>
      </c>
      <c r="I69" s="46" t="inlineStr">
        <is>
          <t>13.584</t>
        </is>
      </c>
      <c r="J69" s="46" t="inlineStr">
        <is>
          <t>63.53</t>
        </is>
      </c>
      <c r="K69" s="46" t="inlineStr">
        <is>
          <t>Gemma3:27b</t>
        </is>
      </c>
      <c r="L69" s="46" t="inlineStr">
        <is>
          <t>0.3</t>
        </is>
      </c>
      <c r="M69" s="73" t="inlineStr">
        <is>
          <t>Complete</t>
        </is>
      </c>
    </row>
    <row r="70" ht="13.5" customHeight="1" s="38">
      <c r="A70" s="46" t="inlineStr">
        <is>
          <t>S_S0_SC02_I07</t>
        </is>
      </c>
      <c r="B70" s="46" t="inlineStr">
        <is>
          <t>R_0838</t>
        </is>
      </c>
      <c r="C70" s="46" t="inlineStr">
        <is>
          <t>Baseline – Zero-Shot (minimal instruction)</t>
        </is>
      </c>
      <c r="D70" s="46" t="inlineStr">
        <is>
          <t>SC02</t>
        </is>
      </c>
      <c r="E70" s="46" t="inlineStr">
        <is>
          <t>Supply Chain</t>
        </is>
      </c>
      <c r="F70" s="47" t="n">
        <v>7</v>
      </c>
      <c r="G70" s="46" t="inlineStr">
        <is>
          <t>Gemma3:27b via Ollama</t>
        </is>
      </c>
      <c r="H70" s="48" t="n">
        <v>46158</v>
      </c>
      <c r="I70" s="46" t="inlineStr">
        <is>
          <t>13.674</t>
        </is>
      </c>
      <c r="J70" s="46" t="inlineStr">
        <is>
          <t>62.75</t>
        </is>
      </c>
      <c r="K70" s="46" t="inlineStr">
        <is>
          <t>Gemma3:27b</t>
        </is>
      </c>
      <c r="L70" s="46" t="inlineStr">
        <is>
          <t>0.3</t>
        </is>
      </c>
      <c r="M70" s="73" t="inlineStr">
        <is>
          <t>Complete</t>
        </is>
      </c>
    </row>
    <row r="71" ht="13.5" customHeight="1" s="38">
      <c r="A71" s="46" t="inlineStr">
        <is>
          <t>S_S0_SC02_I08</t>
        </is>
      </c>
      <c r="B71" s="46" t="inlineStr">
        <is>
          <t>R_0193</t>
        </is>
      </c>
      <c r="C71" s="46" t="inlineStr">
        <is>
          <t>Baseline – Zero-Shot (minimal instruction)</t>
        </is>
      </c>
      <c r="D71" s="46" t="inlineStr">
        <is>
          <t>SC02</t>
        </is>
      </c>
      <c r="E71" s="46" t="inlineStr">
        <is>
          <t>Supply Chain</t>
        </is>
      </c>
      <c r="F71" s="47" t="n">
        <v>8</v>
      </c>
      <c r="G71" s="46" t="inlineStr">
        <is>
          <t>Gemma3:27b via Ollama</t>
        </is>
      </c>
      <c r="H71" s="48" t="n">
        <v>46158</v>
      </c>
      <c r="I71" s="46" t="inlineStr">
        <is>
          <t>13.794</t>
        </is>
      </c>
      <c r="J71" s="46" t="inlineStr">
        <is>
          <t>62.71</t>
        </is>
      </c>
      <c r="K71" s="46" t="inlineStr">
        <is>
          <t>Gemma3:27b</t>
        </is>
      </c>
      <c r="L71" s="46" t="inlineStr">
        <is>
          <t>0.3</t>
        </is>
      </c>
      <c r="M71" s="73" t="inlineStr">
        <is>
          <t>Complete</t>
        </is>
      </c>
    </row>
    <row r="72" ht="13.5" customHeight="1" s="38">
      <c r="A72" s="46" t="inlineStr">
        <is>
          <t>S_S0_SC02_I09</t>
        </is>
      </c>
      <c r="B72" s="46" t="inlineStr">
        <is>
          <t>R_0625</t>
        </is>
      </c>
      <c r="C72" s="46" t="inlineStr">
        <is>
          <t>Baseline – Zero-Shot (minimal instruction)</t>
        </is>
      </c>
      <c r="D72" s="46" t="inlineStr">
        <is>
          <t>SC02</t>
        </is>
      </c>
      <c r="E72" s="46" t="inlineStr">
        <is>
          <t>Supply Chain</t>
        </is>
      </c>
      <c r="F72" s="47" t="n">
        <v>9</v>
      </c>
      <c r="G72" s="46" t="inlineStr">
        <is>
          <t>Gemma3:27b via Ollama</t>
        </is>
      </c>
      <c r="H72" s="48" t="n">
        <v>46158</v>
      </c>
      <c r="I72" s="46" t="inlineStr">
        <is>
          <t>14.108</t>
        </is>
      </c>
      <c r="J72" s="46" t="inlineStr">
        <is>
          <t>62.52</t>
        </is>
      </c>
      <c r="K72" s="46" t="inlineStr">
        <is>
          <t>Gemma3:27b</t>
        </is>
      </c>
      <c r="L72" s="46" t="inlineStr">
        <is>
          <t>0.3</t>
        </is>
      </c>
      <c r="M72" s="73" t="inlineStr">
        <is>
          <t>Complete</t>
        </is>
      </c>
    </row>
    <row r="73" ht="13.5" customHeight="1" s="38">
      <c r="A73" s="46" t="inlineStr">
        <is>
          <t>S_S0_SC02_I10</t>
        </is>
      </c>
      <c r="B73" s="46" t="inlineStr">
        <is>
          <t>R_0958</t>
        </is>
      </c>
      <c r="C73" s="46" t="inlineStr">
        <is>
          <t>Baseline – Zero-Shot (minimal instruction)</t>
        </is>
      </c>
      <c r="D73" s="46" t="inlineStr">
        <is>
          <t>SC02</t>
        </is>
      </c>
      <c r="E73" s="46" t="inlineStr">
        <is>
          <t>Supply Chain</t>
        </is>
      </c>
      <c r="F73" s="47" t="n">
        <v>10</v>
      </c>
      <c r="G73" s="46" t="inlineStr">
        <is>
          <t>Gemma3:27b via Ollama</t>
        </is>
      </c>
      <c r="H73" s="48" t="n">
        <v>46158</v>
      </c>
      <c r="I73" s="46" t="inlineStr">
        <is>
          <t>14.302</t>
        </is>
      </c>
      <c r="J73" s="46" t="inlineStr">
        <is>
          <t>63.35</t>
        </is>
      </c>
      <c r="K73" s="46" t="inlineStr">
        <is>
          <t>Gemma3:27b</t>
        </is>
      </c>
      <c r="L73" s="46" t="inlineStr">
        <is>
          <t>0.3</t>
        </is>
      </c>
      <c r="M73" s="73" t="inlineStr">
        <is>
          <t>Complete</t>
        </is>
      </c>
    </row>
    <row r="74" ht="13.5" customHeight="1" s="38">
      <c r="A74" s="46" t="inlineStr">
        <is>
          <t>S_S0_SC03_I01</t>
        </is>
      </c>
      <c r="B74" s="46" t="inlineStr">
        <is>
          <t>R_0861</t>
        </is>
      </c>
      <c r="C74" s="46" t="inlineStr">
        <is>
          <t>Baseline – Zero-Shot (minimal instruction)</t>
        </is>
      </c>
      <c r="D74" s="46" t="inlineStr">
        <is>
          <t>SC03</t>
        </is>
      </c>
      <c r="E74" s="46" t="inlineStr">
        <is>
          <t>Supply Chain</t>
        </is>
      </c>
      <c r="F74" s="47" t="n">
        <v>1</v>
      </c>
      <c r="G74" s="46" t="inlineStr">
        <is>
          <t>Gemma3:27b via Ollama</t>
        </is>
      </c>
      <c r="H74" s="48" t="n">
        <v>46158</v>
      </c>
      <c r="I74" s="46" t="inlineStr">
        <is>
          <t>15.598</t>
        </is>
      </c>
      <c r="J74" s="46" t="inlineStr">
        <is>
          <t>60.97</t>
        </is>
      </c>
      <c r="K74" s="46" t="inlineStr">
        <is>
          <t>Gemma3:27b</t>
        </is>
      </c>
      <c r="L74" s="46" t="inlineStr">
        <is>
          <t>0.3</t>
        </is>
      </c>
      <c r="M74" s="73" t="inlineStr">
        <is>
          <t>Complete</t>
        </is>
      </c>
    </row>
    <row r="75" ht="13.5" customHeight="1" s="38">
      <c r="A75" s="46" t="inlineStr">
        <is>
          <t>S_S0_SC03_I02</t>
        </is>
      </c>
      <c r="B75" s="46" t="inlineStr">
        <is>
          <t>R_0824</t>
        </is>
      </c>
      <c r="C75" s="46" t="inlineStr">
        <is>
          <t>Baseline – Zero-Shot (minimal instruction)</t>
        </is>
      </c>
      <c r="D75" s="46" t="inlineStr">
        <is>
          <t>SC03</t>
        </is>
      </c>
      <c r="E75" s="46" t="inlineStr">
        <is>
          <t>Supply Chain</t>
        </is>
      </c>
      <c r="F75" s="47" t="n">
        <v>2</v>
      </c>
      <c r="G75" s="46" t="inlineStr">
        <is>
          <t>Gemma3:27b via Ollama</t>
        </is>
      </c>
      <c r="H75" s="48" t="n">
        <v>46158</v>
      </c>
      <c r="I75" s="46" t="inlineStr">
        <is>
          <t>13.672</t>
        </is>
      </c>
      <c r="J75" s="46" t="inlineStr">
        <is>
          <t>61.00</t>
        </is>
      </c>
      <c r="K75" s="46" t="inlineStr">
        <is>
          <t>Gemma3:27b</t>
        </is>
      </c>
      <c r="L75" s="46" t="inlineStr">
        <is>
          <t>0.3</t>
        </is>
      </c>
      <c r="M75" s="73" t="inlineStr">
        <is>
          <t>Complete</t>
        </is>
      </c>
    </row>
    <row r="76" ht="13.5" customHeight="1" s="38">
      <c r="A76" s="46" t="inlineStr">
        <is>
          <t>S_S0_SC03_I03</t>
        </is>
      </c>
      <c r="B76" s="46" t="inlineStr">
        <is>
          <t>R_0777</t>
        </is>
      </c>
      <c r="C76" s="46" t="inlineStr">
        <is>
          <t>Baseline – Zero-Shot (minimal instruction)</t>
        </is>
      </c>
      <c r="D76" s="46" t="inlineStr">
        <is>
          <t>SC03</t>
        </is>
      </c>
      <c r="E76" s="46" t="inlineStr">
        <is>
          <t>Supply Chain</t>
        </is>
      </c>
      <c r="F76" s="47" t="n">
        <v>3</v>
      </c>
      <c r="G76" s="46" t="inlineStr">
        <is>
          <t>Gemma3:27b via Ollama</t>
        </is>
      </c>
      <c r="H76" s="48" t="n">
        <v>46158</v>
      </c>
      <c r="I76" s="46" t="inlineStr">
        <is>
          <t>14.453</t>
        </is>
      </c>
      <c r="J76" s="46" t="inlineStr">
        <is>
          <t>61.03</t>
        </is>
      </c>
      <c r="K76" s="46" t="inlineStr">
        <is>
          <t>Gemma3:27b</t>
        </is>
      </c>
      <c r="L76" s="46" t="inlineStr">
        <is>
          <t>0.3</t>
        </is>
      </c>
      <c r="M76" s="73" t="inlineStr">
        <is>
          <t>Complete</t>
        </is>
      </c>
    </row>
    <row r="77" ht="13.5" customHeight="1" s="38">
      <c r="A77" s="46" t="inlineStr">
        <is>
          <t>S_S0_SC03_I04</t>
        </is>
      </c>
      <c r="B77" s="46" t="inlineStr">
        <is>
          <t>R_0426</t>
        </is>
      </c>
      <c r="C77" s="46" t="inlineStr">
        <is>
          <t>Baseline – Zero-Shot (minimal instruction)</t>
        </is>
      </c>
      <c r="D77" s="46" t="inlineStr">
        <is>
          <t>SC03</t>
        </is>
      </c>
      <c r="E77" s="46" t="inlineStr">
        <is>
          <t>Supply Chain</t>
        </is>
      </c>
      <c r="F77" s="47" t="n">
        <v>4</v>
      </c>
      <c r="G77" s="46" t="inlineStr">
        <is>
          <t>Gemma3:27b via Ollama</t>
        </is>
      </c>
      <c r="H77" s="48" t="n">
        <v>46158</v>
      </c>
      <c r="I77" s="46" t="inlineStr">
        <is>
          <t>15.272</t>
        </is>
      </c>
      <c r="J77" s="46" t="inlineStr">
        <is>
          <t>60.90</t>
        </is>
      </c>
      <c r="K77" s="46" t="inlineStr">
        <is>
          <t>Gemma3:27b</t>
        </is>
      </c>
      <c r="L77" s="46" t="inlineStr">
        <is>
          <t>0.3</t>
        </is>
      </c>
      <c r="M77" s="73" t="inlineStr">
        <is>
          <t>Complete</t>
        </is>
      </c>
    </row>
    <row r="78" ht="13.5" customHeight="1" s="38">
      <c r="A78" s="46" t="inlineStr">
        <is>
          <t>S_S0_SC03_I05</t>
        </is>
      </c>
      <c r="B78" s="46" t="inlineStr">
        <is>
          <t>R_0175</t>
        </is>
      </c>
      <c r="C78" s="46" t="inlineStr">
        <is>
          <t>Baseline – Zero-Shot (minimal instruction)</t>
        </is>
      </c>
      <c r="D78" s="46" t="inlineStr">
        <is>
          <t>SC03</t>
        </is>
      </c>
      <c r="E78" s="46" t="inlineStr">
        <is>
          <t>Supply Chain</t>
        </is>
      </c>
      <c r="F78" s="47" t="n">
        <v>5</v>
      </c>
      <c r="G78" s="46" t="inlineStr">
        <is>
          <t>Gemma3:27b via Ollama</t>
        </is>
      </c>
      <c r="H78" s="48" t="n">
        <v>46158</v>
      </c>
      <c r="I78" s="46" t="inlineStr">
        <is>
          <t>15.286</t>
        </is>
      </c>
      <c r="J78" s="46" t="inlineStr">
        <is>
          <t>60.97</t>
        </is>
      </c>
      <c r="K78" s="46" t="inlineStr">
        <is>
          <t>Gemma3:27b</t>
        </is>
      </c>
      <c r="L78" s="46" t="inlineStr">
        <is>
          <t>0.3</t>
        </is>
      </c>
      <c r="M78" s="73" t="inlineStr">
        <is>
          <t>Complete</t>
        </is>
      </c>
    </row>
    <row r="79" ht="13.5" customHeight="1" s="38">
      <c r="A79" s="46" t="inlineStr">
        <is>
          <t>S_S0_SC03_I06</t>
        </is>
      </c>
      <c r="B79" s="46" t="inlineStr">
        <is>
          <t>R_0846</t>
        </is>
      </c>
      <c r="C79" s="46" t="inlineStr">
        <is>
          <t>Baseline – Zero-Shot (minimal instruction)</t>
        </is>
      </c>
      <c r="D79" s="46" t="inlineStr">
        <is>
          <t>SC03</t>
        </is>
      </c>
      <c r="E79" s="46" t="inlineStr">
        <is>
          <t>Supply Chain</t>
        </is>
      </c>
      <c r="F79" s="47" t="n">
        <v>6</v>
      </c>
      <c r="G79" s="46" t="inlineStr">
        <is>
          <t>Gemma3:27b via Ollama</t>
        </is>
      </c>
      <c r="H79" s="48" t="n">
        <v>46158</v>
      </c>
      <c r="I79" s="46" t="inlineStr">
        <is>
          <t>13.687</t>
        </is>
      </c>
      <c r="J79" s="46" t="inlineStr">
        <is>
          <t>61.01</t>
        </is>
      </c>
      <c r="K79" s="46" t="inlineStr">
        <is>
          <t>Gemma3:27b</t>
        </is>
      </c>
      <c r="L79" s="46" t="inlineStr">
        <is>
          <t>0.3</t>
        </is>
      </c>
      <c r="M79" s="73" t="inlineStr">
        <is>
          <t>Complete</t>
        </is>
      </c>
    </row>
    <row r="80" ht="13.5" customHeight="1" s="38">
      <c r="A80" s="46" t="inlineStr">
        <is>
          <t>S_S0_SC03_I07</t>
        </is>
      </c>
      <c r="B80" s="46" t="inlineStr">
        <is>
          <t>R_0222</t>
        </is>
      </c>
      <c r="C80" s="46" t="inlineStr">
        <is>
          <t>Baseline – Zero-Shot (minimal instruction)</t>
        </is>
      </c>
      <c r="D80" s="46" t="inlineStr">
        <is>
          <t>SC03</t>
        </is>
      </c>
      <c r="E80" s="46" t="inlineStr">
        <is>
          <t>Supply Chain</t>
        </is>
      </c>
      <c r="F80" s="47" t="n">
        <v>7</v>
      </c>
      <c r="G80" s="46" t="inlineStr">
        <is>
          <t>Gemma3:27b via Ollama</t>
        </is>
      </c>
      <c r="H80" s="48" t="n">
        <v>46158</v>
      </c>
      <c r="I80" s="46" t="inlineStr">
        <is>
          <t>14.126</t>
        </is>
      </c>
      <c r="J80" s="46" t="inlineStr">
        <is>
          <t>61.02</t>
        </is>
      </c>
      <c r="K80" s="46" t="inlineStr">
        <is>
          <t>Gemma3:27b</t>
        </is>
      </c>
      <c r="L80" s="46" t="inlineStr">
        <is>
          <t>0.3</t>
        </is>
      </c>
      <c r="M80" s="73" t="inlineStr">
        <is>
          <t>Complete</t>
        </is>
      </c>
    </row>
    <row r="81" ht="13.5" customHeight="1" s="38">
      <c r="A81" s="46" t="inlineStr">
        <is>
          <t>S_S0_SC03_I08</t>
        </is>
      </c>
      <c r="B81" s="46" t="inlineStr">
        <is>
          <t>R_0457</t>
        </is>
      </c>
      <c r="C81" s="46" t="inlineStr">
        <is>
          <t>Baseline – Zero-Shot (minimal instruction)</t>
        </is>
      </c>
      <c r="D81" s="46" t="inlineStr">
        <is>
          <t>SC03</t>
        </is>
      </c>
      <c r="E81" s="46" t="inlineStr">
        <is>
          <t>Supply Chain</t>
        </is>
      </c>
      <c r="F81" s="47" t="n">
        <v>8</v>
      </c>
      <c r="G81" s="46" t="inlineStr">
        <is>
          <t>Gemma3:27b via Ollama</t>
        </is>
      </c>
      <c r="H81" s="48" t="n">
        <v>46158</v>
      </c>
      <c r="I81" s="46" t="inlineStr">
        <is>
          <t>14.436</t>
        </is>
      </c>
      <c r="J81" s="46" t="inlineStr">
        <is>
          <t>61.03</t>
        </is>
      </c>
      <c r="K81" s="46" t="inlineStr">
        <is>
          <t>Gemma3:27b</t>
        </is>
      </c>
      <c r="L81" s="46" t="inlineStr">
        <is>
          <t>0.3</t>
        </is>
      </c>
      <c r="M81" s="73" t="inlineStr">
        <is>
          <t>Complete</t>
        </is>
      </c>
    </row>
    <row r="82" ht="13.5" customHeight="1" s="38">
      <c r="A82" s="46" t="inlineStr">
        <is>
          <t>S_S0_SC03_I09</t>
        </is>
      </c>
      <c r="B82" s="46" t="inlineStr">
        <is>
          <t>R_0858</t>
        </is>
      </c>
      <c r="C82" s="46" t="inlineStr">
        <is>
          <t>Baseline – Zero-Shot (minimal instruction)</t>
        </is>
      </c>
      <c r="D82" s="46" t="inlineStr">
        <is>
          <t>SC03</t>
        </is>
      </c>
      <c r="E82" s="46" t="inlineStr">
        <is>
          <t>Supply Chain</t>
        </is>
      </c>
      <c r="F82" s="47" t="n">
        <v>9</v>
      </c>
      <c r="G82" s="46" t="inlineStr">
        <is>
          <t>Gemma3:27b via Ollama</t>
        </is>
      </c>
      <c r="H82" s="48" t="n">
        <v>46158</v>
      </c>
      <c r="I82" s="46" t="inlineStr">
        <is>
          <t>15.880</t>
        </is>
      </c>
      <c r="J82" s="46" t="inlineStr">
        <is>
          <t>61.08</t>
        </is>
      </c>
      <c r="K82" s="46" t="inlineStr">
        <is>
          <t>Gemma3:27b</t>
        </is>
      </c>
      <c r="L82" s="46" t="inlineStr">
        <is>
          <t>0.3</t>
        </is>
      </c>
      <c r="M82" s="73" t="inlineStr">
        <is>
          <t>Complete</t>
        </is>
      </c>
    </row>
    <row r="83" ht="13.5" customHeight="1" s="38">
      <c r="A83" s="46" t="inlineStr">
        <is>
          <t>S_S0_SC03_I10</t>
        </is>
      </c>
      <c r="B83" s="46" t="inlineStr">
        <is>
          <t>R_0017</t>
        </is>
      </c>
      <c r="C83" s="46" t="inlineStr">
        <is>
          <t>Baseline – Zero-Shot (minimal instruction)</t>
        </is>
      </c>
      <c r="D83" s="46" t="inlineStr">
        <is>
          <t>SC03</t>
        </is>
      </c>
      <c r="E83" s="46" t="inlineStr">
        <is>
          <t>Supply Chain</t>
        </is>
      </c>
      <c r="F83" s="47" t="n">
        <v>10</v>
      </c>
      <c r="G83" s="46" t="inlineStr">
        <is>
          <t>Gemma3:27b via Ollama</t>
        </is>
      </c>
      <c r="H83" s="48" t="n">
        <v>46158</v>
      </c>
      <c r="I83" s="46" t="inlineStr">
        <is>
          <t>14.993</t>
        </is>
      </c>
      <c r="J83" s="46" t="inlineStr">
        <is>
          <t>61.03</t>
        </is>
      </c>
      <c r="K83" s="46" t="inlineStr">
        <is>
          <t>Gemma3:27b</t>
        </is>
      </c>
      <c r="L83" s="46" t="inlineStr">
        <is>
          <t>0.3</t>
        </is>
      </c>
      <c r="M83" s="73" t="inlineStr">
        <is>
          <t>Complete</t>
        </is>
      </c>
    </row>
    <row r="84" ht="13.5" customHeight="1" s="38">
      <c r="A84" s="46" t="inlineStr">
        <is>
          <t>S_S0_SC04_I01</t>
        </is>
      </c>
      <c r="B84" s="46" t="inlineStr">
        <is>
          <t>R_0839</t>
        </is>
      </c>
      <c r="C84" s="46" t="inlineStr">
        <is>
          <t>Baseline – Zero-Shot (minimal instruction)</t>
        </is>
      </c>
      <c r="D84" s="46" t="inlineStr">
        <is>
          <t>SC04</t>
        </is>
      </c>
      <c r="E84" s="46" t="inlineStr">
        <is>
          <t>Supply Chain</t>
        </is>
      </c>
      <c r="F84" s="47" t="n">
        <v>1</v>
      </c>
      <c r="G84" s="46" t="inlineStr">
        <is>
          <t>Gemma3:27b via Ollama</t>
        </is>
      </c>
      <c r="H84" s="48" t="n">
        <v>46158</v>
      </c>
      <c r="I84" s="46" t="inlineStr">
        <is>
          <t>11.537</t>
        </is>
      </c>
      <c r="J84" s="46" t="inlineStr">
        <is>
          <t>63.97</t>
        </is>
      </c>
      <c r="K84" s="46" t="inlineStr">
        <is>
          <t>Gemma3:27b</t>
        </is>
      </c>
      <c r="L84" s="46" t="inlineStr">
        <is>
          <t>0.3</t>
        </is>
      </c>
      <c r="M84" s="73" t="inlineStr">
        <is>
          <t>Complete</t>
        </is>
      </c>
    </row>
    <row r="85" ht="13.5" customHeight="1" s="38">
      <c r="A85" s="46" t="inlineStr">
        <is>
          <t>S_S0_SC04_I02</t>
        </is>
      </c>
      <c r="B85" s="46" t="inlineStr">
        <is>
          <t>R_0002</t>
        </is>
      </c>
      <c r="C85" s="46" t="inlineStr">
        <is>
          <t>Baseline – Zero-Shot (minimal instruction)</t>
        </is>
      </c>
      <c r="D85" s="46" t="inlineStr">
        <is>
          <t>SC04</t>
        </is>
      </c>
      <c r="E85" s="46" t="inlineStr">
        <is>
          <t>Supply Chain</t>
        </is>
      </c>
      <c r="F85" s="47" t="n">
        <v>2</v>
      </c>
      <c r="G85" s="46" t="inlineStr">
        <is>
          <t>Gemma3:27b via Ollama</t>
        </is>
      </c>
      <c r="H85" s="48" t="n">
        <v>46158</v>
      </c>
      <c r="I85" s="46" t="inlineStr">
        <is>
          <t>10.839</t>
        </is>
      </c>
      <c r="J85" s="46" t="inlineStr">
        <is>
          <t>62.83</t>
        </is>
      </c>
      <c r="K85" s="46" t="inlineStr">
        <is>
          <t>Gemma3:27b</t>
        </is>
      </c>
      <c r="L85" s="46" t="inlineStr">
        <is>
          <t>0.3</t>
        </is>
      </c>
      <c r="M85" s="73" t="inlineStr">
        <is>
          <t>Complete</t>
        </is>
      </c>
    </row>
    <row r="86" ht="13.5" customHeight="1" s="38">
      <c r="A86" s="46" t="inlineStr">
        <is>
          <t>S_S0_SC04_I03</t>
        </is>
      </c>
      <c r="B86" s="46" t="inlineStr">
        <is>
          <t>R_0039</t>
        </is>
      </c>
      <c r="C86" s="46" t="inlineStr">
        <is>
          <t>Baseline – Zero-Shot (minimal instruction)</t>
        </is>
      </c>
      <c r="D86" s="46" t="inlineStr">
        <is>
          <t>SC04</t>
        </is>
      </c>
      <c r="E86" s="46" t="inlineStr">
        <is>
          <t>Supply Chain</t>
        </is>
      </c>
      <c r="F86" s="47" t="n">
        <v>3</v>
      </c>
      <c r="G86" s="46" t="inlineStr">
        <is>
          <t>Gemma3:27b via Ollama</t>
        </is>
      </c>
      <c r="H86" s="48" t="n">
        <v>46158</v>
      </c>
      <c r="I86" s="46" t="inlineStr">
        <is>
          <t>11.947</t>
        </is>
      </c>
      <c r="J86" s="46" t="inlineStr">
        <is>
          <t>63.03</t>
        </is>
      </c>
      <c r="K86" s="46" t="inlineStr">
        <is>
          <t>Gemma3:27b</t>
        </is>
      </c>
      <c r="L86" s="46" t="inlineStr">
        <is>
          <t>0.3</t>
        </is>
      </c>
      <c r="M86" s="73" t="inlineStr">
        <is>
          <t>Complete</t>
        </is>
      </c>
    </row>
    <row r="87" ht="13.5" customHeight="1" s="38">
      <c r="A87" s="46" t="inlineStr">
        <is>
          <t>S_S0_SC04_I04</t>
        </is>
      </c>
      <c r="B87" s="46" t="inlineStr">
        <is>
          <t>R_0398</t>
        </is>
      </c>
      <c r="C87" s="46" t="inlineStr">
        <is>
          <t>Baseline – Zero-Shot (minimal instruction)</t>
        </is>
      </c>
      <c r="D87" s="46" t="inlineStr">
        <is>
          <t>SC04</t>
        </is>
      </c>
      <c r="E87" s="46" t="inlineStr">
        <is>
          <t>Supply Chain</t>
        </is>
      </c>
      <c r="F87" s="47" t="n">
        <v>4</v>
      </c>
      <c r="G87" s="46" t="inlineStr">
        <is>
          <t>Gemma3:27b via Ollama</t>
        </is>
      </c>
      <c r="H87" s="48" t="n">
        <v>46158</v>
      </c>
      <c r="I87" s="46" t="inlineStr">
        <is>
          <t>11.991</t>
        </is>
      </c>
      <c r="J87" s="46" t="inlineStr">
        <is>
          <t>63.97</t>
        </is>
      </c>
      <c r="K87" s="46" t="inlineStr">
        <is>
          <t>Gemma3:27b</t>
        </is>
      </c>
      <c r="L87" s="46" t="inlineStr">
        <is>
          <t>0.3</t>
        </is>
      </c>
      <c r="M87" s="73" t="inlineStr">
        <is>
          <t>Complete</t>
        </is>
      </c>
    </row>
    <row r="88" ht="13.5" customHeight="1" s="38">
      <c r="A88" s="46" t="inlineStr">
        <is>
          <t>S_S0_SC04_I05</t>
        </is>
      </c>
      <c r="B88" s="46" t="inlineStr">
        <is>
          <t>R_0804</t>
        </is>
      </c>
      <c r="C88" s="46" t="inlineStr">
        <is>
          <t>Baseline – Zero-Shot (minimal instruction)</t>
        </is>
      </c>
      <c r="D88" s="46" t="inlineStr">
        <is>
          <t>SC04</t>
        </is>
      </c>
      <c r="E88" s="46" t="inlineStr">
        <is>
          <t>Supply Chain</t>
        </is>
      </c>
      <c r="F88" s="47" t="n">
        <v>5</v>
      </c>
      <c r="G88" s="46" t="inlineStr">
        <is>
          <t>Gemma3:27b via Ollama</t>
        </is>
      </c>
      <c r="H88" s="48" t="n">
        <v>46158</v>
      </c>
      <c r="I88" s="46" t="inlineStr">
        <is>
          <t>11.688</t>
        </is>
      </c>
      <c r="J88" s="46" t="inlineStr">
        <is>
          <t>63.31</t>
        </is>
      </c>
      <c r="K88" s="46" t="inlineStr">
        <is>
          <t>Gemma3:27b</t>
        </is>
      </c>
      <c r="L88" s="46" t="inlineStr">
        <is>
          <t>0.3</t>
        </is>
      </c>
      <c r="M88" s="73" t="inlineStr">
        <is>
          <t>Complete</t>
        </is>
      </c>
    </row>
    <row r="89" ht="13.5" customHeight="1" s="38">
      <c r="A89" s="46" t="inlineStr">
        <is>
          <t>S_S0_SC04_I06</t>
        </is>
      </c>
      <c r="B89" s="46" t="inlineStr">
        <is>
          <t>R_0745</t>
        </is>
      </c>
      <c r="C89" s="46" t="inlineStr">
        <is>
          <t>Baseline – Zero-Shot (minimal instruction)</t>
        </is>
      </c>
      <c r="D89" s="46" t="inlineStr">
        <is>
          <t>SC04</t>
        </is>
      </c>
      <c r="E89" s="46" t="inlineStr">
        <is>
          <t>Supply Chain</t>
        </is>
      </c>
      <c r="F89" s="47" t="n">
        <v>6</v>
      </c>
      <c r="G89" s="46" t="inlineStr">
        <is>
          <t>Gemma3:27b via Ollama</t>
        </is>
      </c>
      <c r="H89" s="48" t="n">
        <v>46158</v>
      </c>
      <c r="I89" s="46" t="inlineStr">
        <is>
          <t>12.723</t>
        </is>
      </c>
      <c r="J89" s="46" t="inlineStr">
        <is>
          <t>62.64</t>
        </is>
      </c>
      <c r="K89" s="46" t="inlineStr">
        <is>
          <t>Gemma3:27b</t>
        </is>
      </c>
      <c r="L89" s="46" t="inlineStr">
        <is>
          <t>0.3</t>
        </is>
      </c>
      <c r="M89" s="73" t="inlineStr">
        <is>
          <t>Complete</t>
        </is>
      </c>
    </row>
    <row r="90" ht="13.5" customHeight="1" s="38">
      <c r="A90" s="46" t="inlineStr">
        <is>
          <t>S_S0_SC04_I07</t>
        </is>
      </c>
      <c r="B90" s="46" t="inlineStr">
        <is>
          <t>R_0949</t>
        </is>
      </c>
      <c r="C90" s="46" t="inlineStr">
        <is>
          <t>Baseline – Zero-Shot (minimal instruction)</t>
        </is>
      </c>
      <c r="D90" s="46" t="inlineStr">
        <is>
          <t>SC04</t>
        </is>
      </c>
      <c r="E90" s="46" t="inlineStr">
        <is>
          <t>Supply Chain</t>
        </is>
      </c>
      <c r="F90" s="47" t="n">
        <v>7</v>
      </c>
      <c r="G90" s="46" t="inlineStr">
        <is>
          <t>Gemma3:27b via Ollama</t>
        </is>
      </c>
      <c r="H90" s="48" t="n">
        <v>46158</v>
      </c>
      <c r="I90" s="46" t="inlineStr">
        <is>
          <t>11.57</t>
        </is>
      </c>
      <c r="J90" s="46" t="inlineStr">
        <is>
          <t>62.56</t>
        </is>
      </c>
      <c r="K90" s="46" t="inlineStr">
        <is>
          <t>Gemma3:27b</t>
        </is>
      </c>
      <c r="L90" s="46" t="inlineStr">
        <is>
          <t>0.3</t>
        </is>
      </c>
      <c r="M90" s="73" t="inlineStr">
        <is>
          <t>Complete</t>
        </is>
      </c>
    </row>
    <row r="91" ht="13.5" customHeight="1" s="38">
      <c r="A91" s="46" t="inlineStr">
        <is>
          <t>S_S0_SC04_I08</t>
        </is>
      </c>
      <c r="B91" s="46" t="inlineStr">
        <is>
          <t>R_0443</t>
        </is>
      </c>
      <c r="C91" s="46" t="inlineStr">
        <is>
          <t>Baseline – Zero-Shot (minimal instruction)</t>
        </is>
      </c>
      <c r="D91" s="46" t="inlineStr">
        <is>
          <t>SC04</t>
        </is>
      </c>
      <c r="E91" s="46" t="inlineStr">
        <is>
          <t>Supply Chain</t>
        </is>
      </c>
      <c r="F91" s="47" t="n">
        <v>8</v>
      </c>
      <c r="G91" s="46" t="inlineStr">
        <is>
          <t>Gemma3:27b via Ollama</t>
        </is>
      </c>
      <c r="H91" s="48" t="n">
        <v>46158</v>
      </c>
      <c r="I91" s="46" t="inlineStr">
        <is>
          <t>13.579</t>
        </is>
      </c>
      <c r="J91" s="46" t="inlineStr">
        <is>
          <t>63.18</t>
        </is>
      </c>
      <c r="K91" s="46" t="inlineStr">
        <is>
          <t>Gemma3:27b</t>
        </is>
      </c>
      <c r="L91" s="46" t="inlineStr">
        <is>
          <t>0.3</t>
        </is>
      </c>
      <c r="M91" s="73" t="inlineStr">
        <is>
          <t>Complete</t>
        </is>
      </c>
    </row>
    <row r="92" ht="13.5" customHeight="1" s="38">
      <c r="A92" s="46" t="inlineStr">
        <is>
          <t>S_S0_SC04_I09</t>
        </is>
      </c>
      <c r="B92" s="46" t="inlineStr">
        <is>
          <t>R_0393</t>
        </is>
      </c>
      <c r="C92" s="46" t="inlineStr">
        <is>
          <t>Baseline – Zero-Shot (minimal instruction)</t>
        </is>
      </c>
      <c r="D92" s="46" t="inlineStr">
        <is>
          <t>SC04</t>
        </is>
      </c>
      <c r="E92" s="46" t="inlineStr">
        <is>
          <t>Supply Chain</t>
        </is>
      </c>
      <c r="F92" s="47" t="n">
        <v>9</v>
      </c>
      <c r="G92" s="46" t="inlineStr">
        <is>
          <t>Gemma3:27b via Ollama</t>
        </is>
      </c>
      <c r="H92" s="48" t="n">
        <v>46158</v>
      </c>
      <c r="I92" s="46" t="inlineStr">
        <is>
          <t>12.332</t>
        </is>
      </c>
      <c r="J92" s="46" t="inlineStr">
        <is>
          <t>63.01</t>
        </is>
      </c>
      <c r="K92" s="46" t="inlineStr">
        <is>
          <t>Gemma3:27b</t>
        </is>
      </c>
      <c r="L92" s="46" t="inlineStr">
        <is>
          <t>0.3</t>
        </is>
      </c>
      <c r="M92" s="73" t="inlineStr">
        <is>
          <t>Complete</t>
        </is>
      </c>
    </row>
    <row r="93" ht="13.5" customHeight="1" s="38">
      <c r="A93" s="46" t="inlineStr">
        <is>
          <t>S_S0_SC04_I10</t>
        </is>
      </c>
      <c r="B93" s="46" t="inlineStr">
        <is>
          <t>R_0558</t>
        </is>
      </c>
      <c r="C93" s="46" t="inlineStr">
        <is>
          <t>Baseline – Zero-Shot (minimal instruction)</t>
        </is>
      </c>
      <c r="D93" s="46" t="inlineStr">
        <is>
          <t>SC04</t>
        </is>
      </c>
      <c r="E93" s="46" t="inlineStr">
        <is>
          <t>Supply Chain</t>
        </is>
      </c>
      <c r="F93" s="47" t="n">
        <v>10</v>
      </c>
      <c r="G93" s="46" t="inlineStr">
        <is>
          <t>Gemma3:27b via Ollama</t>
        </is>
      </c>
      <c r="H93" s="48" t="n">
        <v>46158</v>
      </c>
      <c r="I93" s="46" t="inlineStr">
        <is>
          <t>12.751</t>
        </is>
      </c>
      <c r="J93" s="46" t="inlineStr">
        <is>
          <t>63.06</t>
        </is>
      </c>
      <c r="K93" s="46" t="inlineStr">
        <is>
          <t>Gemma3:27b</t>
        </is>
      </c>
      <c r="L93" s="46" t="inlineStr">
        <is>
          <t>0.3</t>
        </is>
      </c>
      <c r="M93" s="73" t="inlineStr">
        <is>
          <t>Complete</t>
        </is>
      </c>
    </row>
    <row r="94" ht="13.5" customHeight="1" s="38">
      <c r="A94" s="46" t="inlineStr">
        <is>
          <t>S_S0_SC05_I01</t>
        </is>
      </c>
      <c r="B94" s="46" t="inlineStr">
        <is>
          <t>R_0077</t>
        </is>
      </c>
      <c r="C94" s="46" t="inlineStr">
        <is>
          <t>Baseline – Zero-Shot (minimal instruction)</t>
        </is>
      </c>
      <c r="D94" s="46" t="inlineStr">
        <is>
          <t>SC05</t>
        </is>
      </c>
      <c r="E94" s="46" t="inlineStr">
        <is>
          <t>Supply Chain</t>
        </is>
      </c>
      <c r="F94" s="47" t="n">
        <v>1</v>
      </c>
      <c r="G94" s="46" t="inlineStr">
        <is>
          <t>Gemma3:27b via Ollama</t>
        </is>
      </c>
      <c r="H94" s="48" t="n">
        <v>46158</v>
      </c>
      <c r="I94" s="46" t="inlineStr">
        <is>
          <t>14.415</t>
        </is>
      </c>
      <c r="J94" s="46" t="inlineStr">
        <is>
          <t>67.15</t>
        </is>
      </c>
      <c r="K94" s="46" t="inlineStr">
        <is>
          <t>Gemma3:27b</t>
        </is>
      </c>
      <c r="L94" s="46" t="inlineStr">
        <is>
          <t>0.3</t>
        </is>
      </c>
      <c r="M94" s="73" t="inlineStr">
        <is>
          <t>Complete</t>
        </is>
      </c>
    </row>
    <row r="95" ht="13.5" customHeight="1" s="38">
      <c r="A95" s="46" t="inlineStr">
        <is>
          <t>S_S0_SC05_I02</t>
        </is>
      </c>
      <c r="B95" s="46" t="inlineStr">
        <is>
          <t>R_0448</t>
        </is>
      </c>
      <c r="C95" s="46" t="inlineStr">
        <is>
          <t>Baseline – Zero-Shot (minimal instruction)</t>
        </is>
      </c>
      <c r="D95" s="46" t="inlineStr">
        <is>
          <t>SC05</t>
        </is>
      </c>
      <c r="E95" s="46" t="inlineStr">
        <is>
          <t>Supply Chain</t>
        </is>
      </c>
      <c r="F95" s="47" t="n">
        <v>2</v>
      </c>
      <c r="G95" s="46" t="inlineStr">
        <is>
          <t>Gemma3:27b via Ollama</t>
        </is>
      </c>
      <c r="H95" s="48" t="n">
        <v>46158</v>
      </c>
      <c r="I95" s="46" t="inlineStr">
        <is>
          <t>13.255</t>
        </is>
      </c>
      <c r="J95" s="46" t="inlineStr">
        <is>
          <t>67.22</t>
        </is>
      </c>
      <c r="K95" s="46" t="inlineStr">
        <is>
          <t>Gemma3:27b</t>
        </is>
      </c>
      <c r="L95" s="46" t="inlineStr">
        <is>
          <t>0.3</t>
        </is>
      </c>
      <c r="M95" s="73" t="inlineStr">
        <is>
          <t>Complete</t>
        </is>
      </c>
    </row>
    <row r="96" ht="13.5" customHeight="1" s="38">
      <c r="A96" s="46" t="inlineStr">
        <is>
          <t>S_S0_SC05_I03</t>
        </is>
      </c>
      <c r="B96" s="46" t="inlineStr">
        <is>
          <t>R_0776</t>
        </is>
      </c>
      <c r="C96" s="46" t="inlineStr">
        <is>
          <t>Baseline – Zero-Shot (minimal instruction)</t>
        </is>
      </c>
      <c r="D96" s="46" t="inlineStr">
        <is>
          <t>SC05</t>
        </is>
      </c>
      <c r="E96" s="46" t="inlineStr">
        <is>
          <t>Supply Chain</t>
        </is>
      </c>
      <c r="F96" s="47" t="n">
        <v>3</v>
      </c>
      <c r="G96" s="46" t="inlineStr">
        <is>
          <t>Gemma3:27b via Ollama</t>
        </is>
      </c>
      <c r="H96" s="48" t="n">
        <v>46158</v>
      </c>
      <c r="I96" s="46" t="inlineStr">
        <is>
          <t>14.296</t>
        </is>
      </c>
      <c r="J96" s="46" t="inlineStr">
        <is>
          <t>67.29</t>
        </is>
      </c>
      <c r="K96" s="46" t="inlineStr">
        <is>
          <t>Gemma3:27b</t>
        </is>
      </c>
      <c r="L96" s="46" t="inlineStr">
        <is>
          <t>0.3</t>
        </is>
      </c>
      <c r="M96" s="73" t="inlineStr">
        <is>
          <t>Complete</t>
        </is>
      </c>
    </row>
    <row r="97" ht="13.5" customHeight="1" s="38">
      <c r="A97" s="46" t="inlineStr">
        <is>
          <t>S_S0_SC05_I04</t>
        </is>
      </c>
      <c r="B97" s="46" t="inlineStr">
        <is>
          <t>R_0189</t>
        </is>
      </c>
      <c r="C97" s="46" t="inlineStr">
        <is>
          <t>Baseline – Zero-Shot (minimal instruction)</t>
        </is>
      </c>
      <c r="D97" s="46" t="inlineStr">
        <is>
          <t>SC05</t>
        </is>
      </c>
      <c r="E97" s="46" t="inlineStr">
        <is>
          <t>Supply Chain</t>
        </is>
      </c>
      <c r="F97" s="47" t="n">
        <v>4</v>
      </c>
      <c r="G97" s="46" t="inlineStr">
        <is>
          <t>Gemma3:27b via Ollama</t>
        </is>
      </c>
      <c r="H97" s="48" t="n">
        <v>46158</v>
      </c>
      <c r="I97" s="46" t="inlineStr">
        <is>
          <t>12.772</t>
        </is>
      </c>
      <c r="J97" s="46" t="inlineStr">
        <is>
          <t>67.49</t>
        </is>
      </c>
      <c r="K97" s="46" t="inlineStr">
        <is>
          <t>Gemma3:27b</t>
        </is>
      </c>
      <c r="L97" s="46" t="inlineStr">
        <is>
          <t>0.3</t>
        </is>
      </c>
      <c r="M97" s="73" t="inlineStr">
        <is>
          <t>Complete</t>
        </is>
      </c>
    </row>
    <row r="98" ht="13.5" customHeight="1" s="38">
      <c r="A98" s="46" t="inlineStr">
        <is>
          <t>S_S0_SC05_I05</t>
        </is>
      </c>
      <c r="B98" s="46" t="inlineStr">
        <is>
          <t>R_0257</t>
        </is>
      </c>
      <c r="C98" s="46" t="inlineStr">
        <is>
          <t>Baseline – Zero-Shot (minimal instruction)</t>
        </is>
      </c>
      <c r="D98" s="46" t="inlineStr">
        <is>
          <t>SC05</t>
        </is>
      </c>
      <c r="E98" s="46" t="inlineStr">
        <is>
          <t>Supply Chain</t>
        </is>
      </c>
      <c r="F98" s="47" t="n">
        <v>5</v>
      </c>
      <c r="G98" s="46" t="inlineStr">
        <is>
          <t>Gemma3:27b via Ollama</t>
        </is>
      </c>
      <c r="H98" s="48" t="n">
        <v>46158</v>
      </c>
      <c r="I98" s="46" t="inlineStr">
        <is>
          <t>13.261</t>
        </is>
      </c>
      <c r="J98" s="46" t="inlineStr">
        <is>
          <t>67.42</t>
        </is>
      </c>
      <c r="K98" s="46" t="inlineStr">
        <is>
          <t>Gemma3:27b</t>
        </is>
      </c>
      <c r="L98" s="46" t="inlineStr">
        <is>
          <t>0.3</t>
        </is>
      </c>
      <c r="M98" s="73" t="inlineStr">
        <is>
          <t>Complete</t>
        </is>
      </c>
    </row>
    <row r="99" ht="13.5" customHeight="1" s="38">
      <c r="A99" s="46" t="inlineStr">
        <is>
          <t>S_S0_SC05_I06</t>
        </is>
      </c>
      <c r="B99" s="46" t="inlineStr">
        <is>
          <t>R_0350</t>
        </is>
      </c>
      <c r="C99" s="46" t="inlineStr">
        <is>
          <t>Baseline – Zero-Shot (minimal instruction)</t>
        </is>
      </c>
      <c r="D99" s="46" t="inlineStr">
        <is>
          <t>SC05</t>
        </is>
      </c>
      <c r="E99" s="46" t="inlineStr">
        <is>
          <t>Supply Chain</t>
        </is>
      </c>
      <c r="F99" s="47" t="n">
        <v>6</v>
      </c>
      <c r="G99" s="46" t="inlineStr">
        <is>
          <t>Gemma3:27b via Ollama</t>
        </is>
      </c>
      <c r="H99" s="48" t="n">
        <v>46158</v>
      </c>
      <c r="I99" s="46" t="inlineStr">
        <is>
          <t>13.505</t>
        </is>
      </c>
      <c r="J99" s="46" t="inlineStr">
        <is>
          <t>67.24</t>
        </is>
      </c>
      <c r="K99" s="46" t="inlineStr">
        <is>
          <t>Gemma3:27b</t>
        </is>
      </c>
      <c r="L99" s="46" t="inlineStr">
        <is>
          <t>0.3</t>
        </is>
      </c>
      <c r="M99" s="73" t="inlineStr">
        <is>
          <t>Complete</t>
        </is>
      </c>
    </row>
    <row r="100" ht="13.5" customHeight="1" s="38">
      <c r="A100" s="46" t="inlineStr">
        <is>
          <t>S_S0_SC05_I07</t>
        </is>
      </c>
      <c r="B100" s="46" t="inlineStr">
        <is>
          <t>R_0405</t>
        </is>
      </c>
      <c r="C100" s="46" t="inlineStr">
        <is>
          <t>Baseline – Zero-Shot (minimal instruction)</t>
        </is>
      </c>
      <c r="D100" s="46" t="inlineStr">
        <is>
          <t>SC05</t>
        </is>
      </c>
      <c r="E100" s="46" t="inlineStr">
        <is>
          <t>Supply Chain</t>
        </is>
      </c>
      <c r="F100" s="47" t="n">
        <v>7</v>
      </c>
      <c r="G100" s="46" t="inlineStr">
        <is>
          <t>Gemma3:27b via Ollama</t>
        </is>
      </c>
      <c r="H100" s="48" t="n">
        <v>46158</v>
      </c>
      <c r="I100" s="46" t="inlineStr">
        <is>
          <t>13.374</t>
        </is>
      </c>
      <c r="J100" s="46" t="inlineStr">
        <is>
          <t>67.14</t>
        </is>
      </c>
      <c r="K100" s="46" t="inlineStr">
        <is>
          <t>Gemma3:27b</t>
        </is>
      </c>
      <c r="L100" s="46" t="inlineStr">
        <is>
          <t>0.3</t>
        </is>
      </c>
      <c r="M100" s="73" t="inlineStr">
        <is>
          <t>Complete</t>
        </is>
      </c>
    </row>
    <row r="101" ht="13.5" customHeight="1" s="38">
      <c r="A101" s="46" t="inlineStr">
        <is>
          <t>S_S0_SC05_I08</t>
        </is>
      </c>
      <c r="B101" s="46" t="inlineStr">
        <is>
          <t>R_0819</t>
        </is>
      </c>
      <c r="C101" s="46" t="inlineStr">
        <is>
          <t>Baseline – Zero-Shot (minimal instruction)</t>
        </is>
      </c>
      <c r="D101" s="46" t="inlineStr">
        <is>
          <t>SC05</t>
        </is>
      </c>
      <c r="E101" s="46" t="inlineStr">
        <is>
          <t>Supply Chain</t>
        </is>
      </c>
      <c r="F101" s="47" t="n">
        <v>8</v>
      </c>
      <c r="G101" s="46" t="inlineStr">
        <is>
          <t>Gemma3:27b via Ollama</t>
        </is>
      </c>
      <c r="H101" s="48" t="n">
        <v>46158</v>
      </c>
      <c r="I101" s="46" t="inlineStr">
        <is>
          <t>13.083</t>
        </is>
      </c>
      <c r="J101" s="46" t="inlineStr">
        <is>
          <t>67.34</t>
        </is>
      </c>
      <c r="K101" s="46" t="inlineStr">
        <is>
          <t>Gemma3:27b</t>
        </is>
      </c>
      <c r="L101" s="46" t="inlineStr">
        <is>
          <t>0.3</t>
        </is>
      </c>
      <c r="M101" s="73" t="inlineStr">
        <is>
          <t>Complete</t>
        </is>
      </c>
    </row>
    <row r="102" ht="13.5" customHeight="1" s="38">
      <c r="A102" s="46" t="inlineStr">
        <is>
          <t>S_S0_SC05_I09</t>
        </is>
      </c>
      <c r="B102" s="46" t="inlineStr">
        <is>
          <t>R_0723</t>
        </is>
      </c>
      <c r="C102" s="46" t="inlineStr">
        <is>
          <t>Baseline – Zero-Shot (minimal instruction)</t>
        </is>
      </c>
      <c r="D102" s="46" t="inlineStr">
        <is>
          <t>SC05</t>
        </is>
      </c>
      <c r="E102" s="46" t="inlineStr">
        <is>
          <t>Supply Chain</t>
        </is>
      </c>
      <c r="F102" s="47" t="n">
        <v>9</v>
      </c>
      <c r="G102" s="46" t="inlineStr">
        <is>
          <t>Gemma3:27b via Ollama</t>
        </is>
      </c>
      <c r="H102" s="48" t="n">
        <v>46158</v>
      </c>
      <c r="I102" s="46" t="inlineStr">
        <is>
          <t>15.824</t>
        </is>
      </c>
      <c r="J102" s="46" t="inlineStr">
        <is>
          <t>67.24</t>
        </is>
      </c>
      <c r="K102" s="46" t="inlineStr">
        <is>
          <t>Gemma3:27b</t>
        </is>
      </c>
      <c r="L102" s="46" t="inlineStr">
        <is>
          <t>0.3</t>
        </is>
      </c>
      <c r="M102" s="73" t="inlineStr">
        <is>
          <t>Complete</t>
        </is>
      </c>
    </row>
    <row r="103" ht="13.5" customHeight="1" s="38">
      <c r="A103" s="46" t="inlineStr">
        <is>
          <t>S_S0_SC05_I10</t>
        </is>
      </c>
      <c r="B103" s="46" t="inlineStr">
        <is>
          <t>R_0695</t>
        </is>
      </c>
      <c r="C103" s="46" t="inlineStr">
        <is>
          <t>Baseline – Zero-Shot (minimal instruction)</t>
        </is>
      </c>
      <c r="D103" s="46" t="inlineStr">
        <is>
          <t>SC05</t>
        </is>
      </c>
      <c r="E103" s="46" t="inlineStr">
        <is>
          <t>Supply Chain</t>
        </is>
      </c>
      <c r="F103" s="47" t="n">
        <v>10</v>
      </c>
      <c r="G103" s="46" t="inlineStr">
        <is>
          <t>Gemma3:27b via Ollama</t>
        </is>
      </c>
      <c r="H103" s="48" t="n">
        <v>46158</v>
      </c>
      <c r="I103" s="46" t="inlineStr">
        <is>
          <t>12.890</t>
        </is>
      </c>
      <c r="J103" s="46" t="inlineStr">
        <is>
          <t>67.19</t>
        </is>
      </c>
      <c r="K103" s="46" t="inlineStr">
        <is>
          <t>Gemma3:27b</t>
        </is>
      </c>
      <c r="L103" s="46" t="inlineStr">
        <is>
          <t>0.3</t>
        </is>
      </c>
      <c r="M103" s="73" t="inlineStr">
        <is>
          <t>Complete</t>
        </is>
      </c>
    </row>
    <row r="104" ht="13.5" customHeight="1" s="38">
      <c r="A104" s="46" t="inlineStr">
        <is>
          <t>Z_S0_SC01_I01</t>
        </is>
      </c>
      <c r="B104" s="46" t="inlineStr">
        <is>
          <t>R_0199</t>
        </is>
      </c>
      <c r="C104" s="46" t="inlineStr">
        <is>
          <t>Baseline – Zero-Shot (minimal instruction)</t>
        </is>
      </c>
      <c r="D104" s="46" t="inlineStr">
        <is>
          <t>SC01</t>
        </is>
      </c>
      <c r="E104" s="46" t="inlineStr">
        <is>
          <t>Zero-Day / Edge Device</t>
        </is>
      </c>
      <c r="F104" s="47" t="n">
        <v>1</v>
      </c>
      <c r="G104" s="46" t="inlineStr">
        <is>
          <t>Gemma3:27b via Ollama</t>
        </is>
      </c>
      <c r="H104" s="48" t="n">
        <v>46158</v>
      </c>
      <c r="I104" s="46" t="inlineStr">
        <is>
          <t>12.206</t>
        </is>
      </c>
      <c r="J104" s="46" t="inlineStr">
        <is>
          <t>67.44</t>
        </is>
      </c>
      <c r="K104" s="46" t="inlineStr">
        <is>
          <t>Gemma3:27b</t>
        </is>
      </c>
      <c r="L104" s="46" t="inlineStr">
        <is>
          <t>0.3</t>
        </is>
      </c>
      <c r="M104" s="73" t="inlineStr">
        <is>
          <t>Complete</t>
        </is>
      </c>
    </row>
    <row r="105" ht="13.5" customHeight="1" s="38">
      <c r="A105" s="46" t="inlineStr">
        <is>
          <t>Z_S0_SC01_I02</t>
        </is>
      </c>
      <c r="B105" s="46" t="inlineStr">
        <is>
          <t>R_0397</t>
        </is>
      </c>
      <c r="C105" s="46" t="inlineStr">
        <is>
          <t>Baseline – Zero-Shot (minimal instruction)</t>
        </is>
      </c>
      <c r="D105" s="46" t="inlineStr">
        <is>
          <t>SC01</t>
        </is>
      </c>
      <c r="E105" s="46" t="inlineStr">
        <is>
          <t>Zero-Day / Edge Device</t>
        </is>
      </c>
      <c r="F105" s="47" t="n">
        <v>2</v>
      </c>
      <c r="G105" s="46" t="inlineStr">
        <is>
          <t>Gemma3:27b via Ollama</t>
        </is>
      </c>
      <c r="H105" s="48" t="n">
        <v>46158</v>
      </c>
      <c r="I105" s="46" t="inlineStr">
        <is>
          <t>12.704</t>
        </is>
      </c>
      <c r="J105" s="46" t="inlineStr">
        <is>
          <t>67.30</t>
        </is>
      </c>
      <c r="K105" s="46" t="inlineStr">
        <is>
          <t>Gemma3:27b</t>
        </is>
      </c>
      <c r="L105" s="46" t="inlineStr">
        <is>
          <t>0.3</t>
        </is>
      </c>
      <c r="M105" s="73" t="inlineStr">
        <is>
          <t>Complete</t>
        </is>
      </c>
    </row>
    <row r="106" ht="13.5" customHeight="1" s="38">
      <c r="A106" s="46" t="inlineStr">
        <is>
          <t>Z_S0_SC01_I03</t>
        </is>
      </c>
      <c r="B106" s="46" t="inlineStr">
        <is>
          <t>R_0929</t>
        </is>
      </c>
      <c r="C106" s="46" t="inlineStr">
        <is>
          <t>Baseline – Zero-Shot (minimal instruction)</t>
        </is>
      </c>
      <c r="D106" s="46" t="inlineStr">
        <is>
          <t>SC01</t>
        </is>
      </c>
      <c r="E106" s="46" t="inlineStr">
        <is>
          <t>Zero-Day / Edge Device</t>
        </is>
      </c>
      <c r="F106" s="47" t="n">
        <v>3</v>
      </c>
      <c r="G106" s="46" t="inlineStr">
        <is>
          <t>Gemma3:27b via Ollama</t>
        </is>
      </c>
      <c r="H106" s="48" t="n">
        <v>46158</v>
      </c>
      <c r="I106" s="46" t="inlineStr">
        <is>
          <t>13.267</t>
        </is>
      </c>
      <c r="J106" s="46" t="inlineStr">
        <is>
          <t>67.23</t>
        </is>
      </c>
      <c r="K106" s="46" t="inlineStr">
        <is>
          <t>Gemma3:27b</t>
        </is>
      </c>
      <c r="L106" s="46" t="inlineStr">
        <is>
          <t>0.3</t>
        </is>
      </c>
      <c r="M106" s="73" t="inlineStr">
        <is>
          <t>Complete</t>
        </is>
      </c>
    </row>
    <row r="107" ht="13.5" customHeight="1" s="38">
      <c r="A107" s="46" t="inlineStr">
        <is>
          <t>Z_S0_SC01_I04</t>
        </is>
      </c>
      <c r="B107" s="46" t="inlineStr">
        <is>
          <t>R_0908</t>
        </is>
      </c>
      <c r="C107" s="46" t="inlineStr">
        <is>
          <t>Baseline – Zero-Shot (minimal instruction)</t>
        </is>
      </c>
      <c r="D107" s="46" t="inlineStr">
        <is>
          <t>SC01</t>
        </is>
      </c>
      <c r="E107" s="46" t="inlineStr">
        <is>
          <t>Zero-Day / Edge Device</t>
        </is>
      </c>
      <c r="F107" s="47" t="n">
        <v>4</v>
      </c>
      <c r="G107" s="46" t="inlineStr">
        <is>
          <t>Gemma3:27b via Ollama</t>
        </is>
      </c>
      <c r="H107" s="48" t="n">
        <v>46158</v>
      </c>
      <c r="I107" s="46" t="inlineStr">
        <is>
          <t>11.906</t>
        </is>
      </c>
      <c r="J107" s="46" t="inlineStr">
        <is>
          <t>67.28</t>
        </is>
      </c>
      <c r="K107" s="46" t="inlineStr">
        <is>
          <t>Gemma3:27b</t>
        </is>
      </c>
      <c r="L107" s="46" t="inlineStr">
        <is>
          <t>0.3</t>
        </is>
      </c>
      <c r="M107" s="73" t="inlineStr">
        <is>
          <t>Complete</t>
        </is>
      </c>
    </row>
    <row r="108" ht="13.5" customHeight="1" s="38">
      <c r="A108" s="46" t="inlineStr">
        <is>
          <t>Z_S0_SC01_I05</t>
        </is>
      </c>
      <c r="B108" s="46" t="inlineStr">
        <is>
          <t>R_0628</t>
        </is>
      </c>
      <c r="C108" s="46" t="inlineStr">
        <is>
          <t>Baseline – Zero-Shot (minimal instruction)</t>
        </is>
      </c>
      <c r="D108" s="46" t="inlineStr">
        <is>
          <t>SC01</t>
        </is>
      </c>
      <c r="E108" s="46" t="inlineStr">
        <is>
          <t>Zero-Day / Edge Device</t>
        </is>
      </c>
      <c r="F108" s="47" t="n">
        <v>5</v>
      </c>
      <c r="G108" s="46" t="inlineStr">
        <is>
          <t>Gemma3:27b via Ollama</t>
        </is>
      </c>
      <c r="H108" s="48" t="n">
        <v>46158</v>
      </c>
      <c r="I108" s="46" t="inlineStr">
        <is>
          <t>11.462</t>
        </is>
      </c>
      <c r="J108" s="46" t="inlineStr">
        <is>
          <t>67.44</t>
        </is>
      </c>
      <c r="K108" s="46" t="inlineStr">
        <is>
          <t>Gemma3:27b</t>
        </is>
      </c>
      <c r="L108" s="46" t="inlineStr">
        <is>
          <t>0.3</t>
        </is>
      </c>
      <c r="M108" s="73" t="inlineStr">
        <is>
          <t>Complete</t>
        </is>
      </c>
    </row>
    <row r="109" ht="13.5" customHeight="1" s="38">
      <c r="A109" s="46" t="inlineStr">
        <is>
          <t>Z_S0_SC01_I06</t>
        </is>
      </c>
      <c r="B109" s="46" t="inlineStr">
        <is>
          <t>R_0833</t>
        </is>
      </c>
      <c r="C109" s="46" t="inlineStr">
        <is>
          <t>Baseline – Zero-Shot (minimal instruction)</t>
        </is>
      </c>
      <c r="D109" s="46" t="inlineStr">
        <is>
          <t>SC01</t>
        </is>
      </c>
      <c r="E109" s="46" t="inlineStr">
        <is>
          <t>Zero-Day / Edge Device</t>
        </is>
      </c>
      <c r="F109" s="47" t="n">
        <v>6</v>
      </c>
      <c r="G109" s="46" t="inlineStr">
        <is>
          <t>Gemma3:27b via Ollama</t>
        </is>
      </c>
      <c r="H109" s="48" t="n">
        <v>46158</v>
      </c>
      <c r="I109" s="46" t="inlineStr">
        <is>
          <t>12.972</t>
        </is>
      </c>
      <c r="J109" s="46" t="inlineStr">
        <is>
          <t>67.22</t>
        </is>
      </c>
      <c r="K109" s="46" t="inlineStr">
        <is>
          <t>Gemma3:27b</t>
        </is>
      </c>
      <c r="L109" s="46" t="inlineStr">
        <is>
          <t>0.3</t>
        </is>
      </c>
      <c r="M109" s="73" t="inlineStr">
        <is>
          <t>Complete</t>
        </is>
      </c>
    </row>
    <row r="110" ht="13.5" customHeight="1" s="38">
      <c r="A110" s="46" t="inlineStr">
        <is>
          <t>Z_S0_SC01_I07</t>
        </is>
      </c>
      <c r="B110" s="46" t="inlineStr">
        <is>
          <t>R_0806</t>
        </is>
      </c>
      <c r="C110" s="46" t="inlineStr">
        <is>
          <t>Baseline – Zero-Shot (minimal instruction)</t>
        </is>
      </c>
      <c r="D110" s="46" t="inlineStr">
        <is>
          <t>SC01</t>
        </is>
      </c>
      <c r="E110" s="46" t="inlineStr">
        <is>
          <t>Zero-Day / Edge Device</t>
        </is>
      </c>
      <c r="F110" s="47" t="n">
        <v>7</v>
      </c>
      <c r="G110" s="46" t="inlineStr">
        <is>
          <t>Gemma3:27b via Ollama</t>
        </is>
      </c>
      <c r="H110" s="48" t="n">
        <v>46158</v>
      </c>
      <c r="I110" s="46" t="inlineStr">
        <is>
          <t>12.160</t>
        </is>
      </c>
      <c r="J110" s="46" t="inlineStr">
        <is>
          <t>67.35</t>
        </is>
      </c>
      <c r="K110" s="46" t="inlineStr">
        <is>
          <t>Gemma3:27b</t>
        </is>
      </c>
      <c r="L110" s="46" t="inlineStr">
        <is>
          <t>0.3</t>
        </is>
      </c>
      <c r="M110" s="73" t="inlineStr">
        <is>
          <t>Complete</t>
        </is>
      </c>
    </row>
    <row r="111" ht="13.5" customHeight="1" s="38">
      <c r="A111" s="46" t="inlineStr">
        <is>
          <t>Z_S0_SC01_I08</t>
        </is>
      </c>
      <c r="B111" s="46" t="inlineStr">
        <is>
          <t>R_0185</t>
        </is>
      </c>
      <c r="C111" s="46" t="inlineStr">
        <is>
          <t>Baseline – Zero-Shot (minimal instruction)</t>
        </is>
      </c>
      <c r="D111" s="46" t="inlineStr">
        <is>
          <t>SC01</t>
        </is>
      </c>
      <c r="E111" s="46" t="inlineStr">
        <is>
          <t>Zero-Day / Edge Device</t>
        </is>
      </c>
      <c r="F111" s="47" t="n">
        <v>8</v>
      </c>
      <c r="G111" s="46" t="inlineStr">
        <is>
          <t>Gemma3:27b via Ollama</t>
        </is>
      </c>
      <c r="H111" s="48" t="n">
        <v>46158</v>
      </c>
      <c r="I111" s="46" t="inlineStr">
        <is>
          <t>12.105</t>
        </is>
      </c>
      <c r="J111" s="46" t="inlineStr">
        <is>
          <t>67.41</t>
        </is>
      </c>
      <c r="K111" s="46" t="inlineStr">
        <is>
          <t>Gemma3:27b</t>
        </is>
      </c>
      <c r="L111" s="46" t="inlineStr">
        <is>
          <t>0.3</t>
        </is>
      </c>
      <c r="M111" s="73" t="inlineStr">
        <is>
          <t>Complete</t>
        </is>
      </c>
    </row>
    <row r="112" ht="13.5" customHeight="1" s="38">
      <c r="A112" s="46" t="inlineStr">
        <is>
          <t>Z_S0_SC01_I09</t>
        </is>
      </c>
      <c r="B112" s="46" t="inlineStr">
        <is>
          <t>R_0682</t>
        </is>
      </c>
      <c r="C112" s="46" t="inlineStr">
        <is>
          <t>Baseline – Zero-Shot (minimal instruction)</t>
        </is>
      </c>
      <c r="D112" s="46" t="inlineStr">
        <is>
          <t>SC01</t>
        </is>
      </c>
      <c r="E112" s="46" t="inlineStr">
        <is>
          <t>Zero-Day / Edge Device</t>
        </is>
      </c>
      <c r="F112" s="47" t="n">
        <v>9</v>
      </c>
      <c r="G112" s="46" t="inlineStr">
        <is>
          <t>Gemma3:27b via Ollama</t>
        </is>
      </c>
      <c r="H112" s="48" t="n">
        <v>46158</v>
      </c>
      <c r="I112" s="46" t="inlineStr">
        <is>
          <t>12.712</t>
        </is>
      </c>
      <c r="J112" s="46" t="inlineStr">
        <is>
          <t>67.34</t>
        </is>
      </c>
      <c r="K112" s="46" t="inlineStr">
        <is>
          <t>Gemma3:27b</t>
        </is>
      </c>
      <c r="L112" s="46" t="inlineStr">
        <is>
          <t>0.3</t>
        </is>
      </c>
      <c r="M112" s="73" t="inlineStr">
        <is>
          <t>Complete</t>
        </is>
      </c>
    </row>
    <row r="113" ht="13.5" customHeight="1" s="38">
      <c r="A113" s="46" t="inlineStr">
        <is>
          <t>Z_S0_SC01_I10</t>
        </is>
      </c>
      <c r="B113" s="46" t="inlineStr">
        <is>
          <t>R_0511</t>
        </is>
      </c>
      <c r="C113" s="46" t="inlineStr">
        <is>
          <t>Baseline – Zero-Shot (minimal instruction)</t>
        </is>
      </c>
      <c r="D113" s="46" t="inlineStr">
        <is>
          <t>SC01</t>
        </is>
      </c>
      <c r="E113" s="46" t="inlineStr">
        <is>
          <t>Zero-Day / Edge Device</t>
        </is>
      </c>
      <c r="F113" s="47" t="n">
        <v>10</v>
      </c>
      <c r="G113" s="46" t="inlineStr">
        <is>
          <t>Gemma3:27b via Ollama</t>
        </is>
      </c>
      <c r="H113" s="48" t="n">
        <v>46158</v>
      </c>
      <c r="I113" s="46" t="inlineStr">
        <is>
          <t>13.124</t>
        </is>
      </c>
      <c r="J113" s="46" t="inlineStr">
        <is>
          <t>67.28</t>
        </is>
      </c>
      <c r="K113" s="46" t="inlineStr">
        <is>
          <t>Gemma3:27b</t>
        </is>
      </c>
      <c r="L113" s="46" t="inlineStr">
        <is>
          <t>0.3</t>
        </is>
      </c>
      <c r="M113" s="73" t="inlineStr">
        <is>
          <t>Complete</t>
        </is>
      </c>
    </row>
    <row r="114" ht="13.5" customHeight="1" s="38">
      <c r="A114" s="46" t="inlineStr">
        <is>
          <t>Z_S0_SC02_I01</t>
        </is>
      </c>
      <c r="B114" s="46" t="inlineStr">
        <is>
          <t>R_0355</t>
        </is>
      </c>
      <c r="C114" s="46" t="inlineStr">
        <is>
          <t>Baseline – Zero-Shot (minimal instruction)</t>
        </is>
      </c>
      <c r="D114" s="46" t="inlineStr">
        <is>
          <t>SC02</t>
        </is>
      </c>
      <c r="E114" s="46" t="inlineStr">
        <is>
          <t>Zero-Day / Edge Device</t>
        </is>
      </c>
      <c r="F114" s="47" t="n">
        <v>1</v>
      </c>
      <c r="G114" s="46" t="inlineStr">
        <is>
          <t>Gemma3:27b via Ollama</t>
        </is>
      </c>
      <c r="H114" s="48" t="n">
        <v>46158</v>
      </c>
      <c r="I114" s="46" t="inlineStr">
        <is>
          <t>12.068</t>
        </is>
      </c>
      <c r="J114" s="46" t="inlineStr">
        <is>
          <t>67.20</t>
        </is>
      </c>
      <c r="K114" s="46" t="inlineStr">
        <is>
          <t>Gemma3:27b</t>
        </is>
      </c>
      <c r="L114" s="46" t="inlineStr">
        <is>
          <t>0.3</t>
        </is>
      </c>
      <c r="M114" s="73" t="inlineStr">
        <is>
          <t>Complete</t>
        </is>
      </c>
    </row>
    <row r="115" ht="13.5" customHeight="1" s="38">
      <c r="A115" s="46" t="inlineStr">
        <is>
          <t>Z_S0_SC02_I02</t>
        </is>
      </c>
      <c r="B115" s="46" t="inlineStr">
        <is>
          <t>R_0303</t>
        </is>
      </c>
      <c r="C115" s="46" t="inlineStr">
        <is>
          <t>Baseline – Zero-Shot (minimal instruction)</t>
        </is>
      </c>
      <c r="D115" s="46" t="inlineStr">
        <is>
          <t>SC02</t>
        </is>
      </c>
      <c r="E115" s="46" t="inlineStr">
        <is>
          <t>Zero-Day / Edge Device</t>
        </is>
      </c>
      <c r="F115" s="47" t="n">
        <v>2</v>
      </c>
      <c r="G115" s="46" t="inlineStr">
        <is>
          <t>Gemma3:27b via Ollama</t>
        </is>
      </c>
      <c r="H115" s="48" t="n">
        <v>46158</v>
      </c>
      <c r="I115" s="46" t="inlineStr">
        <is>
          <t>11.447</t>
        </is>
      </c>
      <c r="J115" s="46" t="inlineStr">
        <is>
          <t>67.18</t>
        </is>
      </c>
      <c r="K115" s="46" t="inlineStr">
        <is>
          <t>Gemma3:27b</t>
        </is>
      </c>
      <c r="L115" s="46" t="inlineStr">
        <is>
          <t>0.3</t>
        </is>
      </c>
      <c r="M115" s="73" t="inlineStr">
        <is>
          <t>Complete</t>
        </is>
      </c>
    </row>
    <row r="116" ht="13.5" customHeight="1" s="38">
      <c r="A116" s="46" t="inlineStr">
        <is>
          <t>Z_S0_SC02_I03</t>
        </is>
      </c>
      <c r="B116" s="46" t="inlineStr">
        <is>
          <t>R_0035</t>
        </is>
      </c>
      <c r="C116" s="46" t="inlineStr">
        <is>
          <t>Baseline – Zero-Shot (minimal instruction)</t>
        </is>
      </c>
      <c r="D116" s="46" t="inlineStr">
        <is>
          <t>SC02</t>
        </is>
      </c>
      <c r="E116" s="46" t="inlineStr">
        <is>
          <t>Zero-Day / Edge Device</t>
        </is>
      </c>
      <c r="F116" s="47" t="n">
        <v>3</v>
      </c>
      <c r="G116" s="46" t="inlineStr">
        <is>
          <t>Gemma3:27b via Ollama</t>
        </is>
      </c>
      <c r="H116" s="48" t="n">
        <v>46158</v>
      </c>
      <c r="I116" s="46" t="inlineStr">
        <is>
          <t>11.824</t>
        </is>
      </c>
      <c r="J116" s="46" t="inlineStr">
        <is>
          <t>67.07</t>
        </is>
      </c>
      <c r="K116" s="46" t="inlineStr">
        <is>
          <t>Gemma3:27b</t>
        </is>
      </c>
      <c r="L116" s="46" t="inlineStr">
        <is>
          <t>0.3</t>
        </is>
      </c>
      <c r="M116" s="73" t="inlineStr">
        <is>
          <t>Complete</t>
        </is>
      </c>
    </row>
    <row r="117" ht="13.5" customHeight="1" s="38">
      <c r="A117" s="46" t="inlineStr">
        <is>
          <t>Z_S0_SC02_I04</t>
        </is>
      </c>
      <c r="B117" s="46" t="inlineStr">
        <is>
          <t>R_0646</t>
        </is>
      </c>
      <c r="C117" s="46" t="inlineStr">
        <is>
          <t>Baseline – Zero-Shot (minimal instruction)</t>
        </is>
      </c>
      <c r="D117" s="46" t="inlineStr">
        <is>
          <t>SC02</t>
        </is>
      </c>
      <c r="E117" s="46" t="inlineStr">
        <is>
          <t>Zero-Day / Edge Device</t>
        </is>
      </c>
      <c r="F117" s="47" t="n">
        <v>4</v>
      </c>
      <c r="G117" s="46" t="inlineStr">
        <is>
          <t>Gemma3:27b via Ollama</t>
        </is>
      </c>
      <c r="H117" s="48" t="n">
        <v>46158</v>
      </c>
      <c r="I117" s="46" t="inlineStr">
        <is>
          <t>11.657</t>
        </is>
      </c>
      <c r="J117" s="46" t="inlineStr">
        <is>
          <t>67.25</t>
        </is>
      </c>
      <c r="K117" s="46" t="inlineStr">
        <is>
          <t>Gemma3:27b</t>
        </is>
      </c>
      <c r="L117" s="46" t="inlineStr">
        <is>
          <t>0.3</t>
        </is>
      </c>
      <c r="M117" s="73" t="inlineStr">
        <is>
          <t>Complete</t>
        </is>
      </c>
    </row>
    <row r="118" ht="13.5" customHeight="1" s="38">
      <c r="A118" s="46" t="inlineStr">
        <is>
          <t>Z_S0_SC02_I05</t>
        </is>
      </c>
      <c r="B118" s="46" t="inlineStr">
        <is>
          <t>R_0437</t>
        </is>
      </c>
      <c r="C118" s="46" t="inlineStr">
        <is>
          <t>Baseline – Zero-Shot (minimal instruction)</t>
        </is>
      </c>
      <c r="D118" s="46" t="inlineStr">
        <is>
          <t>SC02</t>
        </is>
      </c>
      <c r="E118" s="46" t="inlineStr">
        <is>
          <t>Zero-Day / Edge Device</t>
        </is>
      </c>
      <c r="F118" s="47" t="n">
        <v>5</v>
      </c>
      <c r="G118" s="46" t="inlineStr">
        <is>
          <t>Gemma3:27b via Ollama</t>
        </is>
      </c>
      <c r="H118" s="48" t="n">
        <v>42506</v>
      </c>
      <c r="I118" s="46" t="inlineStr">
        <is>
          <t>13.961</t>
        </is>
      </c>
      <c r="J118" s="46" t="inlineStr">
        <is>
          <t>67.20</t>
        </is>
      </c>
      <c r="K118" s="46" t="inlineStr">
        <is>
          <t>Gemma3:27b</t>
        </is>
      </c>
      <c r="L118" s="46" t="inlineStr">
        <is>
          <t>0.3</t>
        </is>
      </c>
      <c r="M118" s="73" t="inlineStr">
        <is>
          <t>Complete</t>
        </is>
      </c>
    </row>
    <row r="119" ht="13.5" customHeight="1" s="38">
      <c r="A119" s="46" t="inlineStr">
        <is>
          <t>Z_S0_SC02_I06</t>
        </is>
      </c>
      <c r="B119" s="46" t="inlineStr">
        <is>
          <t>R_0288</t>
        </is>
      </c>
      <c r="C119" s="46" t="inlineStr">
        <is>
          <t>Baseline – Zero-Shot (minimal instruction)</t>
        </is>
      </c>
      <c r="D119" s="46" t="inlineStr">
        <is>
          <t>SC02</t>
        </is>
      </c>
      <c r="E119" s="46" t="inlineStr">
        <is>
          <t>Zero-Day / Edge Device</t>
        </is>
      </c>
      <c r="F119" s="47" t="n">
        <v>6</v>
      </c>
      <c r="G119" s="46" t="inlineStr">
        <is>
          <t>Gemma3:27b via Ollama</t>
        </is>
      </c>
      <c r="H119" s="48" t="n">
        <v>46158</v>
      </c>
      <c r="I119" s="46" t="inlineStr">
        <is>
          <t>12.221</t>
        </is>
      </c>
      <c r="J119" s="46" t="inlineStr">
        <is>
          <t>67.10</t>
        </is>
      </c>
      <c r="K119" s="46" t="inlineStr">
        <is>
          <t>Gemma3:27b</t>
        </is>
      </c>
      <c r="L119" s="46" t="inlineStr">
        <is>
          <t>0.3</t>
        </is>
      </c>
      <c r="M119" s="73" t="inlineStr">
        <is>
          <t>Complete</t>
        </is>
      </c>
    </row>
    <row r="120" ht="13.5" customHeight="1" s="38">
      <c r="A120" s="46" t="inlineStr">
        <is>
          <t>Z_S0_SC02_I07</t>
        </is>
      </c>
      <c r="B120" s="46" t="inlineStr">
        <is>
          <t>R_0361</t>
        </is>
      </c>
      <c r="C120" s="46" t="inlineStr">
        <is>
          <t>Baseline – Zero-Shot (minimal instruction)</t>
        </is>
      </c>
      <c r="D120" s="46" t="inlineStr">
        <is>
          <t>SC02</t>
        </is>
      </c>
      <c r="E120" s="46" t="inlineStr">
        <is>
          <t>Zero-Day / Edge Device</t>
        </is>
      </c>
      <c r="F120" s="47" t="n">
        <v>7</v>
      </c>
      <c r="G120" s="46" t="inlineStr">
        <is>
          <t>Gemma3:27b via Ollama</t>
        </is>
      </c>
      <c r="H120" s="48" t="n">
        <v>46158</v>
      </c>
      <c r="I120" s="46" t="inlineStr">
        <is>
          <t>11.901</t>
        </is>
      </c>
      <c r="J120" s="46" t="inlineStr">
        <is>
          <t>67.05</t>
        </is>
      </c>
      <c r="K120" s="46" t="inlineStr">
        <is>
          <t>Gemma3:27b</t>
        </is>
      </c>
      <c r="L120" s="46" t="inlineStr">
        <is>
          <t>0.3</t>
        </is>
      </c>
      <c r="M120" s="73" t="inlineStr">
        <is>
          <t>Complete</t>
        </is>
      </c>
    </row>
    <row r="121" ht="13.5" customHeight="1" s="38">
      <c r="A121" s="46" t="inlineStr">
        <is>
          <t>Z_S0_SC02_I08</t>
        </is>
      </c>
      <c r="B121" s="46" t="inlineStr">
        <is>
          <t>R_0517</t>
        </is>
      </c>
      <c r="C121" s="46" t="inlineStr">
        <is>
          <t>Baseline – Zero-Shot (minimal instruction)</t>
        </is>
      </c>
      <c r="D121" s="46" t="inlineStr">
        <is>
          <t>SC02</t>
        </is>
      </c>
      <c r="E121" s="46" t="inlineStr">
        <is>
          <t>Zero-Day / Edge Device</t>
        </is>
      </c>
      <c r="F121" s="47" t="n">
        <v>8</v>
      </c>
      <c r="G121" s="46" t="inlineStr">
        <is>
          <t>Gemma3:27b via Ollama</t>
        </is>
      </c>
      <c r="H121" s="48" t="n">
        <v>46158</v>
      </c>
      <c r="I121" s="46" t="inlineStr">
        <is>
          <t>11.774</t>
        </is>
      </c>
      <c r="J121" s="46" t="inlineStr">
        <is>
          <t>67.10</t>
        </is>
      </c>
      <c r="K121" s="46" t="inlineStr">
        <is>
          <t>Gemma3:27b</t>
        </is>
      </c>
      <c r="L121" s="46" t="inlineStr">
        <is>
          <t>0.3</t>
        </is>
      </c>
      <c r="M121" s="73" t="inlineStr">
        <is>
          <t>Complete</t>
        </is>
      </c>
    </row>
    <row r="122" ht="13.5" customHeight="1" s="38">
      <c r="A122" s="46" t="inlineStr">
        <is>
          <t>Z_S0_SC02_I09</t>
        </is>
      </c>
      <c r="B122" s="46" t="inlineStr">
        <is>
          <t>R_0681</t>
        </is>
      </c>
      <c r="C122" s="46" t="inlineStr">
        <is>
          <t>Baseline – Zero-Shot (minimal instruction)</t>
        </is>
      </c>
      <c r="D122" s="46" t="inlineStr">
        <is>
          <t>SC02</t>
        </is>
      </c>
      <c r="E122" s="46" t="inlineStr">
        <is>
          <t>Zero-Day / Edge Device</t>
        </is>
      </c>
      <c r="F122" s="47" t="n">
        <v>9</v>
      </c>
      <c r="G122" s="46" t="inlineStr">
        <is>
          <t>Gemma3:27b via Ollama</t>
        </is>
      </c>
      <c r="H122" s="48" t="n">
        <v>46158</v>
      </c>
      <c r="I122" s="46" t="inlineStr">
        <is>
          <t>13.520</t>
        </is>
      </c>
      <c r="J122" s="46" t="inlineStr">
        <is>
          <t>67.08</t>
        </is>
      </c>
      <c r="K122" s="46" t="inlineStr">
        <is>
          <t>Gemma3:27b</t>
        </is>
      </c>
      <c r="L122" s="46" t="inlineStr">
        <is>
          <t>0.3</t>
        </is>
      </c>
      <c r="M122" s="73" t="inlineStr">
        <is>
          <t>Complete</t>
        </is>
      </c>
    </row>
    <row r="123" ht="13.5" customHeight="1" s="38">
      <c r="A123" s="46" t="inlineStr">
        <is>
          <t>Z_S0_SC02_I10</t>
        </is>
      </c>
      <c r="B123" s="46" t="inlineStr">
        <is>
          <t>R_0196</t>
        </is>
      </c>
      <c r="C123" s="46" t="inlineStr">
        <is>
          <t>Baseline – Zero-Shot (minimal instruction)</t>
        </is>
      </c>
      <c r="D123" s="46" t="inlineStr">
        <is>
          <t>SC02</t>
        </is>
      </c>
      <c r="E123" s="46" t="inlineStr">
        <is>
          <t>Zero-Day / Edge Device</t>
        </is>
      </c>
      <c r="F123" s="47" t="n">
        <v>10</v>
      </c>
      <c r="G123" s="46" t="inlineStr">
        <is>
          <t>Gemma3:27b via Ollama</t>
        </is>
      </c>
      <c r="H123" s="48" t="n">
        <v>46158</v>
      </c>
      <c r="I123" s="46" t="inlineStr">
        <is>
          <t>11.917</t>
        </is>
      </c>
      <c r="J123" s="46" t="inlineStr">
        <is>
          <t>67.22</t>
        </is>
      </c>
      <c r="K123" s="46" t="inlineStr">
        <is>
          <t>Gemma3:27b</t>
        </is>
      </c>
      <c r="L123" s="46" t="inlineStr">
        <is>
          <t>0.3</t>
        </is>
      </c>
      <c r="M123" s="73" t="inlineStr">
        <is>
          <t>Complete</t>
        </is>
      </c>
    </row>
    <row r="124" ht="13.5" customHeight="1" s="38">
      <c r="A124" s="46" t="inlineStr">
        <is>
          <t>Z_S0_SC03_I01</t>
        </is>
      </c>
      <c r="B124" s="46" t="inlineStr">
        <is>
          <t>R_0955</t>
        </is>
      </c>
      <c r="C124" s="46" t="inlineStr">
        <is>
          <t>Baseline – Zero-Shot (minimal instruction)</t>
        </is>
      </c>
      <c r="D124" s="46" t="inlineStr">
        <is>
          <t>SC03</t>
        </is>
      </c>
      <c r="E124" s="46" t="inlineStr">
        <is>
          <t>Zero-Day / Edge Device</t>
        </is>
      </c>
      <c r="F124" s="47" t="n">
        <v>1</v>
      </c>
      <c r="G124" s="46" t="inlineStr">
        <is>
          <t>Gemma3:27b via Ollama</t>
        </is>
      </c>
      <c r="H124" s="48" t="n">
        <v>46159</v>
      </c>
      <c r="I124" s="46" t="inlineStr">
        <is>
          <t>11.845</t>
        </is>
      </c>
      <c r="J124" s="46" t="inlineStr">
        <is>
          <t>66.27</t>
        </is>
      </c>
      <c r="K124" s="46" t="inlineStr">
        <is>
          <t>Gemma3:27b</t>
        </is>
      </c>
      <c r="L124" s="46" t="inlineStr">
        <is>
          <t>0.3</t>
        </is>
      </c>
      <c r="M124" s="73" t="inlineStr">
        <is>
          <t>Complete</t>
        </is>
      </c>
    </row>
    <row r="125" ht="13.5" customHeight="1" s="38">
      <c r="A125" s="46" t="inlineStr">
        <is>
          <t>Z_S0_SC03_I02</t>
        </is>
      </c>
      <c r="B125" s="46" t="inlineStr">
        <is>
          <t>R_0882</t>
        </is>
      </c>
      <c r="C125" s="46" t="inlineStr">
        <is>
          <t>Baseline – Zero-Shot (minimal instruction)</t>
        </is>
      </c>
      <c r="D125" s="46" t="inlineStr">
        <is>
          <t>SC03</t>
        </is>
      </c>
      <c r="E125" s="46" t="inlineStr">
        <is>
          <t>Zero-Day / Edge Device</t>
        </is>
      </c>
      <c r="F125" s="47" t="n">
        <v>2</v>
      </c>
      <c r="G125" s="46" t="inlineStr">
        <is>
          <t>Gemma3:27b via Ollama</t>
        </is>
      </c>
      <c r="H125" s="48" t="n">
        <v>46159</v>
      </c>
      <c r="I125" s="46" t="inlineStr">
        <is>
          <t>12.210</t>
        </is>
      </c>
      <c r="J125" s="46" t="inlineStr">
        <is>
          <t>65.28</t>
        </is>
      </c>
      <c r="K125" s="46" t="inlineStr">
        <is>
          <t>Gemma3:27b</t>
        </is>
      </c>
      <c r="L125" s="46" t="inlineStr">
        <is>
          <t>0.3</t>
        </is>
      </c>
      <c r="M125" s="73" t="inlineStr">
        <is>
          <t>Complete</t>
        </is>
      </c>
    </row>
    <row r="126" ht="13.5" customHeight="1" s="38">
      <c r="A126" s="46" t="inlineStr">
        <is>
          <t>Z_S0_SC03_I03</t>
        </is>
      </c>
      <c r="B126" s="46" t="inlineStr">
        <is>
          <t>R_0894</t>
        </is>
      </c>
      <c r="C126" s="46" t="inlineStr">
        <is>
          <t>Baseline – Zero-Shot (minimal instruction)</t>
        </is>
      </c>
      <c r="D126" s="46" t="inlineStr">
        <is>
          <t>SC03</t>
        </is>
      </c>
      <c r="E126" s="46" t="inlineStr">
        <is>
          <t>Zero-Day / Edge Device</t>
        </is>
      </c>
      <c r="F126" s="47" t="n">
        <v>3</v>
      </c>
      <c r="G126" s="46" t="inlineStr">
        <is>
          <t>Gemma3:27b via Ollama</t>
        </is>
      </c>
      <c r="H126" s="48" t="n">
        <v>46159</v>
      </c>
      <c r="I126" s="46" t="inlineStr">
        <is>
          <t>11.541</t>
        </is>
      </c>
      <c r="J126" s="46" t="inlineStr">
        <is>
          <t>65.33</t>
        </is>
      </c>
      <c r="K126" s="46" t="inlineStr">
        <is>
          <t>Gemma3:27b</t>
        </is>
      </c>
      <c r="L126" s="46" t="inlineStr">
        <is>
          <t>0.3</t>
        </is>
      </c>
      <c r="M126" s="73" t="inlineStr">
        <is>
          <t>Complete</t>
        </is>
      </c>
    </row>
    <row r="127" ht="13.5" customHeight="1" s="38">
      <c r="A127" s="46" t="inlineStr">
        <is>
          <t>Z_S0_SC03_I04</t>
        </is>
      </c>
      <c r="B127" s="46" t="inlineStr">
        <is>
          <t>R_0673</t>
        </is>
      </c>
      <c r="C127" s="46" t="inlineStr">
        <is>
          <t>Baseline – Zero-Shot (minimal instruction)</t>
        </is>
      </c>
      <c r="D127" s="46" t="inlineStr">
        <is>
          <t>SC03</t>
        </is>
      </c>
      <c r="E127" s="46" t="inlineStr">
        <is>
          <t>Zero-Day / Edge Device</t>
        </is>
      </c>
      <c r="F127" s="47" t="n">
        <v>4</v>
      </c>
      <c r="G127" s="46" t="inlineStr">
        <is>
          <t>Gemma3:27b via Ollama</t>
        </is>
      </c>
      <c r="H127" s="48" t="n">
        <v>46159</v>
      </c>
      <c r="I127" s="46" t="inlineStr">
        <is>
          <t>12.735</t>
        </is>
      </c>
      <c r="J127" s="46" t="inlineStr">
        <is>
          <t>65.57</t>
        </is>
      </c>
      <c r="K127" s="46" t="inlineStr">
        <is>
          <t>Gemma3:27b</t>
        </is>
      </c>
      <c r="L127" s="46" t="inlineStr">
        <is>
          <t>0.3</t>
        </is>
      </c>
      <c r="M127" s="73" t="inlineStr">
        <is>
          <t>Complete</t>
        </is>
      </c>
    </row>
    <row r="128" ht="13.5" customHeight="1" s="38">
      <c r="A128" s="46" t="inlineStr">
        <is>
          <t>Z_S0_SC03_I05</t>
        </is>
      </c>
      <c r="B128" s="46" t="inlineStr">
        <is>
          <t>R_0401</t>
        </is>
      </c>
      <c r="C128" s="46" t="inlineStr">
        <is>
          <t>Baseline – Zero-Shot (minimal instruction)</t>
        </is>
      </c>
      <c r="D128" s="46" t="inlineStr">
        <is>
          <t>SC03</t>
        </is>
      </c>
      <c r="E128" s="46" t="inlineStr">
        <is>
          <t>Zero-Day / Edge Device</t>
        </is>
      </c>
      <c r="F128" s="47" t="n">
        <v>5</v>
      </c>
      <c r="G128" s="46" t="inlineStr">
        <is>
          <t>Gemma3:27b via Ollama</t>
        </is>
      </c>
      <c r="H128" s="48" t="n">
        <v>46159</v>
      </c>
      <c r="I128" s="46" t="inlineStr">
        <is>
          <t>11.839</t>
        </is>
      </c>
      <c r="J128" s="46" t="inlineStr">
        <is>
          <t>65.88</t>
        </is>
      </c>
      <c r="K128" s="46" t="inlineStr">
        <is>
          <t>Gemma3:27b</t>
        </is>
      </c>
      <c r="L128" s="46" t="inlineStr">
        <is>
          <t>0.3</t>
        </is>
      </c>
      <c r="M128" s="73" t="inlineStr">
        <is>
          <t>Complete</t>
        </is>
      </c>
    </row>
    <row r="129" ht="13.5" customHeight="1" s="38">
      <c r="A129" s="46" t="inlineStr">
        <is>
          <t>Z_S0_SC03_I06</t>
        </is>
      </c>
      <c r="B129" s="46" t="inlineStr">
        <is>
          <t>R_0615</t>
        </is>
      </c>
      <c r="C129" s="46" t="inlineStr">
        <is>
          <t>Baseline – Zero-Shot (minimal instruction)</t>
        </is>
      </c>
      <c r="D129" s="46" t="inlineStr">
        <is>
          <t>SC03</t>
        </is>
      </c>
      <c r="E129" s="46" t="inlineStr">
        <is>
          <t>Zero-Day / Edge Device</t>
        </is>
      </c>
      <c r="F129" s="47" t="n">
        <v>6</v>
      </c>
      <c r="G129" s="46" t="inlineStr">
        <is>
          <t>Gemma3:27b via Ollama</t>
        </is>
      </c>
      <c r="H129" s="48" t="n">
        <v>46159</v>
      </c>
      <c r="I129" s="46" t="inlineStr">
        <is>
          <t>11.657</t>
        </is>
      </c>
      <c r="J129" s="46" t="inlineStr">
        <is>
          <t>66.14</t>
        </is>
      </c>
      <c r="K129" s="46" t="inlineStr">
        <is>
          <t>Gemma3:27b</t>
        </is>
      </c>
      <c r="L129" s="46" t="inlineStr">
        <is>
          <t>0.3</t>
        </is>
      </c>
      <c r="M129" s="73" t="inlineStr">
        <is>
          <t>Complete</t>
        </is>
      </c>
    </row>
    <row r="130" ht="13.5" customHeight="1" s="38">
      <c r="A130" s="46" t="inlineStr">
        <is>
          <t>Z_S0_SC03_I07</t>
        </is>
      </c>
      <c r="B130" s="46" t="inlineStr">
        <is>
          <t>R_0356</t>
        </is>
      </c>
      <c r="C130" s="46" t="inlineStr">
        <is>
          <t>Baseline – Zero-Shot (minimal instruction)</t>
        </is>
      </c>
      <c r="D130" s="46" t="inlineStr">
        <is>
          <t>SC03</t>
        </is>
      </c>
      <c r="E130" s="46" t="inlineStr">
        <is>
          <t>Zero-Day / Edge Device</t>
        </is>
      </c>
      <c r="F130" s="47" t="n">
        <v>7</v>
      </c>
      <c r="G130" s="46" t="inlineStr">
        <is>
          <t>Gemma3:27b via Ollama</t>
        </is>
      </c>
      <c r="H130" s="48" t="n">
        <v>46159</v>
      </c>
      <c r="I130" s="46" t="inlineStr">
        <is>
          <t>12.275</t>
        </is>
      </c>
      <c r="J130" s="46" t="inlineStr">
        <is>
          <t>66.07</t>
        </is>
      </c>
      <c r="K130" s="46" t="inlineStr">
        <is>
          <t>Gemma3:27b</t>
        </is>
      </c>
      <c r="L130" s="46" t="inlineStr">
        <is>
          <t>0.3</t>
        </is>
      </c>
      <c r="M130" s="73" t="inlineStr">
        <is>
          <t>Complete</t>
        </is>
      </c>
    </row>
    <row r="131" ht="13.5" customHeight="1" s="38">
      <c r="A131" s="46" t="inlineStr">
        <is>
          <t>Z_S0_SC03_I08</t>
        </is>
      </c>
      <c r="B131" s="46" t="inlineStr">
        <is>
          <t>R_0623</t>
        </is>
      </c>
      <c r="C131" s="46" t="inlineStr">
        <is>
          <t>Baseline – Zero-Shot (minimal instruction)</t>
        </is>
      </c>
      <c r="D131" s="46" t="inlineStr">
        <is>
          <t>SC03</t>
        </is>
      </c>
      <c r="E131" s="46" t="inlineStr">
        <is>
          <t>Zero-Day / Edge Device</t>
        </is>
      </c>
      <c r="F131" s="47" t="n">
        <v>8</v>
      </c>
      <c r="G131" s="46" t="inlineStr">
        <is>
          <t>Gemma3:27b via Ollama</t>
        </is>
      </c>
      <c r="H131" s="48" t="n">
        <v>46159</v>
      </c>
      <c r="I131" s="46" t="inlineStr">
        <is>
          <t>12.935</t>
        </is>
      </c>
      <c r="J131" s="46" t="inlineStr">
        <is>
          <t>66.02</t>
        </is>
      </c>
      <c r="K131" s="46" t="inlineStr">
        <is>
          <t>Gemma3:27b</t>
        </is>
      </c>
      <c r="L131" s="46" t="inlineStr">
        <is>
          <t>0.3</t>
        </is>
      </c>
      <c r="M131" s="73" t="inlineStr">
        <is>
          <t>Complete</t>
        </is>
      </c>
    </row>
    <row r="132" ht="13.5" customHeight="1" s="38">
      <c r="A132" s="46" t="inlineStr">
        <is>
          <t>Z_S0_SC03_I09</t>
        </is>
      </c>
      <c r="B132" s="46" t="inlineStr">
        <is>
          <t>R_0265</t>
        </is>
      </c>
      <c r="C132" s="46" t="inlineStr">
        <is>
          <t>Baseline – Zero-Shot (minimal instruction)</t>
        </is>
      </c>
      <c r="D132" s="46" t="inlineStr">
        <is>
          <t>SC03</t>
        </is>
      </c>
      <c r="E132" s="46" t="inlineStr">
        <is>
          <t>Zero-Day / Edge Device</t>
        </is>
      </c>
      <c r="F132" s="47" t="n">
        <v>9</v>
      </c>
      <c r="G132" s="46" t="inlineStr">
        <is>
          <t>Gemma3:27b via Ollama</t>
        </is>
      </c>
      <c r="H132" s="48" t="n">
        <v>46159</v>
      </c>
      <c r="I132" s="46" t="inlineStr">
        <is>
          <t>12.765</t>
        </is>
      </c>
      <c r="J132" s="46" t="inlineStr">
        <is>
          <t>66.24</t>
        </is>
      </c>
      <c r="K132" s="46" t="inlineStr">
        <is>
          <t>Gemma3:27b</t>
        </is>
      </c>
      <c r="L132" s="46" t="inlineStr">
        <is>
          <t>0.3</t>
        </is>
      </c>
      <c r="M132" s="73" t="inlineStr">
        <is>
          <t>Complete</t>
        </is>
      </c>
    </row>
    <row r="133" ht="13.5" customHeight="1" s="38">
      <c r="A133" s="46" t="inlineStr">
        <is>
          <t>Z_S0_SC03_I10</t>
        </is>
      </c>
      <c r="B133" s="46" t="inlineStr">
        <is>
          <t>R_0926</t>
        </is>
      </c>
      <c r="C133" s="46" t="inlineStr">
        <is>
          <t>Baseline – Zero-Shot (minimal instruction)</t>
        </is>
      </c>
      <c r="D133" s="46" t="inlineStr">
        <is>
          <t>SC03</t>
        </is>
      </c>
      <c r="E133" s="46" t="inlineStr">
        <is>
          <t>Zero-Day / Edge Device</t>
        </is>
      </c>
      <c r="F133" s="47" t="n">
        <v>10</v>
      </c>
      <c r="G133" s="46" t="inlineStr">
        <is>
          <t>Gemma3:27b via Ollama</t>
        </is>
      </c>
      <c r="H133" s="48" t="n">
        <v>46159</v>
      </c>
      <c r="I133" s="46" t="inlineStr">
        <is>
          <t>12.302</t>
        </is>
      </c>
      <c r="J133" s="46" t="inlineStr">
        <is>
          <t>66.41</t>
        </is>
      </c>
      <c r="K133" s="46" t="inlineStr">
        <is>
          <t>Gemma3:27b</t>
        </is>
      </c>
      <c r="L133" s="46" t="inlineStr">
        <is>
          <t>0.3</t>
        </is>
      </c>
      <c r="M133" s="73" t="inlineStr">
        <is>
          <t>Complete</t>
        </is>
      </c>
    </row>
    <row r="134" ht="13.5" customHeight="1" s="38">
      <c r="A134" s="46" t="inlineStr">
        <is>
          <t>Z_S0_SC04_I01</t>
        </is>
      </c>
      <c r="B134" s="46" t="inlineStr">
        <is>
          <t>R_0057</t>
        </is>
      </c>
      <c r="C134" s="46" t="inlineStr">
        <is>
          <t>Baseline – Zero-Shot (minimal instruction)</t>
        </is>
      </c>
      <c r="D134" s="46" t="inlineStr">
        <is>
          <t>SC04</t>
        </is>
      </c>
      <c r="E134" s="46" t="inlineStr">
        <is>
          <t>Zero-Day / Edge Device</t>
        </is>
      </c>
      <c r="F134" s="47" t="n">
        <v>1</v>
      </c>
      <c r="G134" s="46" t="inlineStr">
        <is>
          <t>Gemma3:27b via Ollama</t>
        </is>
      </c>
      <c r="H134" s="48" t="n">
        <v>46159</v>
      </c>
      <c r="I134" s="46" t="inlineStr">
        <is>
          <t>12.709</t>
        </is>
      </c>
      <c r="J134" s="46" t="inlineStr">
        <is>
          <t>64.52</t>
        </is>
      </c>
      <c r="K134" s="46" t="inlineStr">
        <is>
          <t>Gemma3:27b</t>
        </is>
      </c>
      <c r="L134" s="46" t="inlineStr">
        <is>
          <t>0.3</t>
        </is>
      </c>
      <c r="M134" s="73" t="inlineStr">
        <is>
          <t>Complete</t>
        </is>
      </c>
    </row>
    <row r="135" ht="13.5" customHeight="1" s="38">
      <c r="A135" s="46" t="inlineStr">
        <is>
          <t>Z_S0_SC04_I02</t>
        </is>
      </c>
      <c r="B135" s="46" t="inlineStr">
        <is>
          <t>R_0376</t>
        </is>
      </c>
      <c r="C135" s="46" t="inlineStr">
        <is>
          <t>Baseline – Zero-Shot (minimal instruction)</t>
        </is>
      </c>
      <c r="D135" s="46" t="inlineStr">
        <is>
          <t>SC04</t>
        </is>
      </c>
      <c r="E135" s="46" t="inlineStr">
        <is>
          <t>Zero-Day / Edge Device</t>
        </is>
      </c>
      <c r="F135" s="47" t="n">
        <v>2</v>
      </c>
      <c r="G135" s="46" t="inlineStr">
        <is>
          <t>Gemma3:27b via Ollama</t>
        </is>
      </c>
      <c r="H135" s="48" t="n">
        <v>46159</v>
      </c>
      <c r="I135" s="46" t="inlineStr">
        <is>
          <t>12.565</t>
        </is>
      </c>
      <c r="J135" s="46" t="inlineStr">
        <is>
          <t>65.02</t>
        </is>
      </c>
      <c r="K135" s="46" t="inlineStr">
        <is>
          <t>Gemma3:27b</t>
        </is>
      </c>
      <c r="L135" s="46" t="inlineStr">
        <is>
          <t>0.3</t>
        </is>
      </c>
      <c r="M135" s="73" t="inlineStr">
        <is>
          <t>Complete</t>
        </is>
      </c>
    </row>
    <row r="136" ht="13.5" customHeight="1" s="38">
      <c r="A136" s="46" t="inlineStr">
        <is>
          <t>Z_S0_SC04_I03</t>
        </is>
      </c>
      <c r="B136" s="46" t="inlineStr">
        <is>
          <t>R_0755</t>
        </is>
      </c>
      <c r="C136" s="46" t="inlineStr">
        <is>
          <t>Baseline – Zero-Shot (minimal instruction)</t>
        </is>
      </c>
      <c r="D136" s="46" t="inlineStr">
        <is>
          <t>SC04</t>
        </is>
      </c>
      <c r="E136" s="46" t="inlineStr">
        <is>
          <t>Zero-Day / Edge Device</t>
        </is>
      </c>
      <c r="F136" s="47" t="n">
        <v>3</v>
      </c>
      <c r="G136" s="46" t="inlineStr">
        <is>
          <t>Gemma3:27b via Ollama</t>
        </is>
      </c>
      <c r="H136" s="48" t="n">
        <v>46159</v>
      </c>
      <c r="I136" s="46" t="inlineStr">
        <is>
          <t>13.709</t>
        </is>
      </c>
      <c r="J136" s="46" t="inlineStr">
        <is>
          <t>64.85</t>
        </is>
      </c>
      <c r="K136" s="46" t="inlineStr">
        <is>
          <t>Gemma3:27b</t>
        </is>
      </c>
      <c r="L136" s="46" t="inlineStr">
        <is>
          <t>0.3</t>
        </is>
      </c>
      <c r="M136" s="73" t="inlineStr">
        <is>
          <t>Complete</t>
        </is>
      </c>
    </row>
    <row r="137" ht="13.5" customHeight="1" s="38">
      <c r="A137" s="46" t="inlineStr">
        <is>
          <t>Z_S0_SC04_I04</t>
        </is>
      </c>
      <c r="B137" s="46" t="inlineStr">
        <is>
          <t>R_0005</t>
        </is>
      </c>
      <c r="C137" s="46" t="inlineStr">
        <is>
          <t>Baseline – Zero-Shot (minimal instruction)</t>
        </is>
      </c>
      <c r="D137" s="46" t="inlineStr">
        <is>
          <t>SC04</t>
        </is>
      </c>
      <c r="E137" s="46" t="inlineStr">
        <is>
          <t>Zero-Day / Edge Device</t>
        </is>
      </c>
      <c r="F137" s="47" t="n">
        <v>4</v>
      </c>
      <c r="G137" s="46" t="inlineStr">
        <is>
          <t>Gemma3:27b via Ollama</t>
        </is>
      </c>
      <c r="H137" s="48" t="n">
        <v>46159</v>
      </c>
      <c r="I137" s="46" t="inlineStr">
        <is>
          <t>12.085</t>
        </is>
      </c>
      <c r="J137" s="46" t="inlineStr">
        <is>
          <t>64.96</t>
        </is>
      </c>
      <c r="K137" s="46" t="inlineStr">
        <is>
          <t>Gemma3:27b</t>
        </is>
      </c>
      <c r="L137" s="46" t="inlineStr">
        <is>
          <t>0.3</t>
        </is>
      </c>
      <c r="M137" s="73" t="inlineStr">
        <is>
          <t>Complete</t>
        </is>
      </c>
    </row>
    <row r="138" ht="13.5" customHeight="1" s="38">
      <c r="A138" s="46" t="inlineStr">
        <is>
          <t>Z_S0_SC04_I05</t>
        </is>
      </c>
      <c r="B138" s="46" t="inlineStr">
        <is>
          <t>R_0576</t>
        </is>
      </c>
      <c r="C138" s="46" t="inlineStr">
        <is>
          <t>Baseline – Zero-Shot (minimal instruction)</t>
        </is>
      </c>
      <c r="D138" s="46" t="inlineStr">
        <is>
          <t>SC04</t>
        </is>
      </c>
      <c r="E138" s="46" t="inlineStr">
        <is>
          <t>Zero-Day / Edge Device</t>
        </is>
      </c>
      <c r="F138" s="47" t="n">
        <v>5</v>
      </c>
      <c r="G138" s="46" t="inlineStr">
        <is>
          <t>Gemma3:27b via Ollama</t>
        </is>
      </c>
      <c r="H138" s="48" t="n">
        <v>46159</v>
      </c>
      <c r="I138" s="46" t="inlineStr">
        <is>
          <t>12.362</t>
        </is>
      </c>
      <c r="J138" s="46" t="inlineStr">
        <is>
          <t>64.88</t>
        </is>
      </c>
      <c r="K138" s="46" t="inlineStr">
        <is>
          <t>Gemma3:27b</t>
        </is>
      </c>
      <c r="L138" s="46" t="inlineStr">
        <is>
          <t>0.3</t>
        </is>
      </c>
      <c r="M138" s="73" t="inlineStr">
        <is>
          <t>Complete</t>
        </is>
      </c>
    </row>
    <row r="139" ht="13.5" customHeight="1" s="38">
      <c r="A139" s="46" t="inlineStr">
        <is>
          <t>Z_S0_SC04_I06</t>
        </is>
      </c>
      <c r="B139" s="46" t="inlineStr">
        <is>
          <t>R_0139</t>
        </is>
      </c>
      <c r="C139" s="46" t="inlineStr">
        <is>
          <t>Baseline – Zero-Shot (minimal instruction)</t>
        </is>
      </c>
      <c r="D139" s="46" t="inlineStr">
        <is>
          <t>SC04</t>
        </is>
      </c>
      <c r="E139" s="46" t="inlineStr">
        <is>
          <t>Zero-Day / Edge Device</t>
        </is>
      </c>
      <c r="F139" s="47" t="n">
        <v>6</v>
      </c>
      <c r="G139" s="46" t="inlineStr">
        <is>
          <t>Gemma3:27b via Ollama</t>
        </is>
      </c>
      <c r="H139" s="48" t="n">
        <v>46159</v>
      </c>
      <c r="I139" s="46" t="inlineStr">
        <is>
          <t>13.180</t>
        </is>
      </c>
      <c r="J139" s="46" t="inlineStr">
        <is>
          <t>64.95</t>
        </is>
      </c>
      <c r="K139" s="46" t="inlineStr">
        <is>
          <t>Gemma3:27b</t>
        </is>
      </c>
      <c r="L139" s="46" t="inlineStr">
        <is>
          <t>0.3</t>
        </is>
      </c>
      <c r="M139" s="73" t="inlineStr">
        <is>
          <t>Complete</t>
        </is>
      </c>
    </row>
    <row r="140" ht="13.5" customHeight="1" s="38">
      <c r="A140" s="46" t="inlineStr">
        <is>
          <t>Z_S0_SC04_I07</t>
        </is>
      </c>
      <c r="B140" s="46" t="inlineStr">
        <is>
          <t>R_0635</t>
        </is>
      </c>
      <c r="C140" s="46" t="inlineStr">
        <is>
          <t>Baseline – Zero-Shot (minimal instruction)</t>
        </is>
      </c>
      <c r="D140" s="46" t="inlineStr">
        <is>
          <t>SC04</t>
        </is>
      </c>
      <c r="E140" s="46" t="inlineStr">
        <is>
          <t>Zero-Day / Edge Device</t>
        </is>
      </c>
      <c r="F140" s="47" t="n">
        <v>7</v>
      </c>
      <c r="G140" s="46" t="inlineStr">
        <is>
          <t>Gemma3:27b via Ollama</t>
        </is>
      </c>
      <c r="H140" s="48" t="n">
        <v>46159</v>
      </c>
      <c r="I140" s="46" t="inlineStr">
        <is>
          <t>12.159</t>
        </is>
      </c>
      <c r="J140" s="46" t="inlineStr">
        <is>
          <t>64.23</t>
        </is>
      </c>
      <c r="K140" s="46" t="inlineStr">
        <is>
          <t>Gemma3:27b</t>
        </is>
      </c>
      <c r="L140" s="46" t="inlineStr">
        <is>
          <t>0.3</t>
        </is>
      </c>
      <c r="M140" s="73" t="inlineStr">
        <is>
          <t>Complete</t>
        </is>
      </c>
    </row>
    <row r="141" ht="13.5" customHeight="1" s="38">
      <c r="A141" s="46" t="inlineStr">
        <is>
          <t>Z_S0_SC04_I08</t>
        </is>
      </c>
      <c r="B141" s="46" t="inlineStr">
        <is>
          <t>R_0375</t>
        </is>
      </c>
      <c r="C141" s="46" t="inlineStr">
        <is>
          <t>Baseline – Zero-Shot (minimal instruction)</t>
        </is>
      </c>
      <c r="D141" s="46" t="inlineStr">
        <is>
          <t>SC04</t>
        </is>
      </c>
      <c r="E141" s="46" t="inlineStr">
        <is>
          <t>Zero-Day / Edge Device</t>
        </is>
      </c>
      <c r="F141" s="47" t="n">
        <v>8</v>
      </c>
      <c r="G141" s="46" t="inlineStr">
        <is>
          <t>Gemma3:27b via Ollama</t>
        </is>
      </c>
      <c r="H141" s="48" t="n">
        <v>46159</v>
      </c>
      <c r="I141" s="46" t="inlineStr">
        <is>
          <t>12.745</t>
        </is>
      </c>
      <c r="J141" s="46" t="inlineStr">
        <is>
          <t>64.57</t>
        </is>
      </c>
      <c r="K141" s="46" t="inlineStr">
        <is>
          <t>Gemma3:27b</t>
        </is>
      </c>
      <c r="L141" s="46" t="inlineStr">
        <is>
          <t>0.3</t>
        </is>
      </c>
      <c r="M141" s="73" t="inlineStr">
        <is>
          <t>Complete</t>
        </is>
      </c>
    </row>
    <row r="142" ht="13.5" customHeight="1" s="38">
      <c r="A142" s="46" t="inlineStr">
        <is>
          <t>Z_S0_SC04_I09</t>
        </is>
      </c>
      <c r="B142" s="46" t="inlineStr">
        <is>
          <t>R_0693</t>
        </is>
      </c>
      <c r="C142" s="46" t="inlineStr">
        <is>
          <t>Baseline – Zero-Shot (minimal instruction)</t>
        </is>
      </c>
      <c r="D142" s="46" t="inlineStr">
        <is>
          <t>SC04</t>
        </is>
      </c>
      <c r="E142" s="46" t="inlineStr">
        <is>
          <t>Zero-Day / Edge Device</t>
        </is>
      </c>
      <c r="F142" s="47" t="n">
        <v>9</v>
      </c>
      <c r="G142" s="46" t="inlineStr">
        <is>
          <t>Gemma3:27b via Ollama</t>
        </is>
      </c>
      <c r="H142" s="48" t="n">
        <v>46159</v>
      </c>
      <c r="I142" s="46" t="inlineStr">
        <is>
          <t>12.518</t>
        </is>
      </c>
      <c r="J142" s="46" t="inlineStr">
        <is>
          <t>64.43</t>
        </is>
      </c>
      <c r="K142" s="46" t="inlineStr">
        <is>
          <t>Gemma3:27b</t>
        </is>
      </c>
      <c r="L142" s="46" t="inlineStr">
        <is>
          <t>0.3</t>
        </is>
      </c>
      <c r="M142" s="73" t="inlineStr">
        <is>
          <t>Complete</t>
        </is>
      </c>
    </row>
    <row r="143" ht="13.5" customHeight="1" s="38">
      <c r="A143" s="46" t="inlineStr">
        <is>
          <t>Z_S0_SC04_I10</t>
        </is>
      </c>
      <c r="B143" s="46" t="inlineStr">
        <is>
          <t>R_0965</t>
        </is>
      </c>
      <c r="C143" s="46" t="inlineStr">
        <is>
          <t>Baseline – Zero-Shot (minimal instruction)</t>
        </is>
      </c>
      <c r="D143" s="46" t="inlineStr">
        <is>
          <t>SC04</t>
        </is>
      </c>
      <c r="E143" s="46" t="inlineStr">
        <is>
          <t>Zero-Day / Edge Device</t>
        </is>
      </c>
      <c r="F143" s="47" t="n">
        <v>10</v>
      </c>
      <c r="G143" s="46" t="inlineStr">
        <is>
          <t>Gemma3:27b via Ollama</t>
        </is>
      </c>
      <c r="H143" s="48" t="n">
        <v>46159</v>
      </c>
      <c r="I143" s="46" t="inlineStr">
        <is>
          <t>11.438</t>
        </is>
      </c>
      <c r="J143" s="46" t="inlineStr">
        <is>
          <t>65.83</t>
        </is>
      </c>
      <c r="K143" s="46" t="inlineStr">
        <is>
          <t>Gemma3:27b</t>
        </is>
      </c>
      <c r="L143" s="46" t="inlineStr">
        <is>
          <t>0.3</t>
        </is>
      </c>
      <c r="M143" s="73" t="inlineStr">
        <is>
          <t>Complete</t>
        </is>
      </c>
    </row>
    <row r="144" ht="13.5" customHeight="1" s="38">
      <c r="A144" s="46" t="inlineStr">
        <is>
          <t>Z_S0_SC05_I01</t>
        </is>
      </c>
      <c r="B144" s="46" t="inlineStr">
        <is>
          <t>R_0975</t>
        </is>
      </c>
      <c r="C144" s="46" t="inlineStr">
        <is>
          <t>Baseline – Zero-Shot (minimal instruction)</t>
        </is>
      </c>
      <c r="D144" s="46" t="inlineStr">
        <is>
          <t>SC05</t>
        </is>
      </c>
      <c r="E144" s="46" t="inlineStr">
        <is>
          <t>Zero-Day / Edge Device</t>
        </is>
      </c>
      <c r="F144" s="47" t="n">
        <v>1</v>
      </c>
      <c r="G144" s="46" t="inlineStr">
        <is>
          <t>Gemma3:27b via Ollama</t>
        </is>
      </c>
      <c r="H144" s="48" t="n">
        <v>46159</v>
      </c>
      <c r="I144" s="46" t="inlineStr">
        <is>
          <t>13.959</t>
        </is>
      </c>
      <c r="J144" s="46" t="inlineStr">
        <is>
          <t>66.62</t>
        </is>
      </c>
      <c r="K144" s="46" t="inlineStr">
        <is>
          <t>Gemma3:27b</t>
        </is>
      </c>
      <c r="L144" s="46" t="inlineStr">
        <is>
          <t>0.3</t>
        </is>
      </c>
      <c r="M144" s="73" t="inlineStr">
        <is>
          <t>Complete</t>
        </is>
      </c>
    </row>
    <row r="145" ht="13.5" customHeight="1" s="38">
      <c r="A145" s="46" t="inlineStr">
        <is>
          <t>Z_S0_SC05_I02</t>
        </is>
      </c>
      <c r="B145" s="46" t="inlineStr">
        <is>
          <t>R_0863</t>
        </is>
      </c>
      <c r="C145" s="46" t="inlineStr">
        <is>
          <t>Baseline – Zero-Shot (minimal instruction)</t>
        </is>
      </c>
      <c r="D145" s="46" t="inlineStr">
        <is>
          <t>SC05</t>
        </is>
      </c>
      <c r="E145" s="46" t="inlineStr">
        <is>
          <t>Zero-Day / Edge Device</t>
        </is>
      </c>
      <c r="F145" s="47" t="n">
        <v>2</v>
      </c>
      <c r="G145" s="46" t="inlineStr">
        <is>
          <t>Gemma3:27b via Ollama</t>
        </is>
      </c>
      <c r="H145" s="48" t="n">
        <v>46159</v>
      </c>
      <c r="I145" s="46" t="inlineStr">
        <is>
          <t>13.116</t>
        </is>
      </c>
      <c r="J145" s="46" t="inlineStr">
        <is>
          <t>66.03</t>
        </is>
      </c>
      <c r="K145" s="46" t="inlineStr">
        <is>
          <t>Gemma3:27b</t>
        </is>
      </c>
      <c r="L145" s="46" t="inlineStr">
        <is>
          <t>0.3</t>
        </is>
      </c>
      <c r="M145" s="73" t="inlineStr">
        <is>
          <t>Complete</t>
        </is>
      </c>
    </row>
    <row r="146" ht="13.5" customHeight="1" s="38">
      <c r="A146" s="46" t="inlineStr">
        <is>
          <t>Z_S0_SC05_I03</t>
        </is>
      </c>
      <c r="B146" s="46" t="inlineStr">
        <is>
          <t>R_0851</t>
        </is>
      </c>
      <c r="C146" s="46" t="inlineStr">
        <is>
          <t>Baseline – Zero-Shot (minimal instruction)</t>
        </is>
      </c>
      <c r="D146" s="46" t="inlineStr">
        <is>
          <t>SC05</t>
        </is>
      </c>
      <c r="E146" s="46" t="inlineStr">
        <is>
          <t>Zero-Day / Edge Device</t>
        </is>
      </c>
      <c r="F146" s="47" t="n">
        <v>3</v>
      </c>
      <c r="G146" s="46" t="inlineStr">
        <is>
          <t>Gemma3:27b via Ollama</t>
        </is>
      </c>
      <c r="H146" s="48" t="n">
        <v>46159</v>
      </c>
      <c r="I146" s="46" t="inlineStr">
        <is>
          <t>12.994</t>
        </is>
      </c>
      <c r="J146" s="46" t="inlineStr">
        <is>
          <t>66.49</t>
        </is>
      </c>
      <c r="K146" s="46" t="inlineStr">
        <is>
          <t>Gemma3:27b</t>
        </is>
      </c>
      <c r="L146" s="46" t="inlineStr">
        <is>
          <t>0.3</t>
        </is>
      </c>
      <c r="M146" s="73" t="inlineStr">
        <is>
          <t>Complete</t>
        </is>
      </c>
    </row>
    <row r="147" ht="13.5" customHeight="1" s="38">
      <c r="A147" s="46" t="inlineStr">
        <is>
          <t>Z_S0_SC05_I04</t>
        </is>
      </c>
      <c r="B147" s="46" t="inlineStr">
        <is>
          <t>R_0467</t>
        </is>
      </c>
      <c r="C147" s="46" t="inlineStr">
        <is>
          <t>Baseline – Zero-Shot (minimal instruction)</t>
        </is>
      </c>
      <c r="D147" s="46" t="inlineStr">
        <is>
          <t>SC05</t>
        </is>
      </c>
      <c r="E147" s="46" t="inlineStr">
        <is>
          <t>Zero-Day / Edge Device</t>
        </is>
      </c>
      <c r="F147" s="47" t="n">
        <v>4</v>
      </c>
      <c r="G147" s="46" t="inlineStr">
        <is>
          <t>Gemma3:27b via Ollama</t>
        </is>
      </c>
      <c r="H147" s="48" t="n">
        <v>46159</v>
      </c>
      <c r="I147" s="46" t="inlineStr">
        <is>
          <t>14.175</t>
        </is>
      </c>
      <c r="J147" s="46" t="inlineStr">
        <is>
          <t>65.82</t>
        </is>
      </c>
      <c r="K147" s="46" t="inlineStr">
        <is>
          <t>Gemma3:27b</t>
        </is>
      </c>
      <c r="L147" s="46" t="inlineStr">
        <is>
          <t>0.3</t>
        </is>
      </c>
      <c r="M147" s="73" t="inlineStr">
        <is>
          <t>Complete</t>
        </is>
      </c>
    </row>
    <row r="148" ht="13.5" customHeight="1" s="38">
      <c r="A148" s="46" t="inlineStr">
        <is>
          <t>Z_S0_SC05_I05</t>
        </is>
      </c>
      <c r="B148" s="46" t="inlineStr">
        <is>
          <t>R_0373</t>
        </is>
      </c>
      <c r="C148" s="46" t="inlineStr">
        <is>
          <t>Baseline – Zero-Shot (minimal instruction)</t>
        </is>
      </c>
      <c r="D148" s="46" t="inlineStr">
        <is>
          <t>SC05</t>
        </is>
      </c>
      <c r="E148" s="46" t="inlineStr">
        <is>
          <t>Zero-Day / Edge Device</t>
        </is>
      </c>
      <c r="F148" s="47" t="n">
        <v>5</v>
      </c>
      <c r="G148" s="46" t="inlineStr">
        <is>
          <t>Gemma3:27b via Ollama</t>
        </is>
      </c>
      <c r="H148" s="48" t="n">
        <v>46159</v>
      </c>
      <c r="I148" s="46" t="inlineStr">
        <is>
          <t>11.919</t>
        </is>
      </c>
      <c r="J148" s="46" t="inlineStr">
        <is>
          <t>66.62</t>
        </is>
      </c>
      <c r="K148" s="46" t="inlineStr">
        <is>
          <t>Gemma3:27b</t>
        </is>
      </c>
      <c r="L148" s="46" t="inlineStr">
        <is>
          <t>0.3</t>
        </is>
      </c>
      <c r="M148" s="73" t="inlineStr">
        <is>
          <t>Complete</t>
        </is>
      </c>
    </row>
    <row r="149" ht="13.5" customHeight="1" s="38">
      <c r="A149" s="46" t="inlineStr">
        <is>
          <t>Z_S0_SC05_I06</t>
        </is>
      </c>
      <c r="B149" s="46" t="inlineStr">
        <is>
          <t>R_0549</t>
        </is>
      </c>
      <c r="C149" s="46" t="inlineStr">
        <is>
          <t>Baseline – Zero-Shot (minimal instruction)</t>
        </is>
      </c>
      <c r="D149" s="46" t="inlineStr">
        <is>
          <t>SC05</t>
        </is>
      </c>
      <c r="E149" s="46" t="inlineStr">
        <is>
          <t>Zero-Day / Edge Device</t>
        </is>
      </c>
      <c r="F149" s="47" t="n">
        <v>6</v>
      </c>
      <c r="G149" s="46" t="inlineStr">
        <is>
          <t>Gemma3:27b via Ollama</t>
        </is>
      </c>
      <c r="H149" s="48" t="n">
        <v>46159</v>
      </c>
      <c r="I149" s="46" t="inlineStr">
        <is>
          <t>13.948</t>
        </is>
      </c>
      <c r="J149" s="46" t="inlineStr">
        <is>
          <t>66.46</t>
        </is>
      </c>
      <c r="K149" s="46" t="inlineStr">
        <is>
          <t>Gemma3:27b</t>
        </is>
      </c>
      <c r="L149" s="46" t="inlineStr">
        <is>
          <t>0.3</t>
        </is>
      </c>
      <c r="M149" s="73" t="inlineStr">
        <is>
          <t>Complete</t>
        </is>
      </c>
    </row>
    <row r="150" ht="13.5" customHeight="1" s="38">
      <c r="A150" s="46" t="inlineStr">
        <is>
          <t>Z_S0_SC05_I07</t>
        </is>
      </c>
      <c r="B150" s="46" t="inlineStr">
        <is>
          <t>R_0326</t>
        </is>
      </c>
      <c r="C150" s="46" t="inlineStr">
        <is>
          <t>Baseline – Zero-Shot (minimal instruction)</t>
        </is>
      </c>
      <c r="D150" s="46" t="inlineStr">
        <is>
          <t>SC05</t>
        </is>
      </c>
      <c r="E150" s="46" t="inlineStr">
        <is>
          <t>Zero-Day / Edge Device</t>
        </is>
      </c>
      <c r="F150" s="47" t="n">
        <v>7</v>
      </c>
      <c r="G150" s="46" t="inlineStr">
        <is>
          <t>Gemma3:27b via Ollama</t>
        </is>
      </c>
      <c r="H150" s="48" t="n">
        <v>46159</v>
      </c>
      <c r="I150" s="46" t="inlineStr">
        <is>
          <t>15.176</t>
        </is>
      </c>
      <c r="J150" s="46" t="inlineStr">
        <is>
          <t>66.75</t>
        </is>
      </c>
      <c r="K150" s="46" t="inlineStr">
        <is>
          <t>Gemma3:27b</t>
        </is>
      </c>
      <c r="L150" s="46" t="inlineStr">
        <is>
          <t>0.3</t>
        </is>
      </c>
      <c r="M150" s="73" t="inlineStr">
        <is>
          <t>Complete</t>
        </is>
      </c>
    </row>
    <row r="151" ht="13.5" customHeight="1" s="38">
      <c r="A151" s="46" t="inlineStr">
        <is>
          <t>Z_S0_SC05_I08</t>
        </is>
      </c>
      <c r="B151" s="46" t="inlineStr">
        <is>
          <t>R_0711</t>
        </is>
      </c>
      <c r="C151" s="46" t="inlineStr">
        <is>
          <t>Baseline – Zero-Shot (minimal instruction)</t>
        </is>
      </c>
      <c r="D151" s="46" t="inlineStr">
        <is>
          <t>SC05</t>
        </is>
      </c>
      <c r="E151" s="46" t="inlineStr">
        <is>
          <t>Zero-Day / Edge Device</t>
        </is>
      </c>
      <c r="F151" s="47" t="n">
        <v>8</v>
      </c>
      <c r="G151" s="46" t="inlineStr">
        <is>
          <t>Gemma3:27b via Ollama</t>
        </is>
      </c>
      <c r="H151" s="48" t="n">
        <v>46159</v>
      </c>
      <c r="I151" s="46" t="inlineStr">
        <is>
          <t>13.038</t>
        </is>
      </c>
      <c r="J151" s="46" t="inlineStr">
        <is>
          <t>66.57</t>
        </is>
      </c>
      <c r="K151" s="46" t="inlineStr">
        <is>
          <t>Gemma3:27b</t>
        </is>
      </c>
      <c r="L151" s="46" t="inlineStr">
        <is>
          <t>0.3</t>
        </is>
      </c>
      <c r="M151" s="73" t="inlineStr">
        <is>
          <t>Complete</t>
        </is>
      </c>
    </row>
    <row r="152" ht="13.5" customHeight="1" s="38">
      <c r="A152" s="46" t="inlineStr">
        <is>
          <t>Z_S0_SC05_I09</t>
        </is>
      </c>
      <c r="B152" s="46" t="inlineStr">
        <is>
          <t>R_0848</t>
        </is>
      </c>
      <c r="C152" s="46" t="inlineStr">
        <is>
          <t>Baseline – Zero-Shot (minimal instruction)</t>
        </is>
      </c>
      <c r="D152" s="46" t="inlineStr">
        <is>
          <t>SC05</t>
        </is>
      </c>
      <c r="E152" s="46" t="inlineStr">
        <is>
          <t>Zero-Day / Edge Device</t>
        </is>
      </c>
      <c r="F152" s="47" t="n">
        <v>9</v>
      </c>
      <c r="G152" s="46" t="inlineStr">
        <is>
          <t>Gemma3:27b via Ollama</t>
        </is>
      </c>
      <c r="H152" s="48" t="n">
        <v>46159</v>
      </c>
      <c r="I152" s="46" t="inlineStr">
        <is>
          <t>13.555</t>
        </is>
      </c>
      <c r="J152" s="46" t="inlineStr">
        <is>
          <t>65.14</t>
        </is>
      </c>
      <c r="K152" s="46" t="inlineStr">
        <is>
          <t>Gemma3:27b</t>
        </is>
      </c>
      <c r="L152" s="46" t="inlineStr">
        <is>
          <t>0.3</t>
        </is>
      </c>
      <c r="M152" s="73" t="inlineStr">
        <is>
          <t>Complete</t>
        </is>
      </c>
    </row>
    <row r="153" ht="13.5" customHeight="1" s="38">
      <c r="A153" s="46" t="inlineStr">
        <is>
          <t>Z_S0_SC05_I10</t>
        </is>
      </c>
      <c r="B153" s="46" t="inlineStr">
        <is>
          <t>R_0067</t>
        </is>
      </c>
      <c r="C153" s="46" t="inlineStr">
        <is>
          <t>Baseline – Zero-Shot (minimal instruction)</t>
        </is>
      </c>
      <c r="D153" s="46" t="inlineStr">
        <is>
          <t>SC05</t>
        </is>
      </c>
      <c r="E153" s="46" t="inlineStr">
        <is>
          <t>Zero-Day / Edge Device</t>
        </is>
      </c>
      <c r="F153" s="47" t="n">
        <v>10</v>
      </c>
      <c r="G153" s="46" t="inlineStr">
        <is>
          <t>Gemma3:27b via Ollama</t>
        </is>
      </c>
      <c r="H153" s="48" t="n">
        <v>46159</v>
      </c>
      <c r="I153" s="46" t="inlineStr">
        <is>
          <t>13.244</t>
        </is>
      </c>
      <c r="J153" s="46" t="inlineStr">
        <is>
          <t>64.86</t>
        </is>
      </c>
      <c r="K153" s="46" t="inlineStr">
        <is>
          <t>Gemma3:27b</t>
        </is>
      </c>
      <c r="L153" s="46" t="inlineStr">
        <is>
          <t>0.3</t>
        </is>
      </c>
      <c r="M153" s="73" t="inlineStr">
        <is>
          <t>Complete</t>
        </is>
      </c>
    </row>
    <row r="154" ht="13.5" customHeight="1" s="38">
      <c r="A154" s="46" t="inlineStr">
        <is>
          <t>B_S0_SC01_I01</t>
        </is>
      </c>
      <c r="B154" s="46" t="inlineStr">
        <is>
          <t>R_0455</t>
        </is>
      </c>
      <c r="C154" s="46" t="inlineStr">
        <is>
          <t>Baseline – Zero-Shot (minimal instruction)</t>
        </is>
      </c>
      <c r="D154" s="46" t="inlineStr">
        <is>
          <t>SC01</t>
        </is>
      </c>
      <c r="E154" s="46" t="inlineStr">
        <is>
          <t>Business Email Compromise</t>
        </is>
      </c>
      <c r="F154" s="47" t="n">
        <v>1</v>
      </c>
      <c r="G154" s="46" t="inlineStr">
        <is>
          <t>Gemma3:27b via Ollama</t>
        </is>
      </c>
      <c r="H154" s="48" t="n">
        <v>46159</v>
      </c>
      <c r="I154" s="46" t="inlineStr">
        <is>
          <t>11.850</t>
        </is>
      </c>
      <c r="J154" s="46" t="inlineStr">
        <is>
          <t>64.81</t>
        </is>
      </c>
      <c r="K154" s="46" t="inlineStr">
        <is>
          <t>Gemma3:27b</t>
        </is>
      </c>
      <c r="L154" s="46" t="inlineStr">
        <is>
          <t>0.3</t>
        </is>
      </c>
      <c r="M154" s="73" t="inlineStr">
        <is>
          <t>Complete</t>
        </is>
      </c>
    </row>
    <row r="155" ht="13.5" customHeight="1" s="38">
      <c r="A155" s="46" t="inlineStr">
        <is>
          <t>B_S0_SC01_I02</t>
        </is>
      </c>
      <c r="B155" s="46" t="inlineStr">
        <is>
          <t>R_0790</t>
        </is>
      </c>
      <c r="C155" s="46" t="inlineStr">
        <is>
          <t>Baseline – Zero-Shot (minimal instruction)</t>
        </is>
      </c>
      <c r="D155" s="46" t="inlineStr">
        <is>
          <t>SC01</t>
        </is>
      </c>
      <c r="E155" s="46" t="inlineStr">
        <is>
          <t>Business Email Compromise</t>
        </is>
      </c>
      <c r="F155" s="47" t="n">
        <v>2</v>
      </c>
      <c r="G155" s="46" t="inlineStr">
        <is>
          <t>Gemma3:27b via Ollama</t>
        </is>
      </c>
      <c r="H155" s="48" t="n">
        <v>46159</v>
      </c>
      <c r="I155" s="46" t="inlineStr">
        <is>
          <t>11.411</t>
        </is>
      </c>
      <c r="J155" s="46" t="inlineStr">
        <is>
          <t>63.01</t>
        </is>
      </c>
      <c r="K155" s="46" t="inlineStr">
        <is>
          <t>Gemma3:27b</t>
        </is>
      </c>
      <c r="L155" s="46" t="inlineStr">
        <is>
          <t>0.3</t>
        </is>
      </c>
      <c r="M155" s="73" t="inlineStr">
        <is>
          <t>Complete</t>
        </is>
      </c>
    </row>
    <row r="156" ht="13.5" customHeight="1" s="38">
      <c r="A156" s="46" t="inlineStr">
        <is>
          <t>B_S0_SC01_I03</t>
        </is>
      </c>
      <c r="B156" s="46" t="inlineStr">
        <is>
          <t>R_0674</t>
        </is>
      </c>
      <c r="C156" s="46" t="inlineStr">
        <is>
          <t>Baseline – Zero-Shot (minimal instruction)</t>
        </is>
      </c>
      <c r="D156" s="46" t="inlineStr">
        <is>
          <t>SC01</t>
        </is>
      </c>
      <c r="E156" s="46" t="inlineStr">
        <is>
          <t>Business Email Compromise</t>
        </is>
      </c>
      <c r="F156" s="47" t="n">
        <v>3</v>
      </c>
      <c r="G156" s="46" t="inlineStr">
        <is>
          <t>Gemma3:27b via Ollama</t>
        </is>
      </c>
      <c r="H156" s="48" t="n">
        <v>46159</v>
      </c>
      <c r="I156" s="46" t="inlineStr">
        <is>
          <t>12.268</t>
        </is>
      </c>
      <c r="J156" s="46" t="inlineStr">
        <is>
          <t>66.35</t>
        </is>
      </c>
      <c r="K156" s="46" t="inlineStr">
        <is>
          <t>Gemma3:27b</t>
        </is>
      </c>
      <c r="L156" s="46" t="inlineStr">
        <is>
          <t>0.3</t>
        </is>
      </c>
      <c r="M156" s="73" t="inlineStr">
        <is>
          <t>Complete</t>
        </is>
      </c>
    </row>
    <row r="157" ht="13.5" customHeight="1" s="38">
      <c r="A157" s="46" t="inlineStr">
        <is>
          <t>B_S0_SC01_I04</t>
        </is>
      </c>
      <c r="B157" s="46" t="inlineStr">
        <is>
          <t>R_0935</t>
        </is>
      </c>
      <c r="C157" s="46" t="inlineStr">
        <is>
          <t>Baseline – Zero-Shot (minimal instruction)</t>
        </is>
      </c>
      <c r="D157" s="46" t="inlineStr">
        <is>
          <t>SC01</t>
        </is>
      </c>
      <c r="E157" s="46" t="inlineStr">
        <is>
          <t>Business Email Compromise</t>
        </is>
      </c>
      <c r="F157" s="47" t="n">
        <v>4</v>
      </c>
      <c r="G157" s="46" t="inlineStr">
        <is>
          <t>Gemma3:27b via Ollama</t>
        </is>
      </c>
      <c r="H157" s="48" t="n">
        <v>46159</v>
      </c>
      <c r="I157" s="46" t="inlineStr">
        <is>
          <t>12.192</t>
        </is>
      </c>
      <c r="J157" s="46" t="inlineStr">
        <is>
          <t>66.36</t>
        </is>
      </c>
      <c r="K157" s="46" t="inlineStr">
        <is>
          <t>Gemma3:27b</t>
        </is>
      </c>
      <c r="L157" s="46" t="inlineStr">
        <is>
          <t>0.3</t>
        </is>
      </c>
      <c r="M157" s="73" t="inlineStr">
        <is>
          <t>Complete</t>
        </is>
      </c>
    </row>
    <row r="158" ht="13.5" customHeight="1" s="38">
      <c r="A158" s="46" t="inlineStr">
        <is>
          <t>B_S0_SC01_I05</t>
        </is>
      </c>
      <c r="B158" s="46" t="inlineStr">
        <is>
          <t>R_0631</t>
        </is>
      </c>
      <c r="C158" s="46" t="inlineStr">
        <is>
          <t>Baseline – Zero-Shot (minimal instruction)</t>
        </is>
      </c>
      <c r="D158" s="46" t="inlineStr">
        <is>
          <t>SC01</t>
        </is>
      </c>
      <c r="E158" s="46" t="inlineStr">
        <is>
          <t>Business Email Compromise</t>
        </is>
      </c>
      <c r="F158" s="47" t="n">
        <v>5</v>
      </c>
      <c r="G158" s="46" t="inlineStr">
        <is>
          <t>Gemma3:27b via Ollama</t>
        </is>
      </c>
      <c r="H158" s="48" t="n">
        <v>46159</v>
      </c>
      <c r="I158" s="46" t="inlineStr">
        <is>
          <t>12.033</t>
        </is>
      </c>
      <c r="J158" s="46" t="inlineStr">
        <is>
          <t>64.16</t>
        </is>
      </c>
      <c r="K158" s="46" t="inlineStr">
        <is>
          <t>Gemma3:27b</t>
        </is>
      </c>
      <c r="L158" s="46" t="inlineStr">
        <is>
          <t>0.3</t>
        </is>
      </c>
      <c r="M158" s="73" t="inlineStr">
        <is>
          <t>Complete</t>
        </is>
      </c>
    </row>
    <row r="159" ht="13.5" customHeight="1" s="38">
      <c r="A159" s="46" t="inlineStr">
        <is>
          <t>B_S0_SC01_I06</t>
        </is>
      </c>
      <c r="B159" s="46" t="inlineStr">
        <is>
          <t>R_0343</t>
        </is>
      </c>
      <c r="C159" s="46" t="inlineStr">
        <is>
          <t>Baseline – Zero-Shot (minimal instruction)</t>
        </is>
      </c>
      <c r="D159" s="46" t="inlineStr">
        <is>
          <t>SC01</t>
        </is>
      </c>
      <c r="E159" s="46" t="inlineStr">
        <is>
          <t>Business Email Compromise</t>
        </is>
      </c>
      <c r="F159" s="47" t="n">
        <v>6</v>
      </c>
      <c r="G159" s="46" t="inlineStr">
        <is>
          <t>Gemma3:27b via Ollama</t>
        </is>
      </c>
      <c r="H159" s="48" t="n">
        <v>46159</v>
      </c>
      <c r="I159" s="46" t="inlineStr">
        <is>
          <t>11.929</t>
        </is>
      </c>
      <c r="J159" s="46" t="inlineStr">
        <is>
          <t>63.29</t>
        </is>
      </c>
      <c r="K159" s="46" t="inlineStr">
        <is>
          <t>Gemma3:27b</t>
        </is>
      </c>
      <c r="L159" s="46" t="inlineStr">
        <is>
          <t>0.3</t>
        </is>
      </c>
      <c r="M159" s="73" t="inlineStr">
        <is>
          <t>Complete</t>
        </is>
      </c>
    </row>
    <row r="160" ht="13.5" customHeight="1" s="38">
      <c r="A160" s="46" t="inlineStr">
        <is>
          <t>B_S0_SC01_I07</t>
        </is>
      </c>
      <c r="B160" s="46" t="inlineStr">
        <is>
          <t>R_0597</t>
        </is>
      </c>
      <c r="C160" s="46" t="inlineStr">
        <is>
          <t>Baseline – Zero-Shot (minimal instruction)</t>
        </is>
      </c>
      <c r="D160" s="46" t="inlineStr">
        <is>
          <t>SC01</t>
        </is>
      </c>
      <c r="E160" s="46" t="inlineStr">
        <is>
          <t>Business Email Compromise</t>
        </is>
      </c>
      <c r="F160" s="47" t="n">
        <v>7</v>
      </c>
      <c r="G160" s="46" t="inlineStr">
        <is>
          <t>Gemma3:27b via Ollama</t>
        </is>
      </c>
      <c r="H160" s="48" t="n">
        <v>46159</v>
      </c>
      <c r="I160" s="46" t="inlineStr">
        <is>
          <t>12.202</t>
        </is>
      </c>
      <c r="J160" s="46" t="inlineStr">
        <is>
          <t>65.15</t>
        </is>
      </c>
      <c r="K160" s="46" t="inlineStr">
        <is>
          <t>Gemma3:27b</t>
        </is>
      </c>
      <c r="L160" s="46" t="inlineStr">
        <is>
          <t>0.3</t>
        </is>
      </c>
      <c r="M160" s="73" t="inlineStr">
        <is>
          <t>Complete</t>
        </is>
      </c>
    </row>
    <row r="161" ht="13.5" customHeight="1" s="38">
      <c r="A161" s="46" t="inlineStr">
        <is>
          <t>B_S0_SC01_I08</t>
        </is>
      </c>
      <c r="B161" s="46" t="inlineStr">
        <is>
          <t>R_0875</t>
        </is>
      </c>
      <c r="C161" s="46" t="inlineStr">
        <is>
          <t>Baseline – Zero-Shot (minimal instruction)</t>
        </is>
      </c>
      <c r="D161" s="46" t="inlineStr">
        <is>
          <t>SC01</t>
        </is>
      </c>
      <c r="E161" s="46" t="inlineStr">
        <is>
          <t>Business Email Compromise</t>
        </is>
      </c>
      <c r="F161" s="47" t="n">
        <v>8</v>
      </c>
      <c r="G161" s="46" t="inlineStr">
        <is>
          <t>Gemma3:27b via Ollama</t>
        </is>
      </c>
      <c r="H161" s="48" t="n">
        <v>46159</v>
      </c>
      <c r="I161" s="46" t="inlineStr">
        <is>
          <t>11.648</t>
        </is>
      </c>
      <c r="J161" s="46" t="inlineStr">
        <is>
          <t>64.21</t>
        </is>
      </c>
      <c r="K161" s="46" t="inlineStr">
        <is>
          <t>Gemma3:27b</t>
        </is>
      </c>
      <c r="L161" s="46" t="inlineStr">
        <is>
          <t>0.3</t>
        </is>
      </c>
      <c r="M161" s="73" t="inlineStr">
        <is>
          <t>Complete</t>
        </is>
      </c>
    </row>
    <row r="162" ht="13.5" customHeight="1" s="38">
      <c r="A162" s="46" t="inlineStr">
        <is>
          <t>B_S0_SC01_I09</t>
        </is>
      </c>
      <c r="B162" s="46" t="inlineStr">
        <is>
          <t>R_0854</t>
        </is>
      </c>
      <c r="C162" s="46" t="inlineStr">
        <is>
          <t>Baseline – Zero-Shot (minimal instruction)</t>
        </is>
      </c>
      <c r="D162" s="46" t="inlineStr">
        <is>
          <t>SC01</t>
        </is>
      </c>
      <c r="E162" s="46" t="inlineStr">
        <is>
          <t>Business Email Compromise</t>
        </is>
      </c>
      <c r="F162" s="47" t="n">
        <v>9</v>
      </c>
      <c r="G162" s="46" t="inlineStr">
        <is>
          <t>Gemma3:27b via Ollama</t>
        </is>
      </c>
      <c r="H162" s="48" t="n">
        <v>46159</v>
      </c>
      <c r="I162" s="46" t="inlineStr">
        <is>
          <t>12.570</t>
        </is>
      </c>
      <c r="J162" s="46" t="inlineStr">
        <is>
          <t>64.76</t>
        </is>
      </c>
      <c r="K162" s="46" t="inlineStr">
        <is>
          <t>Gemma3:27b</t>
        </is>
      </c>
      <c r="L162" s="46" t="inlineStr">
        <is>
          <t>0.3</t>
        </is>
      </c>
      <c r="M162" s="73" t="inlineStr">
        <is>
          <t>Complete</t>
        </is>
      </c>
    </row>
    <row r="163" ht="13.5" customHeight="1" s="38">
      <c r="A163" s="46" t="inlineStr">
        <is>
          <t>B_S0_SC01_I10</t>
        </is>
      </c>
      <c r="B163" s="46" t="inlineStr">
        <is>
          <t>R_0803</t>
        </is>
      </c>
      <c r="C163" s="46" t="inlineStr">
        <is>
          <t>Baseline – Zero-Shot (minimal instruction)</t>
        </is>
      </c>
      <c r="D163" s="46" t="inlineStr">
        <is>
          <t>SC01</t>
        </is>
      </c>
      <c r="E163" s="46" t="inlineStr">
        <is>
          <t>Business Email Compromise</t>
        </is>
      </c>
      <c r="F163" s="47" t="n">
        <v>10</v>
      </c>
      <c r="G163" s="46" t="inlineStr">
        <is>
          <t>Gemma3:27b via Ollama</t>
        </is>
      </c>
      <c r="H163" s="48" t="n">
        <v>46159</v>
      </c>
      <c r="I163" s="46" t="inlineStr">
        <is>
          <t>13.853</t>
        </is>
      </c>
      <c r="J163" s="46" t="inlineStr">
        <is>
          <t>63.96</t>
        </is>
      </c>
      <c r="K163" s="46" t="inlineStr">
        <is>
          <t>Gemma3:27b</t>
        </is>
      </c>
      <c r="L163" s="46" t="inlineStr">
        <is>
          <t>0.3</t>
        </is>
      </c>
      <c r="M163" s="73" t="inlineStr">
        <is>
          <t>Complete</t>
        </is>
      </c>
    </row>
    <row r="164" ht="13.5" customHeight="1" s="38">
      <c r="A164" s="46" t="inlineStr">
        <is>
          <t>B_S0_SC02_I01</t>
        </is>
      </c>
      <c r="B164" s="46" t="inlineStr">
        <is>
          <t>R_0473</t>
        </is>
      </c>
      <c r="C164" s="46" t="inlineStr">
        <is>
          <t>Baseline – Zero-Shot (minimal instruction)</t>
        </is>
      </c>
      <c r="D164" s="46" t="inlineStr">
        <is>
          <t>SC02</t>
        </is>
      </c>
      <c r="E164" s="46" t="inlineStr">
        <is>
          <t>Business Email Compromise</t>
        </is>
      </c>
      <c r="F164" s="47" t="n">
        <v>1</v>
      </c>
      <c r="G164" s="46" t="inlineStr">
        <is>
          <t>Gemma3:27b via Ollama</t>
        </is>
      </c>
      <c r="H164" s="48" t="n">
        <v>46159</v>
      </c>
      <c r="I164" s="46" t="inlineStr">
        <is>
          <t>12.050</t>
        </is>
      </c>
      <c r="J164" s="46" t="inlineStr">
        <is>
          <t>67.72</t>
        </is>
      </c>
      <c r="K164" s="46" t="inlineStr">
        <is>
          <t>Gemma3:27b</t>
        </is>
      </c>
      <c r="L164" s="46" t="inlineStr">
        <is>
          <t>0.3</t>
        </is>
      </c>
      <c r="M164" s="73" t="inlineStr">
        <is>
          <t>Complete</t>
        </is>
      </c>
    </row>
    <row r="165" ht="13.5" customHeight="1" s="38">
      <c r="A165" s="46" t="inlineStr">
        <is>
          <t>B_S0_SC02_I02</t>
        </is>
      </c>
      <c r="B165" s="46" t="inlineStr">
        <is>
          <t>R_0616</t>
        </is>
      </c>
      <c r="C165" s="46" t="inlineStr">
        <is>
          <t>Baseline – Zero-Shot (minimal instruction)</t>
        </is>
      </c>
      <c r="D165" s="46" t="inlineStr">
        <is>
          <t>SC02</t>
        </is>
      </c>
      <c r="E165" s="46" t="inlineStr">
        <is>
          <t>Business Email Compromise</t>
        </is>
      </c>
      <c r="F165" s="47" t="n">
        <v>2</v>
      </c>
      <c r="G165" s="46" t="inlineStr">
        <is>
          <t>Gemma3:27b via Ollama</t>
        </is>
      </c>
      <c r="H165" s="48" t="n">
        <v>46159</v>
      </c>
      <c r="I165" s="46" t="inlineStr">
        <is>
          <t>11.248</t>
        </is>
      </c>
      <c r="J165" s="46" t="inlineStr">
        <is>
          <t>67.04</t>
        </is>
      </c>
      <c r="K165" s="46" t="inlineStr">
        <is>
          <t>Gemma3:27b</t>
        </is>
      </c>
      <c r="L165" s="46" t="inlineStr">
        <is>
          <t>0.3</t>
        </is>
      </c>
      <c r="M165" s="73" t="inlineStr">
        <is>
          <t>Complete</t>
        </is>
      </c>
    </row>
    <row r="166" ht="13.5" customHeight="1" s="38">
      <c r="A166" s="46" t="inlineStr">
        <is>
          <t>B_S0_SC02_I03</t>
        </is>
      </c>
      <c r="B166" s="46" t="inlineStr">
        <is>
          <t>R_0212</t>
        </is>
      </c>
      <c r="C166" s="46" t="inlineStr">
        <is>
          <t>Baseline – Zero-Shot (minimal instruction)</t>
        </is>
      </c>
      <c r="D166" s="46" t="inlineStr">
        <is>
          <t>SC02</t>
        </is>
      </c>
      <c r="E166" s="46" t="inlineStr">
        <is>
          <t>Business Email Compromise</t>
        </is>
      </c>
      <c r="F166" s="47" t="n">
        <v>3</v>
      </c>
      <c r="G166" s="46" t="inlineStr">
        <is>
          <t>Gemma3:27b via Ollama</t>
        </is>
      </c>
      <c r="H166" s="48" t="n">
        <v>46159</v>
      </c>
      <c r="I166" s="46" t="inlineStr">
        <is>
          <t>11.494</t>
        </is>
      </c>
      <c r="J166" s="46" t="inlineStr">
        <is>
          <t>66.21</t>
        </is>
      </c>
      <c r="K166" s="46" t="inlineStr">
        <is>
          <t>Gemma3:27b</t>
        </is>
      </c>
      <c r="L166" s="46" t="inlineStr">
        <is>
          <t>0.3</t>
        </is>
      </c>
      <c r="M166" s="73" t="inlineStr">
        <is>
          <t>Complete</t>
        </is>
      </c>
    </row>
    <row r="167" ht="13.5" customHeight="1" s="38">
      <c r="A167" s="46" t="inlineStr">
        <is>
          <t>B_S0_SC02_I04</t>
        </is>
      </c>
      <c r="B167" s="46" t="inlineStr">
        <is>
          <t>R_0396</t>
        </is>
      </c>
      <c r="C167" s="46" t="inlineStr">
        <is>
          <t>Baseline – Zero-Shot (minimal instruction)</t>
        </is>
      </c>
      <c r="D167" s="46" t="inlineStr">
        <is>
          <t>SC02</t>
        </is>
      </c>
      <c r="E167" s="46" t="inlineStr">
        <is>
          <t>Business Email Compromise</t>
        </is>
      </c>
      <c r="F167" s="47" t="n">
        <v>4</v>
      </c>
      <c r="G167" s="46" t="inlineStr">
        <is>
          <t>Gemma3:27b via Ollama</t>
        </is>
      </c>
      <c r="H167" s="48" t="n">
        <v>46159</v>
      </c>
      <c r="I167" s="46" t="inlineStr">
        <is>
          <t>11.523</t>
        </is>
      </c>
      <c r="J167" s="46" t="inlineStr">
        <is>
          <t>67.43</t>
        </is>
      </c>
      <c r="K167" s="46" t="inlineStr">
        <is>
          <t>Gemma3:27b</t>
        </is>
      </c>
      <c r="L167" s="46" t="inlineStr">
        <is>
          <t>0.3</t>
        </is>
      </c>
      <c r="M167" s="73" t="inlineStr">
        <is>
          <t>Complete</t>
        </is>
      </c>
    </row>
    <row r="168" ht="13.5" customHeight="1" s="38">
      <c r="A168" s="46" t="inlineStr">
        <is>
          <t>B_S0_SC02_I05</t>
        </is>
      </c>
      <c r="B168" s="46" t="inlineStr">
        <is>
          <t>R_0649</t>
        </is>
      </c>
      <c r="C168" s="46" t="inlineStr">
        <is>
          <t>Baseline – Zero-Shot (minimal instruction)</t>
        </is>
      </c>
      <c r="D168" s="46" t="inlineStr">
        <is>
          <t>SC02</t>
        </is>
      </c>
      <c r="E168" s="46" t="inlineStr">
        <is>
          <t>Business Email Compromise</t>
        </is>
      </c>
      <c r="F168" s="47" t="n">
        <v>5</v>
      </c>
      <c r="G168" s="46" t="inlineStr">
        <is>
          <t>Gemma3:27b via Ollama</t>
        </is>
      </c>
      <c r="H168" s="48" t="n">
        <v>46159</v>
      </c>
      <c r="I168" s="46" t="inlineStr">
        <is>
          <t>12.710</t>
        </is>
      </c>
      <c r="J168" s="46" t="inlineStr">
        <is>
          <t>67.51</t>
        </is>
      </c>
      <c r="K168" s="46" t="inlineStr">
        <is>
          <t>Gemma3:27b</t>
        </is>
      </c>
      <c r="L168" s="46" t="inlineStr">
        <is>
          <t>0.3</t>
        </is>
      </c>
      <c r="M168" s="73" t="inlineStr">
        <is>
          <t>Complete</t>
        </is>
      </c>
    </row>
    <row r="169" ht="13.5" customHeight="1" s="38">
      <c r="A169" s="46" t="inlineStr">
        <is>
          <t>B_S0_SC02_I06</t>
        </is>
      </c>
      <c r="B169" s="46" t="inlineStr">
        <is>
          <t>R_0710</t>
        </is>
      </c>
      <c r="C169" s="46" t="inlineStr">
        <is>
          <t>Baseline – Zero-Shot (minimal instruction)</t>
        </is>
      </c>
      <c r="D169" s="46" t="inlineStr">
        <is>
          <t>SC02</t>
        </is>
      </c>
      <c r="E169" s="46" t="inlineStr">
        <is>
          <t>Business Email Compromise</t>
        </is>
      </c>
      <c r="F169" s="47" t="n">
        <v>6</v>
      </c>
      <c r="G169" s="46" t="inlineStr">
        <is>
          <t>Gemma3:27b via Ollama</t>
        </is>
      </c>
      <c r="H169" s="48" t="n">
        <v>46159</v>
      </c>
      <c r="I169" s="46" t="inlineStr">
        <is>
          <t>12.425</t>
        </is>
      </c>
      <c r="J169" s="46" t="inlineStr">
        <is>
          <t>67.29</t>
        </is>
      </c>
      <c r="K169" s="46" t="inlineStr">
        <is>
          <t>Gemma3:27b</t>
        </is>
      </c>
      <c r="L169" s="46" t="inlineStr">
        <is>
          <t>0.3</t>
        </is>
      </c>
      <c r="M169" s="73" t="inlineStr">
        <is>
          <t>Complete</t>
        </is>
      </c>
    </row>
    <row r="170" ht="13.5" customHeight="1" s="38">
      <c r="A170" s="46" t="inlineStr">
        <is>
          <t>B_S0_SC02_I07</t>
        </is>
      </c>
      <c r="B170" s="46" t="inlineStr">
        <is>
          <t>R_0491</t>
        </is>
      </c>
      <c r="C170" s="46" t="inlineStr">
        <is>
          <t>Baseline – Zero-Shot (minimal instruction)</t>
        </is>
      </c>
      <c r="D170" s="46" t="inlineStr">
        <is>
          <t>SC02</t>
        </is>
      </c>
      <c r="E170" s="46" t="inlineStr">
        <is>
          <t>Business Email Compromise</t>
        </is>
      </c>
      <c r="F170" s="47" t="n">
        <v>7</v>
      </c>
      <c r="G170" s="46" t="inlineStr">
        <is>
          <t>Gemma3:27b via Ollama</t>
        </is>
      </c>
      <c r="H170" s="48" t="n">
        <v>46159</v>
      </c>
      <c r="I170" s="46" t="inlineStr">
        <is>
          <t>10.772</t>
        </is>
      </c>
      <c r="J170" s="46" t="inlineStr">
        <is>
          <t>66.29</t>
        </is>
      </c>
      <c r="K170" s="46" t="inlineStr">
        <is>
          <t>Gemma3:27b</t>
        </is>
      </c>
      <c r="L170" s="46" t="inlineStr">
        <is>
          <t>0.3</t>
        </is>
      </c>
      <c r="M170" s="73" t="inlineStr">
        <is>
          <t>Complete</t>
        </is>
      </c>
    </row>
    <row r="171" ht="13.5" customHeight="1" s="38">
      <c r="A171" s="46" t="inlineStr">
        <is>
          <t>B_S0_SC02_I08</t>
        </is>
      </c>
      <c r="B171" s="46" t="inlineStr">
        <is>
          <t>R_0944</t>
        </is>
      </c>
      <c r="C171" s="46" t="inlineStr">
        <is>
          <t>Baseline – Zero-Shot (minimal instruction)</t>
        </is>
      </c>
      <c r="D171" s="46" t="inlineStr">
        <is>
          <t>SC02</t>
        </is>
      </c>
      <c r="E171" s="46" t="inlineStr">
        <is>
          <t>Business Email Compromise</t>
        </is>
      </c>
      <c r="F171" s="47" t="n">
        <v>8</v>
      </c>
      <c r="G171" s="46" t="inlineStr">
        <is>
          <t>Gemma3:27b via Ollama</t>
        </is>
      </c>
      <c r="H171" s="48" t="n">
        <v>46159</v>
      </c>
      <c r="I171" s="46" t="inlineStr">
        <is>
          <t>12.168</t>
        </is>
      </c>
      <c r="J171" s="46" t="inlineStr">
        <is>
          <t>65.33</t>
        </is>
      </c>
      <c r="K171" s="46" t="inlineStr">
        <is>
          <t>Gemma3:27b</t>
        </is>
      </c>
      <c r="L171" s="46" t="inlineStr">
        <is>
          <t>0.3</t>
        </is>
      </c>
      <c r="M171" s="73" t="inlineStr">
        <is>
          <t>Complete</t>
        </is>
      </c>
    </row>
    <row r="172" ht="13.5" customHeight="1" s="38">
      <c r="A172" s="46" t="inlineStr">
        <is>
          <t>B_S0_SC02_I09</t>
        </is>
      </c>
      <c r="B172" s="46" t="inlineStr">
        <is>
          <t>R_0814</t>
        </is>
      </c>
      <c r="C172" s="46" t="inlineStr">
        <is>
          <t>Baseline – Zero-Shot (minimal instruction)</t>
        </is>
      </c>
      <c r="D172" s="46" t="inlineStr">
        <is>
          <t>SC02</t>
        </is>
      </c>
      <c r="E172" s="46" t="inlineStr">
        <is>
          <t>Business Email Compromise</t>
        </is>
      </c>
      <c r="F172" s="47" t="n">
        <v>9</v>
      </c>
      <c r="G172" s="46" t="inlineStr">
        <is>
          <t>Gemma3:27b via Ollama</t>
        </is>
      </c>
      <c r="H172" s="48" t="n">
        <v>46159</v>
      </c>
      <c r="I172" s="46" t="inlineStr">
        <is>
          <t>12.626</t>
        </is>
      </c>
      <c r="J172" s="46" t="inlineStr">
        <is>
          <t>65.02</t>
        </is>
      </c>
      <c r="K172" s="46" t="inlineStr">
        <is>
          <t>Gemma3:27b</t>
        </is>
      </c>
      <c r="L172" s="46" t="inlineStr">
        <is>
          <t>0.3</t>
        </is>
      </c>
      <c r="M172" s="73" t="inlineStr">
        <is>
          <t>Complete</t>
        </is>
      </c>
    </row>
    <row r="173" ht="13.5" customHeight="1" s="38">
      <c r="A173" s="46" t="inlineStr">
        <is>
          <t>B_S0_SC02_I10</t>
        </is>
      </c>
      <c r="B173" s="46" t="inlineStr">
        <is>
          <t>R_0953</t>
        </is>
      </c>
      <c r="C173" s="46" t="inlineStr">
        <is>
          <t>Baseline – Zero-Shot (minimal instruction)</t>
        </is>
      </c>
      <c r="D173" s="46" t="inlineStr">
        <is>
          <t>SC02</t>
        </is>
      </c>
      <c r="E173" s="46" t="inlineStr">
        <is>
          <t>Business Email Compromise</t>
        </is>
      </c>
      <c r="F173" s="47" t="n">
        <v>10</v>
      </c>
      <c r="G173" s="46" t="inlineStr">
        <is>
          <t>Gemma3:27b via Ollama</t>
        </is>
      </c>
      <c r="H173" s="48" t="n">
        <v>46159</v>
      </c>
      <c r="I173" s="46" t="inlineStr">
        <is>
          <t>12.169</t>
        </is>
      </c>
      <c r="J173" s="46" t="inlineStr">
        <is>
          <t>66.32</t>
        </is>
      </c>
      <c r="K173" s="46" t="inlineStr">
        <is>
          <t>Gemma3:27b</t>
        </is>
      </c>
      <c r="L173" s="46" t="inlineStr">
        <is>
          <t>0.3</t>
        </is>
      </c>
      <c r="M173" s="73" t="inlineStr">
        <is>
          <t>Complete</t>
        </is>
      </c>
    </row>
    <row r="174" ht="13.5" customHeight="1" s="38">
      <c r="A174" s="46" t="inlineStr">
        <is>
          <t>B_S0_SC03_I01</t>
        </is>
      </c>
      <c r="B174" s="46" t="inlineStr">
        <is>
          <t>R_0524</t>
        </is>
      </c>
      <c r="C174" s="46" t="inlineStr">
        <is>
          <t>Baseline – Zero-Shot (minimal instruction)</t>
        </is>
      </c>
      <c r="D174" s="46" t="inlineStr">
        <is>
          <t>SC03</t>
        </is>
      </c>
      <c r="E174" s="46" t="inlineStr">
        <is>
          <t>Business Email Compromise</t>
        </is>
      </c>
      <c r="F174" s="47" t="n">
        <v>1</v>
      </c>
      <c r="G174" s="46" t="inlineStr">
        <is>
          <t>Gemma3:27b via Ollama</t>
        </is>
      </c>
      <c r="H174" s="48" t="n">
        <v>46159</v>
      </c>
      <c r="I174" s="46" t="inlineStr">
        <is>
          <t>12.457</t>
        </is>
      </c>
      <c r="J174" s="46" t="inlineStr">
        <is>
          <t>65.02</t>
        </is>
      </c>
      <c r="K174" s="46" t="inlineStr">
        <is>
          <t>Gemma3:27b</t>
        </is>
      </c>
      <c r="L174" s="46" t="inlineStr">
        <is>
          <t>0.3</t>
        </is>
      </c>
      <c r="M174" s="73" t="inlineStr">
        <is>
          <t>Complete</t>
        </is>
      </c>
    </row>
    <row r="175" ht="13.5" customHeight="1" s="38">
      <c r="A175" s="46" t="inlineStr">
        <is>
          <t>B_S0_SC03_I02</t>
        </is>
      </c>
      <c r="B175" s="46" t="inlineStr">
        <is>
          <t>R_0789</t>
        </is>
      </c>
      <c r="C175" s="46" t="inlineStr">
        <is>
          <t>Baseline – Zero-Shot (minimal instruction)</t>
        </is>
      </c>
      <c r="D175" s="46" t="inlineStr">
        <is>
          <t>SC03</t>
        </is>
      </c>
      <c r="E175" s="46" t="inlineStr">
        <is>
          <t>Business Email Compromise</t>
        </is>
      </c>
      <c r="F175" s="47" t="n">
        <v>2</v>
      </c>
      <c r="G175" s="46" t="inlineStr">
        <is>
          <t>Gemma3:27b via Ollama</t>
        </is>
      </c>
      <c r="H175" s="48" t="n">
        <v>46159</v>
      </c>
      <c r="I175" s="46" t="inlineStr">
        <is>
          <t>13.490</t>
        </is>
      </c>
      <c r="J175" s="46" t="inlineStr">
        <is>
          <t>65.31</t>
        </is>
      </c>
      <c r="K175" s="46" t="inlineStr">
        <is>
          <t>Gemma3:27b</t>
        </is>
      </c>
      <c r="L175" s="46" t="inlineStr">
        <is>
          <t>0.3</t>
        </is>
      </c>
      <c r="M175" s="73" t="inlineStr">
        <is>
          <t>Complete</t>
        </is>
      </c>
    </row>
    <row r="176" ht="13.5" customHeight="1" s="38">
      <c r="A176" s="46" t="inlineStr">
        <is>
          <t>B_S0_SC03_I03</t>
        </is>
      </c>
      <c r="B176" s="46" t="inlineStr">
        <is>
          <t>R_0753</t>
        </is>
      </c>
      <c r="C176" s="46" t="inlineStr">
        <is>
          <t>Baseline – Zero-Shot (minimal instruction)</t>
        </is>
      </c>
      <c r="D176" s="46" t="inlineStr">
        <is>
          <t>SC03</t>
        </is>
      </c>
      <c r="E176" s="46" t="inlineStr">
        <is>
          <t>Business Email Compromise</t>
        </is>
      </c>
      <c r="F176" s="47" t="n">
        <v>3</v>
      </c>
      <c r="G176" s="46" t="inlineStr">
        <is>
          <t>Gemma3:27b via Ollama</t>
        </is>
      </c>
      <c r="H176" s="48" t="n">
        <v>46159</v>
      </c>
      <c r="I176" s="46" t="inlineStr">
        <is>
          <t>13.080</t>
        </is>
      </c>
      <c r="J176" s="46" t="inlineStr">
        <is>
          <t>66.59</t>
        </is>
      </c>
      <c r="K176" s="46" t="inlineStr">
        <is>
          <t>Gemma3:27b</t>
        </is>
      </c>
      <c r="L176" s="46" t="inlineStr">
        <is>
          <t>0.3</t>
        </is>
      </c>
      <c r="M176" s="73" t="inlineStr">
        <is>
          <t>Complete</t>
        </is>
      </c>
    </row>
    <row r="177" ht="13.5" customHeight="1" s="38">
      <c r="A177" s="46" t="inlineStr">
        <is>
          <t>B_S0_SC03_I04</t>
        </is>
      </c>
      <c r="B177" s="46" t="inlineStr">
        <is>
          <t>R_0590</t>
        </is>
      </c>
      <c r="C177" s="46" t="inlineStr">
        <is>
          <t>Baseline – Zero-Shot (minimal instruction)</t>
        </is>
      </c>
      <c r="D177" s="46" t="inlineStr">
        <is>
          <t>SC03</t>
        </is>
      </c>
      <c r="E177" s="46" t="inlineStr">
        <is>
          <t>Business Email Compromise</t>
        </is>
      </c>
      <c r="F177" s="47" t="n">
        <v>4</v>
      </c>
      <c r="G177" s="46" t="inlineStr">
        <is>
          <t>Gemma3:27b via Ollama</t>
        </is>
      </c>
      <c r="H177" s="48" t="n">
        <v>46159</v>
      </c>
      <c r="I177" s="46" t="inlineStr">
        <is>
          <t>13.217</t>
        </is>
      </c>
      <c r="J177" s="46" t="inlineStr">
        <is>
          <t>64.39</t>
        </is>
      </c>
      <c r="K177" s="46" t="inlineStr">
        <is>
          <t>Gemma3:27b</t>
        </is>
      </c>
      <c r="L177" s="46" t="inlineStr">
        <is>
          <t>0.3</t>
        </is>
      </c>
      <c r="M177" s="73" t="inlineStr">
        <is>
          <t>Complete</t>
        </is>
      </c>
    </row>
    <row r="178" ht="13.5" customHeight="1" s="38">
      <c r="A178" s="46" t="inlineStr">
        <is>
          <t>B_S0_SC03_I05</t>
        </is>
      </c>
      <c r="B178" s="46" t="inlineStr">
        <is>
          <t>R_0158</t>
        </is>
      </c>
      <c r="C178" s="46" t="inlineStr">
        <is>
          <t>Baseline – Zero-Shot (minimal instruction)</t>
        </is>
      </c>
      <c r="D178" s="46" t="inlineStr">
        <is>
          <t>SC03</t>
        </is>
      </c>
      <c r="E178" s="46" t="inlineStr">
        <is>
          <t>Business Email Compromise</t>
        </is>
      </c>
      <c r="F178" s="47" t="n">
        <v>5</v>
      </c>
      <c r="G178" s="46" t="inlineStr">
        <is>
          <t>Gemma3:27b via Ollama</t>
        </is>
      </c>
      <c r="H178" s="48" t="n">
        <v>46159</v>
      </c>
      <c r="I178" s="46" t="inlineStr">
        <is>
          <t>13.245</t>
        </is>
      </c>
      <c r="J178" s="46" t="inlineStr">
        <is>
          <t>65.23</t>
        </is>
      </c>
      <c r="K178" s="46" t="inlineStr">
        <is>
          <t>Gemma3:27b</t>
        </is>
      </c>
      <c r="L178" s="46" t="inlineStr">
        <is>
          <t>0.3</t>
        </is>
      </c>
      <c r="M178" s="73" t="inlineStr">
        <is>
          <t>Complete</t>
        </is>
      </c>
    </row>
    <row r="179" ht="13.5" customHeight="1" s="38">
      <c r="A179" s="46" t="inlineStr">
        <is>
          <t>B_S0_SC03_I06</t>
        </is>
      </c>
      <c r="B179" s="46" t="inlineStr">
        <is>
          <t>R_0436</t>
        </is>
      </c>
      <c r="C179" s="46" t="inlineStr">
        <is>
          <t>Baseline – Zero-Shot (minimal instruction)</t>
        </is>
      </c>
      <c r="D179" s="46" t="inlineStr">
        <is>
          <t>SC03</t>
        </is>
      </c>
      <c r="E179" s="46" t="inlineStr">
        <is>
          <t>Business Email Compromise</t>
        </is>
      </c>
      <c r="F179" s="47" t="n">
        <v>6</v>
      </c>
      <c r="G179" s="46" t="inlineStr">
        <is>
          <t>Gemma3:27b via Ollama</t>
        </is>
      </c>
      <c r="H179" s="48" t="n">
        <v>46159</v>
      </c>
      <c r="I179" s="46" t="inlineStr">
        <is>
          <t>12.456</t>
        </is>
      </c>
      <c r="J179" s="46" t="inlineStr">
        <is>
          <t>65.27</t>
        </is>
      </c>
      <c r="K179" s="46" t="inlineStr">
        <is>
          <t>Gemma3:27b</t>
        </is>
      </c>
      <c r="L179" s="46" t="inlineStr">
        <is>
          <t>0.3</t>
        </is>
      </c>
      <c r="M179" s="73" t="inlineStr">
        <is>
          <t>Complete</t>
        </is>
      </c>
    </row>
    <row r="180" ht="13.5" customHeight="1" s="38">
      <c r="A180" s="46" t="inlineStr">
        <is>
          <t>B_S0_SC03_I07</t>
        </is>
      </c>
      <c r="B180" s="46" t="inlineStr">
        <is>
          <t>R_0770</t>
        </is>
      </c>
      <c r="C180" s="46" t="inlineStr">
        <is>
          <t>Baseline – Zero-Shot (minimal instruction)</t>
        </is>
      </c>
      <c r="D180" s="46" t="inlineStr">
        <is>
          <t>SC03</t>
        </is>
      </c>
      <c r="E180" s="46" t="inlineStr">
        <is>
          <t>Business Email Compromise</t>
        </is>
      </c>
      <c r="F180" s="47" t="n">
        <v>7</v>
      </c>
      <c r="G180" s="46" t="inlineStr">
        <is>
          <t>Gemma3:27b via Ollama</t>
        </is>
      </c>
      <c r="H180" s="48" t="n">
        <v>46159</v>
      </c>
      <c r="I180" s="46" t="inlineStr">
        <is>
          <t>12.960</t>
        </is>
      </c>
      <c r="J180" s="46" t="inlineStr">
        <is>
          <t>63.89</t>
        </is>
      </c>
      <c r="K180" s="46" t="inlineStr">
        <is>
          <t>Gemma3:27b</t>
        </is>
      </c>
      <c r="L180" s="46" t="inlineStr">
        <is>
          <t>0.3</t>
        </is>
      </c>
      <c r="M180" s="73" t="inlineStr">
        <is>
          <t>Complete</t>
        </is>
      </c>
    </row>
    <row r="181" ht="13.5" customHeight="1" s="38">
      <c r="A181" s="46" t="inlineStr">
        <is>
          <t>B_S0_SC03_I08</t>
        </is>
      </c>
      <c r="B181" s="46" t="inlineStr">
        <is>
          <t>R_0445</t>
        </is>
      </c>
      <c r="C181" s="46" t="inlineStr">
        <is>
          <t>Baseline – Zero-Shot (minimal instruction)</t>
        </is>
      </c>
      <c r="D181" s="46" t="inlineStr">
        <is>
          <t>SC03</t>
        </is>
      </c>
      <c r="E181" s="46" t="inlineStr">
        <is>
          <t>Business Email Compromise</t>
        </is>
      </c>
      <c r="F181" s="47" t="n">
        <v>8</v>
      </c>
      <c r="G181" s="46" t="inlineStr">
        <is>
          <t>Gemma3:27b via Ollama</t>
        </is>
      </c>
      <c r="H181" s="48" t="n">
        <v>46159</v>
      </c>
      <c r="I181" s="46" t="inlineStr">
        <is>
          <t>13.227</t>
        </is>
      </c>
      <c r="J181" s="46" t="inlineStr">
        <is>
          <t>63.58</t>
        </is>
      </c>
      <c r="K181" s="46" t="inlineStr">
        <is>
          <t>Gemma3:27b</t>
        </is>
      </c>
      <c r="L181" s="46" t="inlineStr">
        <is>
          <t>0.3</t>
        </is>
      </c>
      <c r="M181" s="73" t="inlineStr">
        <is>
          <t>Complete</t>
        </is>
      </c>
    </row>
    <row r="182" ht="13.5" customHeight="1" s="38">
      <c r="A182" s="46" t="inlineStr">
        <is>
          <t>B_S0_SC03_I09</t>
        </is>
      </c>
      <c r="B182" s="46" t="inlineStr">
        <is>
          <t>R_0897</t>
        </is>
      </c>
      <c r="C182" s="46" t="inlineStr">
        <is>
          <t>Baseline – Zero-Shot (minimal instruction)</t>
        </is>
      </c>
      <c r="D182" s="46" t="inlineStr">
        <is>
          <t>SC03</t>
        </is>
      </c>
      <c r="E182" s="46" t="inlineStr">
        <is>
          <t>Business Email Compromise</t>
        </is>
      </c>
      <c r="F182" s="47" t="n">
        <v>9</v>
      </c>
      <c r="G182" s="46" t="inlineStr">
        <is>
          <t>Gemma3:27b via Ollama</t>
        </is>
      </c>
      <c r="H182" s="48" t="n">
        <v>46159</v>
      </c>
      <c r="I182" s="46" t="inlineStr">
        <is>
          <t>13.444</t>
        </is>
      </c>
      <c r="J182" s="46" t="inlineStr">
        <is>
          <t>64.86</t>
        </is>
      </c>
      <c r="K182" s="46" t="inlineStr">
        <is>
          <t>Gemma3:27b</t>
        </is>
      </c>
      <c r="L182" s="46" t="inlineStr">
        <is>
          <t>0.3</t>
        </is>
      </c>
      <c r="M182" s="73" t="inlineStr">
        <is>
          <t>Complete</t>
        </is>
      </c>
    </row>
    <row r="183" ht="13.5" customHeight="1" s="38">
      <c r="A183" s="46" t="inlineStr">
        <is>
          <t>B_S0_SC03_I10</t>
        </is>
      </c>
      <c r="B183" s="46" t="inlineStr">
        <is>
          <t>R_0701</t>
        </is>
      </c>
      <c r="C183" s="46" t="inlineStr">
        <is>
          <t>Baseline – Zero-Shot (minimal instruction)</t>
        </is>
      </c>
      <c r="D183" s="46" t="inlineStr">
        <is>
          <t>SC03</t>
        </is>
      </c>
      <c r="E183" s="46" t="inlineStr">
        <is>
          <t>Business Email Compromise</t>
        </is>
      </c>
      <c r="F183" s="47" t="n">
        <v>10</v>
      </c>
      <c r="G183" s="46" t="inlineStr">
        <is>
          <t>Gemma3:27b via Ollama</t>
        </is>
      </c>
      <c r="H183" s="48" t="n">
        <v>46159</v>
      </c>
      <c r="I183" s="46" t="inlineStr">
        <is>
          <t>12.074</t>
        </is>
      </c>
      <c r="J183" s="46" t="inlineStr">
        <is>
          <t>63.94</t>
        </is>
      </c>
      <c r="K183" s="46" t="inlineStr">
        <is>
          <t>Gemma3:27b</t>
        </is>
      </c>
      <c r="L183" s="46" t="inlineStr">
        <is>
          <t>0.3</t>
        </is>
      </c>
      <c r="M183" s="73" t="inlineStr">
        <is>
          <t>Complete</t>
        </is>
      </c>
    </row>
    <row r="184" ht="13.5" customHeight="1" s="38">
      <c r="A184" s="46" t="inlineStr">
        <is>
          <t>B_S0_SC04_I01</t>
        </is>
      </c>
      <c r="B184" s="46" t="inlineStr">
        <is>
          <t>R_0786</t>
        </is>
      </c>
      <c r="C184" s="46" t="inlineStr">
        <is>
          <t>Baseline – Zero-Shot (minimal instruction)</t>
        </is>
      </c>
      <c r="D184" s="46" t="inlineStr">
        <is>
          <t>SC04</t>
        </is>
      </c>
      <c r="E184" s="46" t="inlineStr">
        <is>
          <t>Business Email Compromise</t>
        </is>
      </c>
      <c r="F184" s="47" t="n">
        <v>1</v>
      </c>
      <c r="G184" s="46" t="inlineStr">
        <is>
          <t>Gemma3:27b via Ollama</t>
        </is>
      </c>
      <c r="H184" s="48" t="n">
        <v>46159</v>
      </c>
      <c r="I184" s="46" t="inlineStr">
        <is>
          <t>13.991</t>
        </is>
      </c>
      <c r="J184" s="46" t="inlineStr">
        <is>
          <t>65.47</t>
        </is>
      </c>
      <c r="K184" s="46" t="inlineStr">
        <is>
          <t>Gemma3:27b</t>
        </is>
      </c>
      <c r="L184" s="46" t="inlineStr">
        <is>
          <t>0.3</t>
        </is>
      </c>
      <c r="M184" s="73" t="inlineStr">
        <is>
          <t>Complete</t>
        </is>
      </c>
    </row>
    <row r="185" ht="13.5" customHeight="1" s="38">
      <c r="A185" s="46" t="inlineStr">
        <is>
          <t>B_S0_SC04_I02</t>
        </is>
      </c>
      <c r="B185" s="46" t="inlineStr">
        <is>
          <t>R_0540</t>
        </is>
      </c>
      <c r="C185" s="46" t="inlineStr">
        <is>
          <t>Baseline – Zero-Shot (minimal instruction)</t>
        </is>
      </c>
      <c r="D185" s="46" t="inlineStr">
        <is>
          <t>SC04</t>
        </is>
      </c>
      <c r="E185" s="46" t="inlineStr">
        <is>
          <t>Business Email Compromise</t>
        </is>
      </c>
      <c r="F185" s="47" t="n">
        <v>2</v>
      </c>
      <c r="G185" s="46" t="inlineStr">
        <is>
          <t>Gemma3:27b via Ollama</t>
        </is>
      </c>
      <c r="H185" s="48" t="n">
        <v>46159</v>
      </c>
      <c r="I185" s="46" t="inlineStr">
        <is>
          <t>12.781</t>
        </is>
      </c>
      <c r="J185" s="46" t="inlineStr">
        <is>
          <t>65.17</t>
        </is>
      </c>
      <c r="K185" s="46" t="inlineStr">
        <is>
          <t>Gemma3:27b</t>
        </is>
      </c>
      <c r="L185" s="46" t="inlineStr">
        <is>
          <t>0.3</t>
        </is>
      </c>
      <c r="M185" s="73" t="inlineStr">
        <is>
          <t>Complete</t>
        </is>
      </c>
    </row>
    <row r="186" ht="13.5" customHeight="1" s="38">
      <c r="A186" s="46" t="inlineStr">
        <is>
          <t>B_S0_SC04_I03</t>
        </is>
      </c>
      <c r="B186" s="46" t="inlineStr">
        <is>
          <t>R_0831</t>
        </is>
      </c>
      <c r="C186" s="46" t="inlineStr">
        <is>
          <t>Baseline – Zero-Shot (minimal instruction)</t>
        </is>
      </c>
      <c r="D186" s="46" t="inlineStr">
        <is>
          <t>SC04</t>
        </is>
      </c>
      <c r="E186" s="46" t="inlineStr">
        <is>
          <t>Business Email Compromise</t>
        </is>
      </c>
      <c r="F186" s="47" t="n">
        <v>3</v>
      </c>
      <c r="G186" s="46" t="inlineStr">
        <is>
          <t>Gemma3:27b via Ollama</t>
        </is>
      </c>
      <c r="H186" s="48" t="n">
        <v>46159</v>
      </c>
      <c r="I186" s="46" t="inlineStr">
        <is>
          <t>13.325</t>
        </is>
      </c>
      <c r="J186" s="46" t="inlineStr">
        <is>
          <t>65.14</t>
        </is>
      </c>
      <c r="K186" s="46" t="inlineStr">
        <is>
          <t>Gemma3:27b</t>
        </is>
      </c>
      <c r="L186" s="46" t="inlineStr">
        <is>
          <t>0.3</t>
        </is>
      </c>
      <c r="M186" s="73" t="inlineStr">
        <is>
          <t>Complete</t>
        </is>
      </c>
    </row>
    <row r="187" ht="13.5" customHeight="1" s="38">
      <c r="A187" s="46" t="inlineStr">
        <is>
          <t>B_S0_SC04_I04</t>
        </is>
      </c>
      <c r="B187" s="46" t="inlineStr">
        <is>
          <t>R_0354</t>
        </is>
      </c>
      <c r="C187" s="46" t="inlineStr">
        <is>
          <t>Baseline – Zero-Shot (minimal instruction)</t>
        </is>
      </c>
      <c r="D187" s="46" t="inlineStr">
        <is>
          <t>SC04</t>
        </is>
      </c>
      <c r="E187" s="46" t="inlineStr">
        <is>
          <t>Business Email Compromise</t>
        </is>
      </c>
      <c r="F187" s="47" t="n">
        <v>4</v>
      </c>
      <c r="G187" s="46" t="inlineStr">
        <is>
          <t>Gemma3:27b via Ollama</t>
        </is>
      </c>
      <c r="H187" s="48" t="n">
        <v>46159</v>
      </c>
      <c r="I187" s="46" t="inlineStr">
        <is>
          <t>14.668</t>
        </is>
      </c>
      <c r="J187" s="46" t="inlineStr">
        <is>
          <t>64.36</t>
        </is>
      </c>
      <c r="K187" s="46" t="inlineStr">
        <is>
          <t>Gemma3:27b</t>
        </is>
      </c>
      <c r="L187" s="46" t="inlineStr">
        <is>
          <t>0.3</t>
        </is>
      </c>
      <c r="M187" s="73" t="inlineStr">
        <is>
          <t>Complete</t>
        </is>
      </c>
    </row>
    <row r="188" ht="13.5" customHeight="1" s="38">
      <c r="A188" s="46" t="inlineStr">
        <is>
          <t>B_S0_SC04_I05</t>
        </is>
      </c>
      <c r="B188" s="46" t="inlineStr">
        <is>
          <t>R_0093</t>
        </is>
      </c>
      <c r="C188" s="46" t="inlineStr">
        <is>
          <t>Baseline – Zero-Shot (minimal instruction)</t>
        </is>
      </c>
      <c r="D188" s="46" t="inlineStr">
        <is>
          <t>SC04</t>
        </is>
      </c>
      <c r="E188" s="46" t="inlineStr">
        <is>
          <t>Business Email Compromise</t>
        </is>
      </c>
      <c r="F188" s="47" t="n">
        <v>5</v>
      </c>
      <c r="G188" s="46" t="inlineStr">
        <is>
          <t>Gemma3:27b via Ollama</t>
        </is>
      </c>
      <c r="H188" s="48" t="n">
        <v>46159</v>
      </c>
      <c r="I188" s="46" t="inlineStr">
        <is>
          <t>12.654</t>
        </is>
      </c>
      <c r="J188" s="46" t="inlineStr">
        <is>
          <t>65.12</t>
        </is>
      </c>
      <c r="K188" s="46" t="inlineStr">
        <is>
          <t>Gemma3:27b</t>
        </is>
      </c>
      <c r="L188" s="46" t="inlineStr">
        <is>
          <t>0.3</t>
        </is>
      </c>
      <c r="M188" s="73" t="inlineStr">
        <is>
          <t>Complete</t>
        </is>
      </c>
    </row>
    <row r="189" ht="13.5" customHeight="1" s="38">
      <c r="A189" s="46" t="inlineStr">
        <is>
          <t>B_S0_SC04_I06</t>
        </is>
      </c>
      <c r="B189" s="46" t="inlineStr">
        <is>
          <t>R_0531</t>
        </is>
      </c>
      <c r="C189" s="46" t="inlineStr">
        <is>
          <t>Baseline – Zero-Shot (minimal instruction)</t>
        </is>
      </c>
      <c r="D189" s="46" t="inlineStr">
        <is>
          <t>SC04</t>
        </is>
      </c>
      <c r="E189" s="46" t="inlineStr">
        <is>
          <t>Business Email Compromise</t>
        </is>
      </c>
      <c r="F189" s="47" t="n">
        <v>6</v>
      </c>
      <c r="G189" s="46" t="inlineStr">
        <is>
          <t>Gemma3:27b via Ollama</t>
        </is>
      </c>
      <c r="H189" s="48" t="n">
        <v>46159</v>
      </c>
      <c r="I189" s="46" t="inlineStr">
        <is>
          <t>13.513</t>
        </is>
      </c>
      <c r="J189" s="46" t="inlineStr">
        <is>
          <t>64.98</t>
        </is>
      </c>
      <c r="K189" s="46" t="inlineStr">
        <is>
          <t>Gemma3:27b</t>
        </is>
      </c>
      <c r="L189" s="46" t="inlineStr">
        <is>
          <t>0.3</t>
        </is>
      </c>
      <c r="M189" s="73" t="inlineStr">
        <is>
          <t>Complete</t>
        </is>
      </c>
    </row>
    <row r="190" ht="13.5" customHeight="1" s="38">
      <c r="A190" s="46" t="inlineStr">
        <is>
          <t>B_S0_SC04_I07</t>
        </is>
      </c>
      <c r="B190" s="46" t="inlineStr">
        <is>
          <t>R_0758</t>
        </is>
      </c>
      <c r="C190" s="46" t="inlineStr">
        <is>
          <t>Baseline – Zero-Shot (minimal instruction)</t>
        </is>
      </c>
      <c r="D190" s="46" t="inlineStr">
        <is>
          <t>SC04</t>
        </is>
      </c>
      <c r="E190" s="46" t="inlineStr">
        <is>
          <t>Business Email Compromise</t>
        </is>
      </c>
      <c r="F190" s="47" t="n">
        <v>7</v>
      </c>
      <c r="G190" s="46" t="inlineStr">
        <is>
          <t>Gemma3:27b via Ollama</t>
        </is>
      </c>
      <c r="H190" s="48" t="n">
        <v>46159</v>
      </c>
      <c r="I190" s="46" t="inlineStr">
        <is>
          <t>13.023</t>
        </is>
      </c>
      <c r="J190" s="46" t="inlineStr">
        <is>
          <t>66.27</t>
        </is>
      </c>
      <c r="K190" s="46" t="inlineStr">
        <is>
          <t>Gemma3:27b</t>
        </is>
      </c>
      <c r="L190" s="46" t="inlineStr">
        <is>
          <t>0.3</t>
        </is>
      </c>
      <c r="M190" s="73" t="inlineStr">
        <is>
          <t>Complete</t>
        </is>
      </c>
    </row>
    <row r="191" ht="13.5" customHeight="1" s="38">
      <c r="A191" s="46" t="inlineStr">
        <is>
          <t>B_S0_SC04_I08</t>
        </is>
      </c>
      <c r="B191" s="46" t="inlineStr">
        <is>
          <t>R_0840</t>
        </is>
      </c>
      <c r="C191" s="46" t="inlineStr">
        <is>
          <t>Baseline – Zero-Shot (minimal instruction)</t>
        </is>
      </c>
      <c r="D191" s="46" t="inlineStr">
        <is>
          <t>SC04</t>
        </is>
      </c>
      <c r="E191" s="46" t="inlineStr">
        <is>
          <t>Business Email Compromise</t>
        </is>
      </c>
      <c r="F191" s="47" t="n">
        <v>8</v>
      </c>
      <c r="G191" s="46" t="inlineStr">
        <is>
          <t>Gemma3:27b via Ollama</t>
        </is>
      </c>
      <c r="H191" s="48" t="n">
        <v>46159</v>
      </c>
      <c r="I191" s="46" t="inlineStr">
        <is>
          <t>12.700</t>
        </is>
      </c>
      <c r="J191" s="46" t="inlineStr">
        <is>
          <t>67.24</t>
        </is>
      </c>
      <c r="K191" s="46" t="inlineStr">
        <is>
          <t>Gemma3:27b</t>
        </is>
      </c>
      <c r="L191" s="46" t="inlineStr">
        <is>
          <t>0.3</t>
        </is>
      </c>
      <c r="M191" s="73" t="inlineStr">
        <is>
          <t>Complete</t>
        </is>
      </c>
    </row>
    <row r="192" ht="13.5" customHeight="1" s="38">
      <c r="A192" s="46" t="inlineStr">
        <is>
          <t>B_S0_SC04_I09</t>
        </is>
      </c>
      <c r="B192" s="46" t="inlineStr">
        <is>
          <t>R_0431</t>
        </is>
      </c>
      <c r="C192" s="46" t="inlineStr">
        <is>
          <t>Baseline – Zero-Shot (minimal instruction)</t>
        </is>
      </c>
      <c r="D192" s="46" t="inlineStr">
        <is>
          <t>SC04</t>
        </is>
      </c>
      <c r="E192" s="46" t="inlineStr">
        <is>
          <t>Business Email Compromise</t>
        </is>
      </c>
      <c r="F192" s="47" t="n">
        <v>9</v>
      </c>
      <c r="G192" s="46" t="inlineStr">
        <is>
          <t>Gemma3:27b via Ollama</t>
        </is>
      </c>
      <c r="H192" s="48" t="n">
        <v>46159</v>
      </c>
      <c r="I192" s="46" t="inlineStr">
        <is>
          <t>13.863</t>
        </is>
      </c>
      <c r="J192" s="46" t="inlineStr">
        <is>
          <t>66.58</t>
        </is>
      </c>
      <c r="K192" s="46" t="inlineStr">
        <is>
          <t>Gemma3:27b</t>
        </is>
      </c>
      <c r="L192" s="46" t="inlineStr">
        <is>
          <t>0.3</t>
        </is>
      </c>
      <c r="M192" s="73" t="inlineStr">
        <is>
          <t>Complete</t>
        </is>
      </c>
    </row>
    <row r="193" ht="13.5" customHeight="1" s="38">
      <c r="A193" s="46" t="inlineStr">
        <is>
          <t>B_S0_SC04_I10</t>
        </is>
      </c>
      <c r="B193" s="46" t="inlineStr">
        <is>
          <t>R_0660</t>
        </is>
      </c>
      <c r="C193" s="46" t="inlineStr">
        <is>
          <t>Baseline – Zero-Shot (minimal instruction)</t>
        </is>
      </c>
      <c r="D193" s="46" t="inlineStr">
        <is>
          <t>SC04</t>
        </is>
      </c>
      <c r="E193" s="46" t="inlineStr">
        <is>
          <t>Business Email Compromise</t>
        </is>
      </c>
      <c r="F193" s="47" t="n">
        <v>10</v>
      </c>
      <c r="G193" s="46" t="inlineStr">
        <is>
          <t>Gemma3:27b via Ollama</t>
        </is>
      </c>
      <c r="H193" s="48" t="n">
        <v>46159</v>
      </c>
      <c r="I193" s="46" t="inlineStr">
        <is>
          <t>12.864</t>
        </is>
      </c>
      <c r="J193" s="46" t="inlineStr">
        <is>
          <t>66.54</t>
        </is>
      </c>
      <c r="K193" s="46" t="inlineStr">
        <is>
          <t>Gemma3:27b</t>
        </is>
      </c>
      <c r="L193" s="46" t="inlineStr">
        <is>
          <t>0.3</t>
        </is>
      </c>
      <c r="M193" s="73" t="inlineStr">
        <is>
          <t>Complete</t>
        </is>
      </c>
    </row>
    <row r="194" ht="13.5" customHeight="1" s="38">
      <c r="A194" s="46" t="inlineStr">
        <is>
          <t>B_S0_SC05_I01</t>
        </is>
      </c>
      <c r="B194" s="46" t="inlineStr">
        <is>
          <t>R_0783</t>
        </is>
      </c>
      <c r="C194" s="46" t="inlineStr">
        <is>
          <t>Baseline – Zero-Shot (minimal instruction)</t>
        </is>
      </c>
      <c r="D194" s="46" t="inlineStr">
        <is>
          <t>SC05</t>
        </is>
      </c>
      <c r="E194" s="46" t="inlineStr">
        <is>
          <t>Business Email Compromise</t>
        </is>
      </c>
      <c r="F194" s="47" t="n">
        <v>1</v>
      </c>
      <c r="G194" s="46" t="inlineStr">
        <is>
          <t>Gemma3:27b via Ollama</t>
        </is>
      </c>
      <c r="H194" s="48" t="n">
        <v>46159</v>
      </c>
      <c r="I194" s="46" t="inlineStr">
        <is>
          <t>14.099</t>
        </is>
      </c>
      <c r="J194" s="46" t="inlineStr">
        <is>
          <t>67.31</t>
        </is>
      </c>
      <c r="K194" s="46" t="inlineStr">
        <is>
          <t>Gemma3:27b</t>
        </is>
      </c>
      <c r="L194" s="46" t="inlineStr">
        <is>
          <t>0.3</t>
        </is>
      </c>
      <c r="M194" s="73" t="inlineStr">
        <is>
          <t>Complete</t>
        </is>
      </c>
    </row>
    <row r="195" ht="13.5" customHeight="1" s="38">
      <c r="A195" s="46" t="inlineStr">
        <is>
          <t>B_S0_SC05_I02</t>
        </is>
      </c>
      <c r="B195" s="46" t="inlineStr">
        <is>
          <t>R_0947</t>
        </is>
      </c>
      <c r="C195" s="46" t="inlineStr">
        <is>
          <t>Baseline – Zero-Shot (minimal instruction)</t>
        </is>
      </c>
      <c r="D195" s="46" t="inlineStr">
        <is>
          <t>SC05</t>
        </is>
      </c>
      <c r="E195" s="46" t="inlineStr">
        <is>
          <t>Business Email Compromise</t>
        </is>
      </c>
      <c r="F195" s="47" t="n">
        <v>2</v>
      </c>
      <c r="G195" s="46" t="inlineStr">
        <is>
          <t>Gemma3:27b via Ollama</t>
        </is>
      </c>
      <c r="H195" s="48" t="n">
        <v>46159</v>
      </c>
      <c r="I195" s="46" t="inlineStr">
        <is>
          <t>13.778</t>
        </is>
      </c>
      <c r="J195" s="46" t="inlineStr">
        <is>
          <t>67.28</t>
        </is>
      </c>
      <c r="K195" s="46" t="inlineStr">
        <is>
          <t>Gemma3:27b</t>
        </is>
      </c>
      <c r="L195" s="46" t="inlineStr">
        <is>
          <t>0.3</t>
        </is>
      </c>
      <c r="M195" s="73" t="inlineStr">
        <is>
          <t>Complete</t>
        </is>
      </c>
    </row>
    <row r="196" ht="13.5" customHeight="1" s="38">
      <c r="A196" s="46" t="inlineStr">
        <is>
          <t>B_S0_SC05_I03</t>
        </is>
      </c>
      <c r="B196" s="46" t="inlineStr">
        <is>
          <t>R_0620</t>
        </is>
      </c>
      <c r="C196" s="46" t="inlineStr">
        <is>
          <t>Baseline – Zero-Shot (minimal instruction)</t>
        </is>
      </c>
      <c r="D196" s="46" t="inlineStr">
        <is>
          <t>SC05</t>
        </is>
      </c>
      <c r="E196" s="46" t="inlineStr">
        <is>
          <t>Business Email Compromise</t>
        </is>
      </c>
      <c r="F196" s="47" t="n">
        <v>3</v>
      </c>
      <c r="G196" s="46" t="inlineStr">
        <is>
          <t>Gemma3:27b via Ollama</t>
        </is>
      </c>
      <c r="H196" s="48" t="n">
        <v>46159</v>
      </c>
      <c r="I196" s="46" t="inlineStr">
        <is>
          <t>14.402</t>
        </is>
      </c>
      <c r="J196" s="46" t="inlineStr">
        <is>
          <t>67.21</t>
        </is>
      </c>
      <c r="K196" s="46" t="inlineStr">
        <is>
          <t>Gemma3:27b</t>
        </is>
      </c>
      <c r="L196" s="46" t="inlineStr">
        <is>
          <t>0.3</t>
        </is>
      </c>
      <c r="M196" s="73" t="inlineStr">
        <is>
          <t>Complete</t>
        </is>
      </c>
    </row>
    <row r="197" ht="13.5" customHeight="1" s="38">
      <c r="A197" s="46" t="inlineStr">
        <is>
          <t>B_S0_SC05_I04</t>
        </is>
      </c>
      <c r="B197" s="46" t="inlineStr">
        <is>
          <t>R_0018</t>
        </is>
      </c>
      <c r="C197" s="46" t="inlineStr">
        <is>
          <t>Baseline – Zero-Shot (minimal instruction)</t>
        </is>
      </c>
      <c r="D197" s="46" t="inlineStr">
        <is>
          <t>SC05</t>
        </is>
      </c>
      <c r="E197" s="46" t="inlineStr">
        <is>
          <t>Business Email Compromise</t>
        </is>
      </c>
      <c r="F197" s="47" t="n">
        <v>4</v>
      </c>
      <c r="G197" s="46" t="inlineStr">
        <is>
          <t>Gemma3:27b via Ollama</t>
        </is>
      </c>
      <c r="H197" s="48" t="n">
        <v>46159</v>
      </c>
      <c r="I197" s="46" t="inlineStr">
        <is>
          <t>14.022</t>
        </is>
      </c>
      <c r="J197" s="46" t="inlineStr">
        <is>
          <t>66.25</t>
        </is>
      </c>
      <c r="K197" s="46" t="inlineStr">
        <is>
          <t>Gemma3:27b</t>
        </is>
      </c>
      <c r="L197" s="46" t="inlineStr">
        <is>
          <t>0.3</t>
        </is>
      </c>
      <c r="M197" s="73" t="inlineStr">
        <is>
          <t>Complete</t>
        </is>
      </c>
    </row>
    <row r="198" ht="13.5" customHeight="1" s="38">
      <c r="A198" s="46" t="inlineStr">
        <is>
          <t>B_S0_SC05_I05</t>
        </is>
      </c>
      <c r="B198" s="46" t="inlineStr">
        <is>
          <t>R_0816</t>
        </is>
      </c>
      <c r="C198" s="46" t="inlineStr">
        <is>
          <t>Baseline – Zero-Shot (minimal instruction)</t>
        </is>
      </c>
      <c r="D198" s="46" t="inlineStr">
        <is>
          <t>SC05</t>
        </is>
      </c>
      <c r="E198" s="46" t="inlineStr">
        <is>
          <t>Business Email Compromise</t>
        </is>
      </c>
      <c r="F198" s="47" t="n">
        <v>5</v>
      </c>
      <c r="G198" s="46" t="inlineStr">
        <is>
          <t>Gemma3:27b via Ollama</t>
        </is>
      </c>
      <c r="H198" s="48" t="n">
        <v>46159</v>
      </c>
      <c r="I198" s="46" t="inlineStr">
        <is>
          <t>13.750</t>
        </is>
      </c>
      <c r="J198" s="46" t="inlineStr">
        <is>
          <t>67.13</t>
        </is>
      </c>
      <c r="K198" s="46" t="inlineStr">
        <is>
          <t>Gemma3:27b</t>
        </is>
      </c>
      <c r="L198" s="46" t="inlineStr">
        <is>
          <t>0.3</t>
        </is>
      </c>
      <c r="M198" s="73" t="inlineStr">
        <is>
          <t>Complete</t>
        </is>
      </c>
    </row>
    <row r="199" ht="13.5" customHeight="1" s="38">
      <c r="A199" s="46" t="inlineStr">
        <is>
          <t>B_S0_SC05_I06</t>
        </is>
      </c>
      <c r="B199" s="46" t="inlineStr">
        <is>
          <t>R_0317</t>
        </is>
      </c>
      <c r="C199" s="46" t="inlineStr">
        <is>
          <t>Baseline – Zero-Shot (minimal instruction)</t>
        </is>
      </c>
      <c r="D199" s="46" t="inlineStr">
        <is>
          <t>SC05</t>
        </is>
      </c>
      <c r="E199" s="46" t="inlineStr">
        <is>
          <t>Business Email Compromise</t>
        </is>
      </c>
      <c r="F199" s="47" t="n">
        <v>6</v>
      </c>
      <c r="G199" s="46" t="inlineStr">
        <is>
          <t>Gemma3:27b via Ollama</t>
        </is>
      </c>
      <c r="H199" s="48" t="n">
        <v>46159</v>
      </c>
      <c r="I199" s="46" t="inlineStr">
        <is>
          <t>14.598</t>
        </is>
      </c>
      <c r="J199" s="46" t="inlineStr">
        <is>
          <t>67.20</t>
        </is>
      </c>
      <c r="K199" s="46" t="inlineStr">
        <is>
          <t>Gemma3:27b</t>
        </is>
      </c>
      <c r="L199" s="46" t="inlineStr">
        <is>
          <t>0.3</t>
        </is>
      </c>
      <c r="M199" s="73" t="inlineStr">
        <is>
          <t>Complete</t>
        </is>
      </c>
    </row>
    <row r="200" ht="13.5" customHeight="1" s="38">
      <c r="A200" s="46" t="inlineStr">
        <is>
          <t>B_S0_SC05_I07</t>
        </is>
      </c>
      <c r="B200" s="46" t="inlineStr">
        <is>
          <t>R_0578</t>
        </is>
      </c>
      <c r="C200" s="46" t="inlineStr">
        <is>
          <t>Baseline – Zero-Shot (minimal instruction)</t>
        </is>
      </c>
      <c r="D200" s="46" t="inlineStr">
        <is>
          <t>SC05</t>
        </is>
      </c>
      <c r="E200" s="46" t="inlineStr">
        <is>
          <t>Business Email Compromise</t>
        </is>
      </c>
      <c r="F200" s="47" t="n">
        <v>7</v>
      </c>
      <c r="G200" s="46" t="inlineStr">
        <is>
          <t>Gemma3:27b via Ollama</t>
        </is>
      </c>
      <c r="H200" s="48" t="n">
        <v>46159</v>
      </c>
      <c r="I200" s="46" t="inlineStr">
        <is>
          <t>14.742</t>
        </is>
      </c>
      <c r="J200" s="46" t="inlineStr">
        <is>
          <t>65.05</t>
        </is>
      </c>
      <c r="K200" s="46" t="inlineStr">
        <is>
          <t>Gemma3:27b</t>
        </is>
      </c>
      <c r="L200" s="46" t="inlineStr">
        <is>
          <t>0.3</t>
        </is>
      </c>
      <c r="M200" s="73" t="inlineStr">
        <is>
          <t>Complete</t>
        </is>
      </c>
    </row>
    <row r="201" ht="13.5" customHeight="1" s="38">
      <c r="A201" s="46" t="inlineStr">
        <is>
          <t>B_S0_SC05_I08</t>
        </is>
      </c>
      <c r="B201" s="46" t="inlineStr">
        <is>
          <t>R_0137</t>
        </is>
      </c>
      <c r="C201" s="46" t="inlineStr">
        <is>
          <t>Baseline – Zero-Shot (minimal instruction)</t>
        </is>
      </c>
      <c r="D201" s="46" t="inlineStr">
        <is>
          <t>SC05</t>
        </is>
      </c>
      <c r="E201" s="46" t="inlineStr">
        <is>
          <t>Business Email Compromise</t>
        </is>
      </c>
      <c r="F201" s="47" t="n">
        <v>8</v>
      </c>
      <c r="G201" s="46" t="inlineStr">
        <is>
          <t>Gemma3:27b via Ollama</t>
        </is>
      </c>
      <c r="H201" s="48" t="n">
        <v>46159</v>
      </c>
      <c r="I201" s="46" t="inlineStr">
        <is>
          <t>14.676</t>
        </is>
      </c>
      <c r="J201" s="46" t="inlineStr">
        <is>
          <t>67.18</t>
        </is>
      </c>
      <c r="K201" s="46" t="inlineStr">
        <is>
          <t>Gemma3:27b</t>
        </is>
      </c>
      <c r="L201" s="46" t="inlineStr">
        <is>
          <t>0.3</t>
        </is>
      </c>
      <c r="M201" s="73" t="inlineStr">
        <is>
          <t>Complete</t>
        </is>
      </c>
    </row>
    <row r="202" ht="13.5" customHeight="1" s="38">
      <c r="A202" s="46" t="inlineStr">
        <is>
          <t>B_S0_SC05_I09</t>
        </is>
      </c>
      <c r="B202" s="46" t="inlineStr">
        <is>
          <t>R_0089</t>
        </is>
      </c>
      <c r="C202" s="46" t="inlineStr">
        <is>
          <t>Baseline – Zero-Shot (minimal instruction)</t>
        </is>
      </c>
      <c r="D202" s="46" t="inlineStr">
        <is>
          <t>SC05</t>
        </is>
      </c>
      <c r="E202" s="46" t="inlineStr">
        <is>
          <t>Business Email Compromise</t>
        </is>
      </c>
      <c r="F202" s="47" t="n">
        <v>9</v>
      </c>
      <c r="G202" s="46" t="inlineStr">
        <is>
          <t>Gemma3:27b via Ollama</t>
        </is>
      </c>
      <c r="H202" s="48" t="n">
        <v>46159</v>
      </c>
      <c r="I202" s="46" t="inlineStr">
        <is>
          <t>14.475</t>
        </is>
      </c>
      <c r="J202" s="46" t="inlineStr">
        <is>
          <t>66.19</t>
        </is>
      </c>
      <c r="K202" s="46" t="inlineStr">
        <is>
          <t>Gemma3:27b</t>
        </is>
      </c>
      <c r="L202" s="46" t="inlineStr">
        <is>
          <t>0.3</t>
        </is>
      </c>
      <c r="M202" s="73" t="inlineStr">
        <is>
          <t>Complete</t>
        </is>
      </c>
    </row>
    <row r="203" ht="13.5" customHeight="1" s="38">
      <c r="A203" s="46" t="inlineStr">
        <is>
          <t>B_S0_SC05_I10</t>
        </is>
      </c>
      <c r="B203" s="46" t="inlineStr">
        <is>
          <t>R_0618</t>
        </is>
      </c>
      <c r="C203" s="46" t="inlineStr">
        <is>
          <t>Baseline – Zero-Shot (minimal instruction)</t>
        </is>
      </c>
      <c r="D203" s="46" t="inlineStr">
        <is>
          <t>SC05</t>
        </is>
      </c>
      <c r="E203" s="46" t="inlineStr">
        <is>
          <t>Business Email Compromise</t>
        </is>
      </c>
      <c r="F203" s="47" t="n">
        <v>10</v>
      </c>
      <c r="G203" s="46" t="inlineStr">
        <is>
          <t>Gemma3:27b via Ollama</t>
        </is>
      </c>
      <c r="H203" s="48" t="n">
        <v>46159</v>
      </c>
      <c r="I203" s="46" t="inlineStr">
        <is>
          <t>13.803</t>
        </is>
      </c>
      <c r="J203" s="46" t="inlineStr">
        <is>
          <t>67.16</t>
        </is>
      </c>
      <c r="K203" s="46" t="inlineStr">
        <is>
          <t>Gemma3:27b</t>
        </is>
      </c>
      <c r="L203" s="46" t="inlineStr">
        <is>
          <t>0.3</t>
        </is>
      </c>
      <c r="M203" s="73" t="inlineStr">
        <is>
          <t>Complete</t>
        </is>
      </c>
    </row>
    <row r="204" ht="13.5" customHeight="1" s="38">
      <c r="A204" s="46" t="inlineStr">
        <is>
          <t>R_S1_SC01_I01</t>
        </is>
      </c>
      <c r="B204" s="46" t="inlineStr">
        <is>
          <t>R_0201</t>
        </is>
      </c>
      <c r="C204" s="46" t="inlineStr">
        <is>
          <t>Strategy 1 – Zero-Shot + Structured Template</t>
        </is>
      </c>
      <c r="D204" s="46" t="inlineStr">
        <is>
          <t>SC01</t>
        </is>
      </c>
      <c r="E204" s="46" t="inlineStr">
        <is>
          <t>Ransomware</t>
        </is>
      </c>
      <c r="F204" s="47" t="n">
        <v>1</v>
      </c>
      <c r="G204" s="46" t="inlineStr">
        <is>
          <t>Gemma3:27b via Ollama</t>
        </is>
      </c>
      <c r="H204" s="48" t="n">
        <v>46159</v>
      </c>
      <c r="I204" s="46" t="inlineStr">
        <is>
          <t>9.703</t>
        </is>
      </c>
      <c r="J204" s="46" t="inlineStr">
        <is>
          <t>67.61</t>
        </is>
      </c>
      <c r="K204" s="46" t="inlineStr">
        <is>
          <t>Gemma3:27b</t>
        </is>
      </c>
      <c r="L204" s="46" t="inlineStr">
        <is>
          <t>0.3</t>
        </is>
      </c>
      <c r="M204" s="73" t="inlineStr">
        <is>
          <t>Complete</t>
        </is>
      </c>
    </row>
    <row r="205" ht="13.5" customHeight="1" s="38">
      <c r="A205" s="46" t="inlineStr">
        <is>
          <t>R_S1_SC01_I02</t>
        </is>
      </c>
      <c r="B205" s="46" t="inlineStr">
        <is>
          <t>R_0415</t>
        </is>
      </c>
      <c r="C205" s="46" t="inlineStr">
        <is>
          <t>Strategy 1 – Zero-Shot + Structured Template</t>
        </is>
      </c>
      <c r="D205" s="46" t="inlineStr">
        <is>
          <t>SC01</t>
        </is>
      </c>
      <c r="E205" s="46" t="inlineStr">
        <is>
          <t>Ransomware</t>
        </is>
      </c>
      <c r="F205" s="47" t="n">
        <v>2</v>
      </c>
      <c r="G205" s="46" t="inlineStr">
        <is>
          <t>Gemma3:27b via Ollama</t>
        </is>
      </c>
      <c r="H205" s="48" t="n">
        <v>46159</v>
      </c>
      <c r="I205" s="46" t="inlineStr">
        <is>
          <t>9.672</t>
        </is>
      </c>
      <c r="J205" s="46" t="inlineStr">
        <is>
          <t>67.51</t>
        </is>
      </c>
      <c r="K205" s="46" t="inlineStr">
        <is>
          <t>Gemma3:27b</t>
        </is>
      </c>
      <c r="L205" s="46" t="inlineStr">
        <is>
          <t>0.3</t>
        </is>
      </c>
      <c r="M205" s="73" t="inlineStr">
        <is>
          <t>Complete</t>
        </is>
      </c>
    </row>
    <row r="206" ht="13.5" customHeight="1" s="38">
      <c r="A206" s="46" t="inlineStr">
        <is>
          <t>R_S1_SC01_I03</t>
        </is>
      </c>
      <c r="B206" s="46" t="inlineStr">
        <is>
          <t>R_0997</t>
        </is>
      </c>
      <c r="C206" s="46" t="inlineStr">
        <is>
          <t>Strategy 1 – Zero-Shot + Structured Template</t>
        </is>
      </c>
      <c r="D206" s="46" t="inlineStr">
        <is>
          <t>SC01</t>
        </is>
      </c>
      <c r="E206" s="46" t="inlineStr">
        <is>
          <t>Ransomware</t>
        </is>
      </c>
      <c r="F206" s="47" t="n">
        <v>3</v>
      </c>
      <c r="G206" s="46" t="inlineStr">
        <is>
          <t>Gemma3:27b via Ollama</t>
        </is>
      </c>
      <c r="H206" s="48" t="n">
        <v>46159</v>
      </c>
      <c r="I206" s="46" t="inlineStr">
        <is>
          <t>10.337</t>
        </is>
      </c>
      <c r="J206" s="46" t="inlineStr">
        <is>
          <t>67.17</t>
        </is>
      </c>
      <c r="K206" s="46" t="inlineStr">
        <is>
          <t>Gemma3:27b</t>
        </is>
      </c>
      <c r="L206" s="46" t="inlineStr">
        <is>
          <t>0.3</t>
        </is>
      </c>
      <c r="M206" s="73" t="inlineStr">
        <is>
          <t>Complete</t>
        </is>
      </c>
    </row>
    <row r="207" ht="13.5" customHeight="1" s="38">
      <c r="A207" s="46" t="inlineStr">
        <is>
          <t>R_S1_SC01_I04</t>
        </is>
      </c>
      <c r="B207" s="46" t="inlineStr">
        <is>
          <t>R_0759</t>
        </is>
      </c>
      <c r="C207" s="46" t="inlineStr">
        <is>
          <t>Strategy 1 – Zero-Shot + Structured Template</t>
        </is>
      </c>
      <c r="D207" s="46" t="inlineStr">
        <is>
          <t>SC01</t>
        </is>
      </c>
      <c r="E207" s="46" t="inlineStr">
        <is>
          <t>Ransomware</t>
        </is>
      </c>
      <c r="F207" s="47" t="n">
        <v>4</v>
      </c>
      <c r="G207" s="46" t="inlineStr">
        <is>
          <t>Gemma3:27b via Ollama</t>
        </is>
      </c>
      <c r="H207" s="48" t="n">
        <v>46159</v>
      </c>
      <c r="I207" s="46" t="inlineStr">
        <is>
          <t>9.554</t>
        </is>
      </c>
      <c r="J207" s="46" t="inlineStr">
        <is>
          <t>66.99</t>
        </is>
      </c>
      <c r="K207" s="46" t="inlineStr">
        <is>
          <t>Gemma3:27b</t>
        </is>
      </c>
      <c r="L207" s="46" t="inlineStr">
        <is>
          <t>0.3</t>
        </is>
      </c>
      <c r="M207" s="73" t="inlineStr">
        <is>
          <t>Complete</t>
        </is>
      </c>
    </row>
    <row r="208" ht="13.5" customHeight="1" s="38">
      <c r="A208" s="46" t="inlineStr">
        <is>
          <t>R_S1_SC01_I05</t>
        </is>
      </c>
      <c r="B208" s="46" t="inlineStr">
        <is>
          <t>R_0942</t>
        </is>
      </c>
      <c r="C208" s="46" t="inlineStr">
        <is>
          <t>Strategy 1 – Zero-Shot + Structured Template</t>
        </is>
      </c>
      <c r="D208" s="46" t="inlineStr">
        <is>
          <t>SC01</t>
        </is>
      </c>
      <c r="E208" s="46" t="inlineStr">
        <is>
          <t>Ransomware</t>
        </is>
      </c>
      <c r="F208" s="47" t="n">
        <v>5</v>
      </c>
      <c r="G208" s="46" t="inlineStr">
        <is>
          <t>Gemma3:27b via Ollama</t>
        </is>
      </c>
      <c r="H208" s="48" t="n">
        <v>46159</v>
      </c>
      <c r="I208" s="46" t="inlineStr">
        <is>
          <t>9.712</t>
        </is>
      </c>
      <c r="J208" s="46" t="inlineStr">
        <is>
          <t>67.54</t>
        </is>
      </c>
      <c r="K208" s="46" t="inlineStr">
        <is>
          <t>Gemma3:27b</t>
        </is>
      </c>
      <c r="L208" s="46" t="inlineStr">
        <is>
          <t>0.3</t>
        </is>
      </c>
      <c r="M208" s="73" t="inlineStr">
        <is>
          <t>Complete</t>
        </is>
      </c>
    </row>
    <row r="209" ht="13.5" customHeight="1" s="38">
      <c r="A209" s="46" t="inlineStr">
        <is>
          <t>R_S1_SC01_I06</t>
        </is>
      </c>
      <c r="B209" s="46" t="inlineStr">
        <is>
          <t>R_0404</t>
        </is>
      </c>
      <c r="C209" s="46" t="inlineStr">
        <is>
          <t>Strategy 1 – Zero-Shot + Structured Template</t>
        </is>
      </c>
      <c r="D209" s="46" t="inlineStr">
        <is>
          <t>SC01</t>
        </is>
      </c>
      <c r="E209" s="46" t="inlineStr">
        <is>
          <t>Ransomware</t>
        </is>
      </c>
      <c r="F209" s="47" t="n">
        <v>6</v>
      </c>
      <c r="G209" s="46" t="inlineStr">
        <is>
          <t>Gemma3:27b via Ollama</t>
        </is>
      </c>
      <c r="H209" s="48" t="n">
        <v>46159</v>
      </c>
      <c r="I209" s="46" t="inlineStr">
        <is>
          <t>9.793</t>
        </is>
      </c>
      <c r="J209" s="46" t="inlineStr">
        <is>
          <t>67.50</t>
        </is>
      </c>
      <c r="K209" s="46" t="inlineStr">
        <is>
          <t>Gemma3:27b</t>
        </is>
      </c>
      <c r="L209" s="46" t="inlineStr">
        <is>
          <t>0.3</t>
        </is>
      </c>
      <c r="M209" s="73" t="inlineStr">
        <is>
          <t>Complete</t>
        </is>
      </c>
    </row>
    <row r="210" ht="13.5" customHeight="1" s="38">
      <c r="A210" s="46" t="inlineStr">
        <is>
          <t>R_S1_SC01_I07</t>
        </is>
      </c>
      <c r="B210" s="46" t="inlineStr">
        <is>
          <t>R_0484</t>
        </is>
      </c>
      <c r="C210" s="46" t="inlineStr">
        <is>
          <t>Strategy 1 – Zero-Shot + Structured Template</t>
        </is>
      </c>
      <c r="D210" s="46" t="inlineStr">
        <is>
          <t>SC01</t>
        </is>
      </c>
      <c r="E210" s="46" t="inlineStr">
        <is>
          <t>Ransomware</t>
        </is>
      </c>
      <c r="F210" s="47" t="n">
        <v>7</v>
      </c>
      <c r="G210" s="46" t="inlineStr">
        <is>
          <t>Gemma3:27b via Ollama</t>
        </is>
      </c>
      <c r="H210" s="48" t="n">
        <v>46159</v>
      </c>
      <c r="I210" s="46" t="inlineStr">
        <is>
          <t>9.018</t>
        </is>
      </c>
      <c r="J210" s="46" t="inlineStr">
        <is>
          <t>67.53</t>
        </is>
      </c>
      <c r="K210" s="46" t="inlineStr">
        <is>
          <t>Gemma3:27b</t>
        </is>
      </c>
      <c r="L210" s="46" t="inlineStr">
        <is>
          <t>0.3</t>
        </is>
      </c>
      <c r="M210" s="73" t="inlineStr">
        <is>
          <t>Complete</t>
        </is>
      </c>
    </row>
    <row r="211" ht="13.5" customHeight="1" s="38">
      <c r="A211" s="46" t="inlineStr">
        <is>
          <t>R_S1_SC01_I08</t>
        </is>
      </c>
      <c r="B211" s="46" t="inlineStr">
        <is>
          <t>R_0179</t>
        </is>
      </c>
      <c r="C211" s="46" t="inlineStr">
        <is>
          <t>Strategy 1 – Zero-Shot + Structured Template</t>
        </is>
      </c>
      <c r="D211" s="46" t="inlineStr">
        <is>
          <t>SC01</t>
        </is>
      </c>
      <c r="E211" s="46" t="inlineStr">
        <is>
          <t>Ransomware</t>
        </is>
      </c>
      <c r="F211" s="47" t="n">
        <v>8</v>
      </c>
      <c r="G211" s="46" t="inlineStr">
        <is>
          <t>Gemma3:27b via Ollama</t>
        </is>
      </c>
      <c r="H211" s="48" t="n">
        <v>46159</v>
      </c>
      <c r="I211" s="46" t="inlineStr">
        <is>
          <t>9.729</t>
        </is>
      </c>
      <c r="J211" s="46" t="inlineStr">
        <is>
          <t>67.53</t>
        </is>
      </c>
      <c r="K211" s="46" t="inlineStr">
        <is>
          <t>Gemma3:27b</t>
        </is>
      </c>
      <c r="L211" s="46" t="inlineStr">
        <is>
          <t>0.3</t>
        </is>
      </c>
      <c r="M211" s="73" t="inlineStr">
        <is>
          <t>Complete</t>
        </is>
      </c>
    </row>
    <row r="212" ht="13.5" customHeight="1" s="38">
      <c r="A212" s="46" t="inlineStr">
        <is>
          <t>R_S1_SC01_I09</t>
        </is>
      </c>
      <c r="B212" s="46" t="inlineStr">
        <is>
          <t>R_0565</t>
        </is>
      </c>
      <c r="C212" s="46" t="inlineStr">
        <is>
          <t>Strategy 1 – Zero-Shot + Structured Template</t>
        </is>
      </c>
      <c r="D212" s="46" t="inlineStr">
        <is>
          <t>SC01</t>
        </is>
      </c>
      <c r="E212" s="46" t="inlineStr">
        <is>
          <t>Ransomware</t>
        </is>
      </c>
      <c r="F212" s="47" t="n">
        <v>9</v>
      </c>
      <c r="G212" s="46" t="inlineStr">
        <is>
          <t>Gemma3:27b via Ollama</t>
        </is>
      </c>
      <c r="H212" s="48" t="n">
        <v>46159</v>
      </c>
      <c r="I212" s="46" t="inlineStr">
        <is>
          <t>9.800</t>
        </is>
      </c>
      <c r="J212" s="46" t="inlineStr">
        <is>
          <t>67.55</t>
        </is>
      </c>
      <c r="K212" s="46" t="inlineStr">
        <is>
          <t>Gemma3:27b</t>
        </is>
      </c>
      <c r="L212" s="46" t="inlineStr">
        <is>
          <t>0.3</t>
        </is>
      </c>
      <c r="M212" s="73" t="inlineStr">
        <is>
          <t>Complete</t>
        </is>
      </c>
    </row>
    <row r="213" ht="13.5" customHeight="1" s="38">
      <c r="A213" s="46" t="inlineStr">
        <is>
          <t>R_S1_SC01_I10</t>
        </is>
      </c>
      <c r="B213" s="46" t="inlineStr">
        <is>
          <t>R_0362</t>
        </is>
      </c>
      <c r="C213" s="46" t="inlineStr">
        <is>
          <t>Strategy 1 – Zero-Shot + Structured Template</t>
        </is>
      </c>
      <c r="D213" s="46" t="inlineStr">
        <is>
          <t>SC01</t>
        </is>
      </c>
      <c r="E213" s="46" t="inlineStr">
        <is>
          <t>Ransomware</t>
        </is>
      </c>
      <c r="F213" s="47" t="n">
        <v>10</v>
      </c>
      <c r="G213" s="46" t="inlineStr">
        <is>
          <t>Gemma3:27b via Ollama</t>
        </is>
      </c>
      <c r="H213" s="48" t="n">
        <v>46159</v>
      </c>
      <c r="I213" s="46" t="inlineStr">
        <is>
          <t>10.010</t>
        </is>
      </c>
      <c r="J213" s="46" t="inlineStr">
        <is>
          <t>66.13</t>
        </is>
      </c>
      <c r="K213" s="46" t="inlineStr">
        <is>
          <t>Gemma3:27b</t>
        </is>
      </c>
      <c r="L213" s="46" t="inlineStr">
        <is>
          <t>0.3</t>
        </is>
      </c>
      <c r="M213" s="73" t="inlineStr">
        <is>
          <t>Complete</t>
        </is>
      </c>
    </row>
    <row r="214" ht="13.5" customHeight="1" s="38">
      <c r="A214" s="46" t="inlineStr">
        <is>
          <t>R_S1_SC02_I01</t>
        </is>
      </c>
      <c r="B214" s="46" t="inlineStr">
        <is>
          <t>R_0459</t>
        </is>
      </c>
      <c r="C214" s="46" t="inlineStr">
        <is>
          <t>Strategy 1 – Zero-Shot + Structured Template</t>
        </is>
      </c>
      <c r="D214" s="46" t="inlineStr">
        <is>
          <t>SC02</t>
        </is>
      </c>
      <c r="E214" s="46" t="inlineStr">
        <is>
          <t>Ransomware</t>
        </is>
      </c>
      <c r="F214" s="47" t="n">
        <v>1</v>
      </c>
      <c r="G214" s="46" t="inlineStr">
        <is>
          <t>Gemma3:27b via Ollama</t>
        </is>
      </c>
      <c r="H214" s="48" t="n">
        <v>46159</v>
      </c>
      <c r="I214" s="46" t="inlineStr">
        <is>
          <t>9.898</t>
        </is>
      </c>
      <c r="J214" s="46" t="inlineStr">
        <is>
          <t>68.59</t>
        </is>
      </c>
      <c r="K214" s="46" t="inlineStr">
        <is>
          <t>Gemma3:27b</t>
        </is>
      </c>
      <c r="L214" s="46" t="inlineStr">
        <is>
          <t>0.3</t>
        </is>
      </c>
      <c r="M214" s="73" t="inlineStr">
        <is>
          <t>Complete</t>
        </is>
      </c>
    </row>
    <row r="215" ht="13.5" customHeight="1" s="38">
      <c r="A215" s="46" t="inlineStr">
        <is>
          <t>R_S1_SC02_I02</t>
        </is>
      </c>
      <c r="B215" s="46" t="inlineStr">
        <is>
          <t>R_0492</t>
        </is>
      </c>
      <c r="C215" s="46" t="inlineStr">
        <is>
          <t>Strategy 1 – Zero-Shot + Structured Template</t>
        </is>
      </c>
      <c r="D215" s="46" t="inlineStr">
        <is>
          <t>SC02</t>
        </is>
      </c>
      <c r="E215" s="46" t="inlineStr">
        <is>
          <t>Ransomware</t>
        </is>
      </c>
      <c r="F215" s="47" t="n">
        <v>2</v>
      </c>
      <c r="G215" s="46" t="inlineStr">
        <is>
          <t>Gemma3:27b via Ollama</t>
        </is>
      </c>
      <c r="H215" s="48" t="n">
        <v>46159</v>
      </c>
      <c r="I215" s="46" t="inlineStr">
        <is>
          <t>9.733</t>
        </is>
      </c>
      <c r="J215" s="46" t="inlineStr">
        <is>
          <t>67.61</t>
        </is>
      </c>
      <c r="K215" s="46" t="inlineStr">
        <is>
          <t>Gemma3:27b</t>
        </is>
      </c>
      <c r="L215" s="46" t="inlineStr">
        <is>
          <t>0.3</t>
        </is>
      </c>
      <c r="M215" s="73" t="inlineStr">
        <is>
          <t>Complete</t>
        </is>
      </c>
    </row>
    <row r="216" ht="13.5" customHeight="1" s="38">
      <c r="A216" s="46" t="inlineStr">
        <is>
          <t>R_S1_SC02_I03</t>
        </is>
      </c>
      <c r="B216" s="46" t="inlineStr">
        <is>
          <t>R_0821</t>
        </is>
      </c>
      <c r="C216" s="46" t="inlineStr">
        <is>
          <t>Strategy 1 – Zero-Shot + Structured Template</t>
        </is>
      </c>
      <c r="D216" s="46" t="inlineStr">
        <is>
          <t>SC02</t>
        </is>
      </c>
      <c r="E216" s="46" t="inlineStr">
        <is>
          <t>Ransomware</t>
        </is>
      </c>
      <c r="F216" s="47" t="n">
        <v>3</v>
      </c>
      <c r="G216" s="46" t="inlineStr">
        <is>
          <t>Gemma3:27b via Ollama</t>
        </is>
      </c>
      <c r="H216" s="48" t="n">
        <v>46159</v>
      </c>
      <c r="I216" s="46" t="inlineStr">
        <is>
          <t>9.891</t>
        </is>
      </c>
      <c r="J216" s="46" t="inlineStr">
        <is>
          <t>67.54</t>
        </is>
      </c>
      <c r="K216" s="46" t="inlineStr">
        <is>
          <t>Gemma3:27b</t>
        </is>
      </c>
      <c r="L216" s="46" t="inlineStr">
        <is>
          <t>0.3</t>
        </is>
      </c>
      <c r="M216" s="73" t="inlineStr">
        <is>
          <t>Complete</t>
        </is>
      </c>
    </row>
    <row r="217" ht="13.5" customHeight="1" s="38">
      <c r="A217" s="46" t="inlineStr">
        <is>
          <t>R_S1_SC02_I04</t>
        </is>
      </c>
      <c r="B217" s="46" t="inlineStr">
        <is>
          <t>R_0496</t>
        </is>
      </c>
      <c r="C217" s="46" t="inlineStr">
        <is>
          <t>Strategy 1 – Zero-Shot + Structured Template</t>
        </is>
      </c>
      <c r="D217" s="46" t="inlineStr">
        <is>
          <t>SC02</t>
        </is>
      </c>
      <c r="E217" s="46" t="inlineStr">
        <is>
          <t>Ransomware</t>
        </is>
      </c>
      <c r="F217" s="47" t="n">
        <v>4</v>
      </c>
      <c r="G217" s="46" t="inlineStr">
        <is>
          <t>Gemma3:27b via Ollama</t>
        </is>
      </c>
      <c r="H217" s="48" t="n">
        <v>46159</v>
      </c>
      <c r="I217" s="46" t="inlineStr">
        <is>
          <t>9.642</t>
        </is>
      </c>
      <c r="J217" s="46" t="inlineStr">
        <is>
          <t>67.31</t>
        </is>
      </c>
      <c r="K217" s="46" t="inlineStr">
        <is>
          <t>Gemma3:27b</t>
        </is>
      </c>
      <c r="L217" s="46" t="inlineStr">
        <is>
          <t>0.3</t>
        </is>
      </c>
      <c r="M217" s="73" t="inlineStr">
        <is>
          <t>Complete</t>
        </is>
      </c>
    </row>
    <row r="218" ht="13.5" customHeight="1" s="38">
      <c r="A218" s="46" t="inlineStr">
        <is>
          <t>R_S1_SC02_I05</t>
        </is>
      </c>
      <c r="B218" s="46" t="inlineStr">
        <is>
          <t>R_0051</t>
        </is>
      </c>
      <c r="C218" s="46" t="inlineStr">
        <is>
          <t>Strategy 1 – Zero-Shot + Structured Template</t>
        </is>
      </c>
      <c r="D218" s="46" t="inlineStr">
        <is>
          <t>SC02</t>
        </is>
      </c>
      <c r="E218" s="46" t="inlineStr">
        <is>
          <t>Ransomware</t>
        </is>
      </c>
      <c r="F218" s="47" t="n">
        <v>5</v>
      </c>
      <c r="G218" s="46" t="inlineStr">
        <is>
          <t>Gemma3:27b via Ollama</t>
        </is>
      </c>
      <c r="H218" s="48" t="n">
        <v>46159</v>
      </c>
      <c r="I218" s="46" t="inlineStr">
        <is>
          <t>10.089</t>
        </is>
      </c>
      <c r="J218" s="46" t="inlineStr">
        <is>
          <t>67.40</t>
        </is>
      </c>
      <c r="K218" s="46" t="inlineStr">
        <is>
          <t>Gemma3:27b</t>
        </is>
      </c>
      <c r="L218" s="46" t="inlineStr">
        <is>
          <t>0.3</t>
        </is>
      </c>
      <c r="M218" s="73" t="inlineStr">
        <is>
          <t>Complete</t>
        </is>
      </c>
    </row>
    <row r="219" ht="13.5" customHeight="1" s="38">
      <c r="A219" s="46" t="inlineStr">
        <is>
          <t>R_S1_SC02_I06</t>
        </is>
      </c>
      <c r="B219" s="46" t="inlineStr">
        <is>
          <t>R_0230</t>
        </is>
      </c>
      <c r="C219" s="46" t="inlineStr">
        <is>
          <t>Strategy 1 – Zero-Shot + Structured Template</t>
        </is>
      </c>
      <c r="D219" s="46" t="inlineStr">
        <is>
          <t>SC02</t>
        </is>
      </c>
      <c r="E219" s="46" t="inlineStr">
        <is>
          <t>Ransomware</t>
        </is>
      </c>
      <c r="F219" s="47" t="n">
        <v>6</v>
      </c>
      <c r="G219" s="46" t="inlineStr">
        <is>
          <t>Gemma3:27b via Ollama</t>
        </is>
      </c>
      <c r="H219" s="48" t="n">
        <v>46159</v>
      </c>
      <c r="I219" s="46" t="inlineStr">
        <is>
          <t>10.177</t>
        </is>
      </c>
      <c r="J219" s="46" t="inlineStr">
        <is>
          <t>67.41</t>
        </is>
      </c>
      <c r="K219" s="46" t="inlineStr">
        <is>
          <t>Gemma3:27b</t>
        </is>
      </c>
      <c r="L219" s="46" t="inlineStr">
        <is>
          <t>0.3</t>
        </is>
      </c>
      <c r="M219" s="73" t="inlineStr">
        <is>
          <t>Complete</t>
        </is>
      </c>
    </row>
    <row r="220" ht="13.5" customHeight="1" s="38">
      <c r="A220" s="46" t="inlineStr">
        <is>
          <t>R_S1_SC02_I07</t>
        </is>
      </c>
      <c r="B220" s="46" t="inlineStr">
        <is>
          <t>R_0841</t>
        </is>
      </c>
      <c r="C220" s="46" t="inlineStr">
        <is>
          <t>Strategy 1 – Zero-Shot + Structured Template</t>
        </is>
      </c>
      <c r="D220" s="46" t="inlineStr">
        <is>
          <t>SC02</t>
        </is>
      </c>
      <c r="E220" s="46" t="inlineStr">
        <is>
          <t>Ransomware</t>
        </is>
      </c>
      <c r="F220" s="47" t="n">
        <v>7</v>
      </c>
      <c r="G220" s="46" t="inlineStr">
        <is>
          <t>Gemma3:27b via Ollama</t>
        </is>
      </c>
      <c r="H220" s="48" t="n">
        <v>46159</v>
      </c>
      <c r="I220" s="46" t="inlineStr">
        <is>
          <t>10.216</t>
        </is>
      </c>
      <c r="J220" s="46" t="inlineStr">
        <is>
          <t>67.35</t>
        </is>
      </c>
      <c r="K220" s="46" t="inlineStr">
        <is>
          <t>Gemma3:27b</t>
        </is>
      </c>
      <c r="L220" s="46" t="inlineStr">
        <is>
          <t>0.3</t>
        </is>
      </c>
      <c r="M220" s="73" t="inlineStr">
        <is>
          <t>Complete</t>
        </is>
      </c>
    </row>
    <row r="221" ht="13.5" customHeight="1" s="38">
      <c r="A221" s="46" t="inlineStr">
        <is>
          <t>R_S1_SC02_I08</t>
        </is>
      </c>
      <c r="B221" s="46" t="inlineStr">
        <is>
          <t>R_0717</t>
        </is>
      </c>
      <c r="C221" s="46" t="inlineStr">
        <is>
          <t>Strategy 1 – Zero-Shot + Structured Template</t>
        </is>
      </c>
      <c r="D221" s="46" t="inlineStr">
        <is>
          <t>SC02</t>
        </is>
      </c>
      <c r="E221" s="46" t="inlineStr">
        <is>
          <t>Ransomware</t>
        </is>
      </c>
      <c r="F221" s="47" t="n">
        <v>8</v>
      </c>
      <c r="G221" s="46" t="inlineStr">
        <is>
          <t>Gemma3:27b via Ollama</t>
        </is>
      </c>
      <c r="H221" s="48" t="n">
        <v>46159</v>
      </c>
      <c r="I221" s="46" t="inlineStr">
        <is>
          <t>10.038</t>
        </is>
      </c>
      <c r="J221" s="46" t="inlineStr">
        <is>
          <t>67.45</t>
        </is>
      </c>
      <c r="K221" s="46" t="inlineStr">
        <is>
          <t>Gemma3:27b</t>
        </is>
      </c>
      <c r="L221" s="46" t="inlineStr">
        <is>
          <t>0.3</t>
        </is>
      </c>
      <c r="M221" s="73" t="inlineStr">
        <is>
          <t>Complete</t>
        </is>
      </c>
    </row>
    <row r="222" ht="13.5" customHeight="1" s="38">
      <c r="A222" s="46" t="inlineStr">
        <is>
          <t>R_S1_SC02_I09</t>
        </is>
      </c>
      <c r="B222" s="46" t="inlineStr">
        <is>
          <t>R_0174</t>
        </is>
      </c>
      <c r="C222" s="46" t="inlineStr">
        <is>
          <t>Strategy 1 – Zero-Shot + Structured Template</t>
        </is>
      </c>
      <c r="D222" s="46" t="inlineStr">
        <is>
          <t>SC02</t>
        </is>
      </c>
      <c r="E222" s="46" t="inlineStr">
        <is>
          <t>Ransomware</t>
        </is>
      </c>
      <c r="F222" s="47" t="n">
        <v>9</v>
      </c>
      <c r="G222" s="46" t="inlineStr">
        <is>
          <t>Gemma3:27b via Ollama</t>
        </is>
      </c>
      <c r="H222" s="48" t="n">
        <v>46159</v>
      </c>
      <c r="I222" s="46" t="inlineStr">
        <is>
          <t>10.585</t>
        </is>
      </c>
      <c r="J222" s="46" t="inlineStr">
        <is>
          <t>67.26</t>
        </is>
      </c>
      <c r="K222" s="46" t="inlineStr">
        <is>
          <t>Gemma3:27b</t>
        </is>
      </c>
      <c r="L222" s="46" t="inlineStr">
        <is>
          <t>0.3</t>
        </is>
      </c>
      <c r="M222" s="73" t="inlineStr">
        <is>
          <t>Complete</t>
        </is>
      </c>
    </row>
    <row r="223" ht="13.5" customHeight="1" s="38">
      <c r="A223" s="46" t="inlineStr">
        <is>
          <t>R_S1_SC02_I10</t>
        </is>
      </c>
      <c r="B223" s="46" t="inlineStr">
        <is>
          <t>R_0148</t>
        </is>
      </c>
      <c r="C223" s="46" t="inlineStr">
        <is>
          <t>Strategy 1 – Zero-Shot + Structured Template</t>
        </is>
      </c>
      <c r="D223" s="46" t="inlineStr">
        <is>
          <t>SC02</t>
        </is>
      </c>
      <c r="E223" s="46" t="inlineStr">
        <is>
          <t>Ransomware</t>
        </is>
      </c>
      <c r="F223" s="47" t="n">
        <v>10</v>
      </c>
      <c r="G223" s="46" t="inlineStr">
        <is>
          <t>Gemma3:27b via Ollama</t>
        </is>
      </c>
      <c r="H223" s="48" t="n">
        <v>46159</v>
      </c>
      <c r="I223" s="46" t="inlineStr">
        <is>
          <t>10.417</t>
        </is>
      </c>
      <c r="J223" s="46" t="inlineStr">
        <is>
          <t>65.85</t>
        </is>
      </c>
      <c r="K223" s="46" t="inlineStr">
        <is>
          <t>Gemma3:27b</t>
        </is>
      </c>
      <c r="L223" s="46" t="inlineStr">
        <is>
          <t>0.3</t>
        </is>
      </c>
      <c r="M223" s="73" t="inlineStr">
        <is>
          <t>Complete</t>
        </is>
      </c>
    </row>
    <row r="224" ht="13.5" customHeight="1" s="38">
      <c r="A224" s="46" t="inlineStr">
        <is>
          <t>R_S1_SC03_I01</t>
        </is>
      </c>
      <c r="B224" s="46" t="inlineStr">
        <is>
          <t>R_0857</t>
        </is>
      </c>
      <c r="C224" s="46" t="inlineStr">
        <is>
          <t>Strategy 1 – Zero-Shot + Structured Template</t>
        </is>
      </c>
      <c r="D224" s="46" t="inlineStr">
        <is>
          <t>SC03</t>
        </is>
      </c>
      <c r="E224" s="46" t="inlineStr">
        <is>
          <t>Ransomware</t>
        </is>
      </c>
      <c r="F224" s="47" t="n">
        <v>1</v>
      </c>
      <c r="G224" s="46" t="inlineStr">
        <is>
          <t>Gemma3:27b via Ollama</t>
        </is>
      </c>
      <c r="H224" s="48" t="n">
        <v>46159</v>
      </c>
      <c r="I224" s="46" t="inlineStr">
        <is>
          <t>8.593</t>
        </is>
      </c>
      <c r="J224" s="46" t="inlineStr">
        <is>
          <t>67.38</t>
        </is>
      </c>
      <c r="K224" s="46" t="inlineStr">
        <is>
          <t>Gemma3:27b</t>
        </is>
      </c>
      <c r="L224" s="46" t="inlineStr">
        <is>
          <t>0.3</t>
        </is>
      </c>
      <c r="M224" s="73" t="inlineStr">
        <is>
          <t>Complete</t>
        </is>
      </c>
    </row>
    <row r="225" ht="13.5" customHeight="1" s="38">
      <c r="A225" s="46" t="inlineStr">
        <is>
          <t>R_S1_SC03_I02</t>
        </is>
      </c>
      <c r="B225" s="46" t="inlineStr">
        <is>
          <t>R_0977</t>
        </is>
      </c>
      <c r="C225" s="46" t="inlineStr">
        <is>
          <t>Strategy 1 – Zero-Shot + Structured Template</t>
        </is>
      </c>
      <c r="D225" s="46" t="inlineStr">
        <is>
          <t>SC03</t>
        </is>
      </c>
      <c r="E225" s="46" t="inlineStr">
        <is>
          <t>Ransomware</t>
        </is>
      </c>
      <c r="F225" s="47" t="n">
        <v>2</v>
      </c>
      <c r="G225" s="46" t="inlineStr">
        <is>
          <t>Gemma3:27b via Ollama</t>
        </is>
      </c>
      <c r="H225" s="48" t="n">
        <v>46159</v>
      </c>
      <c r="I225" s="46" t="inlineStr">
        <is>
          <t>9.336</t>
        </is>
      </c>
      <c r="J225" s="46" t="inlineStr">
        <is>
          <t>67.27</t>
        </is>
      </c>
      <c r="K225" s="46" t="inlineStr">
        <is>
          <t>Gemma3:27b</t>
        </is>
      </c>
      <c r="L225" s="46" t="inlineStr">
        <is>
          <t>0.3</t>
        </is>
      </c>
      <c r="M225" s="73" t="inlineStr">
        <is>
          <t>Complete</t>
        </is>
      </c>
    </row>
    <row r="226" ht="13.5" customHeight="1" s="38">
      <c r="A226" s="46" t="inlineStr">
        <is>
          <t>R_S1_SC03_I03</t>
        </is>
      </c>
      <c r="B226" s="46" t="inlineStr">
        <is>
          <t>R_0149</t>
        </is>
      </c>
      <c r="C226" s="46" t="inlineStr">
        <is>
          <t>Strategy 1 – Zero-Shot + Structured Template</t>
        </is>
      </c>
      <c r="D226" s="46" t="inlineStr">
        <is>
          <t>SC03</t>
        </is>
      </c>
      <c r="E226" s="46" t="inlineStr">
        <is>
          <t>Ransomware</t>
        </is>
      </c>
      <c r="F226" s="47" t="n">
        <v>3</v>
      </c>
      <c r="G226" s="46" t="inlineStr">
        <is>
          <t>Gemma3:27b via Ollama</t>
        </is>
      </c>
      <c r="H226" s="48" t="n">
        <v>46159</v>
      </c>
      <c r="I226" s="46" t="inlineStr">
        <is>
          <t>8.760</t>
        </is>
      </c>
      <c r="J226" s="46" t="inlineStr">
        <is>
          <t>67.46</t>
        </is>
      </c>
      <c r="K226" s="46" t="inlineStr">
        <is>
          <t>Gemma3:27b</t>
        </is>
      </c>
      <c r="L226" s="46" t="inlineStr">
        <is>
          <t>0.3</t>
        </is>
      </c>
      <c r="M226" s="73" t="inlineStr">
        <is>
          <t>Complete</t>
        </is>
      </c>
    </row>
    <row r="227" ht="13.5" customHeight="1" s="38">
      <c r="A227" s="46" t="inlineStr">
        <is>
          <t>R_S1_SC03_I04</t>
        </is>
      </c>
      <c r="B227" s="46" t="inlineStr">
        <is>
          <t>R_0991</t>
        </is>
      </c>
      <c r="C227" s="46" t="inlineStr">
        <is>
          <t>Strategy 1 – Zero-Shot + Structured Template</t>
        </is>
      </c>
      <c r="D227" s="46" t="inlineStr">
        <is>
          <t>SC03</t>
        </is>
      </c>
      <c r="E227" s="46" t="inlineStr">
        <is>
          <t>Ransomware</t>
        </is>
      </c>
      <c r="F227" s="47" t="n">
        <v>4</v>
      </c>
      <c r="G227" s="46" t="inlineStr">
        <is>
          <t>Gemma3:27b via Ollama</t>
        </is>
      </c>
      <c r="H227" s="48" t="n">
        <v>46159</v>
      </c>
      <c r="I227" s="46" t="inlineStr">
        <is>
          <t>9.121</t>
        </is>
      </c>
      <c r="J227" s="46" t="inlineStr">
        <is>
          <t>65.89</t>
        </is>
      </c>
      <c r="K227" s="46" t="inlineStr">
        <is>
          <t>Gemma3:27b</t>
        </is>
      </c>
      <c r="L227" s="46" t="inlineStr">
        <is>
          <t>0.3</t>
        </is>
      </c>
      <c r="M227" s="73" t="inlineStr">
        <is>
          <t>Complete</t>
        </is>
      </c>
    </row>
    <row r="228" ht="13.5" customHeight="1" s="38">
      <c r="A228" s="46" t="inlineStr">
        <is>
          <t>R_S1_SC03_I05</t>
        </is>
      </c>
      <c r="B228" s="46" t="inlineStr">
        <is>
          <t>R_0080</t>
        </is>
      </c>
      <c r="C228" s="46" t="inlineStr">
        <is>
          <t>Strategy 1 – Zero-Shot + Structured Template</t>
        </is>
      </c>
      <c r="D228" s="46" t="inlineStr">
        <is>
          <t>SC03</t>
        </is>
      </c>
      <c r="E228" s="46" t="inlineStr">
        <is>
          <t>Ransomware</t>
        </is>
      </c>
      <c r="F228" s="47" t="n">
        <v>5</v>
      </c>
      <c r="G228" s="46" t="inlineStr">
        <is>
          <t>Gemma3:27b via Ollama</t>
        </is>
      </c>
      <c r="H228" s="48" t="n">
        <v>46159</v>
      </c>
      <c r="I228" s="46" t="inlineStr">
        <is>
          <t>9.011</t>
        </is>
      </c>
      <c r="J228" s="46" t="inlineStr">
        <is>
          <t>65.81</t>
        </is>
      </c>
      <c r="K228" s="46" t="inlineStr">
        <is>
          <t>Gemma3:27b</t>
        </is>
      </c>
      <c r="L228" s="46" t="inlineStr">
        <is>
          <t>0.3</t>
        </is>
      </c>
      <c r="M228" s="73" t="inlineStr">
        <is>
          <t>Complete</t>
        </is>
      </c>
    </row>
    <row r="229" ht="13.5" customHeight="1" s="38">
      <c r="A229" s="46" t="inlineStr">
        <is>
          <t>R_S1_SC03_I06</t>
        </is>
      </c>
      <c r="B229" s="46" t="inlineStr">
        <is>
          <t>R_0263</t>
        </is>
      </c>
      <c r="C229" s="46" t="inlineStr">
        <is>
          <t>Strategy 1 – Zero-Shot + Structured Template</t>
        </is>
      </c>
      <c r="D229" s="46" t="inlineStr">
        <is>
          <t>SC03</t>
        </is>
      </c>
      <c r="E229" s="46" t="inlineStr">
        <is>
          <t>Ransomware</t>
        </is>
      </c>
      <c r="F229" s="47" t="n">
        <v>6</v>
      </c>
      <c r="G229" s="46" t="inlineStr">
        <is>
          <t>Gemma3:27b via Ollama</t>
        </is>
      </c>
      <c r="H229" s="48" t="n">
        <v>46159</v>
      </c>
      <c r="I229" s="46" t="inlineStr">
        <is>
          <t>9.533</t>
        </is>
      </c>
      <c r="J229" s="46" t="inlineStr">
        <is>
          <t>67.55</t>
        </is>
      </c>
      <c r="K229" s="46" t="inlineStr">
        <is>
          <t>Gemma3:27b</t>
        </is>
      </c>
      <c r="L229" s="46" t="inlineStr">
        <is>
          <t>0.3</t>
        </is>
      </c>
      <c r="M229" s="73" t="inlineStr">
        <is>
          <t>Complete</t>
        </is>
      </c>
    </row>
    <row r="230" ht="13.5" customHeight="1" s="38">
      <c r="A230" s="46" t="inlineStr">
        <is>
          <t>R_S1_SC03_I07</t>
        </is>
      </c>
      <c r="B230" s="46" t="inlineStr">
        <is>
          <t>R_0510</t>
        </is>
      </c>
      <c r="C230" s="46" t="inlineStr">
        <is>
          <t>Strategy 1 – Zero-Shot + Structured Template</t>
        </is>
      </c>
      <c r="D230" s="46" t="inlineStr">
        <is>
          <t>SC03</t>
        </is>
      </c>
      <c r="E230" s="46" t="inlineStr">
        <is>
          <t>Ransomware</t>
        </is>
      </c>
      <c r="F230" s="47" t="n">
        <v>7</v>
      </c>
      <c r="G230" s="46" t="inlineStr">
        <is>
          <t>Gemma3:27b via Ollama</t>
        </is>
      </c>
      <c r="H230" s="48" t="n">
        <v>46159</v>
      </c>
      <c r="I230" s="46" t="inlineStr">
        <is>
          <t>8.922</t>
        </is>
      </c>
      <c r="J230" s="46" t="inlineStr">
        <is>
          <t>67.47</t>
        </is>
      </c>
      <c r="K230" s="46" t="inlineStr">
        <is>
          <t>Gemma3:27b</t>
        </is>
      </c>
      <c r="L230" s="46" t="inlineStr">
        <is>
          <t>0.3</t>
        </is>
      </c>
      <c r="M230" s="73" t="inlineStr">
        <is>
          <t>Complete</t>
        </is>
      </c>
    </row>
    <row r="231" ht="13.5" customHeight="1" s="38">
      <c r="A231" s="46" t="inlineStr">
        <is>
          <t>R_S1_SC03_I08</t>
        </is>
      </c>
      <c r="B231" s="46" t="inlineStr">
        <is>
          <t>R_0290</t>
        </is>
      </c>
      <c r="C231" s="46" t="inlineStr">
        <is>
          <t>Strategy 1 – Zero-Shot + Structured Template</t>
        </is>
      </c>
      <c r="D231" s="46" t="inlineStr">
        <is>
          <t>SC03</t>
        </is>
      </c>
      <c r="E231" s="46" t="inlineStr">
        <is>
          <t>Ransomware</t>
        </is>
      </c>
      <c r="F231" s="47" t="n">
        <v>8</v>
      </c>
      <c r="G231" s="46" t="inlineStr">
        <is>
          <t>Gemma3:27b via Ollama</t>
        </is>
      </c>
      <c r="H231" s="48" t="n">
        <v>46159</v>
      </c>
      <c r="I231" s="46" t="inlineStr">
        <is>
          <t>9.187</t>
        </is>
      </c>
      <c r="J231" s="46" t="inlineStr">
        <is>
          <t>67.37</t>
        </is>
      </c>
      <c r="K231" s="46" t="inlineStr">
        <is>
          <t>Gemma3:27b</t>
        </is>
      </c>
      <c r="L231" s="46" t="inlineStr">
        <is>
          <t>0.3</t>
        </is>
      </c>
      <c r="M231" s="73" t="inlineStr">
        <is>
          <t>Complete</t>
        </is>
      </c>
    </row>
    <row r="232" ht="13.5" customHeight="1" s="38">
      <c r="A232" s="46" t="inlineStr">
        <is>
          <t>R_S1_SC03_I09</t>
        </is>
      </c>
      <c r="B232" s="46" t="inlineStr">
        <is>
          <t>R_0242</t>
        </is>
      </c>
      <c r="C232" s="46" t="inlineStr">
        <is>
          <t>Strategy 1 – Zero-Shot + Structured Template</t>
        </is>
      </c>
      <c r="D232" s="46" t="inlineStr">
        <is>
          <t>SC03</t>
        </is>
      </c>
      <c r="E232" s="46" t="inlineStr">
        <is>
          <t>Ransomware</t>
        </is>
      </c>
      <c r="F232" s="47" t="n">
        <v>9</v>
      </c>
      <c r="G232" s="46" t="inlineStr">
        <is>
          <t>Gemma3:27b via Ollama</t>
        </is>
      </c>
      <c r="H232" s="48" t="n">
        <v>46159</v>
      </c>
      <c r="I232" s="46" t="inlineStr">
        <is>
          <t>9.139</t>
        </is>
      </c>
      <c r="J232" s="46" t="inlineStr">
        <is>
          <t>67.29</t>
        </is>
      </c>
      <c r="K232" s="46" t="inlineStr">
        <is>
          <t>Gemma3:27b</t>
        </is>
      </c>
      <c r="L232" s="46" t="inlineStr">
        <is>
          <t>0.3</t>
        </is>
      </c>
      <c r="M232" s="73" t="inlineStr">
        <is>
          <t>Complete</t>
        </is>
      </c>
    </row>
    <row r="233" ht="13.5" customHeight="1" s="38">
      <c r="A233" s="46" t="inlineStr">
        <is>
          <t>R_S1_SC03_I10</t>
        </is>
      </c>
      <c r="B233" s="46" t="inlineStr">
        <is>
          <t>R_0537</t>
        </is>
      </c>
      <c r="C233" s="46" t="inlineStr">
        <is>
          <t>Strategy 1 – Zero-Shot + Structured Template</t>
        </is>
      </c>
      <c r="D233" s="46" t="inlineStr">
        <is>
          <t>SC03</t>
        </is>
      </c>
      <c r="E233" s="46" t="inlineStr">
        <is>
          <t>Ransomware</t>
        </is>
      </c>
      <c r="F233" s="47" t="n">
        <v>10</v>
      </c>
      <c r="G233" s="46" t="inlineStr">
        <is>
          <t>Gemma3:27b via Ollama</t>
        </is>
      </c>
      <c r="H233" s="48" t="n">
        <v>46159</v>
      </c>
      <c r="I233" s="46" t="inlineStr">
        <is>
          <t>8.919</t>
        </is>
      </c>
      <c r="J233" s="46" t="inlineStr">
        <is>
          <t>67.05</t>
        </is>
      </c>
      <c r="K233" s="46" t="inlineStr">
        <is>
          <t>Gemma3:27b</t>
        </is>
      </c>
      <c r="L233" s="46" t="inlineStr">
        <is>
          <t>0.3</t>
        </is>
      </c>
      <c r="M233" s="73" t="inlineStr">
        <is>
          <t>Complete</t>
        </is>
      </c>
    </row>
    <row r="234" ht="13.5" customHeight="1" s="38">
      <c r="A234" s="46" t="inlineStr">
        <is>
          <t>R_S1_SC04_I01</t>
        </is>
      </c>
      <c r="B234" s="46" t="inlineStr">
        <is>
          <t>R_0192</t>
        </is>
      </c>
      <c r="C234" s="46" t="inlineStr">
        <is>
          <t>Strategy 1 – Zero-Shot + Structured Template</t>
        </is>
      </c>
      <c r="D234" s="46" t="inlineStr">
        <is>
          <t>SC04</t>
        </is>
      </c>
      <c r="E234" s="46" t="inlineStr">
        <is>
          <t>Ransomware</t>
        </is>
      </c>
      <c r="F234" s="47" t="n">
        <v>1</v>
      </c>
      <c r="G234" s="46" t="inlineStr">
        <is>
          <t>Gemma3:27b via Ollama</t>
        </is>
      </c>
      <c r="H234" s="48" t="n">
        <v>46162</v>
      </c>
      <c r="I234" s="46" t="inlineStr">
        <is>
          <t>10.130</t>
        </is>
      </c>
      <c r="J234" s="46" t="inlineStr">
        <is>
          <t>64.96</t>
        </is>
      </c>
      <c r="K234" s="46" t="inlineStr">
        <is>
          <t>Gemma3:27b</t>
        </is>
      </c>
      <c r="L234" s="46" t="inlineStr">
        <is>
          <t>0.3</t>
        </is>
      </c>
      <c r="M234" s="73" t="inlineStr">
        <is>
          <t>Complete</t>
        </is>
      </c>
    </row>
    <row r="235" ht="13.5" customHeight="1" s="38">
      <c r="A235" s="46" t="inlineStr">
        <is>
          <t>R_S1_SC04_I02</t>
        </is>
      </c>
      <c r="B235" s="46" t="inlineStr">
        <is>
          <t>R_0815</t>
        </is>
      </c>
      <c r="C235" s="46" t="inlineStr">
        <is>
          <t>Strategy 1 – Zero-Shot + Structured Template</t>
        </is>
      </c>
      <c r="D235" s="46" t="inlineStr">
        <is>
          <t>SC04</t>
        </is>
      </c>
      <c r="E235" s="46" t="inlineStr">
        <is>
          <t>Ransomware</t>
        </is>
      </c>
      <c r="F235" s="47" t="n">
        <v>2</v>
      </c>
      <c r="G235" s="46" t="inlineStr">
        <is>
          <t>Gemma3:27b via Ollama</t>
        </is>
      </c>
      <c r="H235" s="48" t="n">
        <v>46162</v>
      </c>
      <c r="I235" s="46" t="inlineStr">
        <is>
          <t>10.123</t>
        </is>
      </c>
      <c r="J235" s="46" t="inlineStr">
        <is>
          <t>65.20</t>
        </is>
      </c>
      <c r="K235" s="46" t="inlineStr">
        <is>
          <t>Gemma3:27b</t>
        </is>
      </c>
      <c r="L235" s="46" t="inlineStr">
        <is>
          <t>0.3</t>
        </is>
      </c>
      <c r="M235" s="73" t="inlineStr">
        <is>
          <t>Complete</t>
        </is>
      </c>
    </row>
    <row r="236" ht="13.5" customHeight="1" s="38">
      <c r="A236" s="46" t="inlineStr">
        <is>
          <t>R_S1_SC04_I03</t>
        </is>
      </c>
      <c r="B236" s="46" t="inlineStr">
        <is>
          <t>R_0429</t>
        </is>
      </c>
      <c r="C236" s="46" t="inlineStr">
        <is>
          <t>Strategy 1 – Zero-Shot + Structured Template</t>
        </is>
      </c>
      <c r="D236" s="46" t="inlineStr">
        <is>
          <t>SC04</t>
        </is>
      </c>
      <c r="E236" s="46" t="inlineStr">
        <is>
          <t>Ransomware</t>
        </is>
      </c>
      <c r="F236" s="47" t="n">
        <v>3</v>
      </c>
      <c r="G236" s="46" t="inlineStr">
        <is>
          <t>Gemma3:27b via Ollama</t>
        </is>
      </c>
      <c r="H236" s="48" t="n">
        <v>46162</v>
      </c>
      <c r="I236" s="46" t="inlineStr">
        <is>
          <t>10.437</t>
        </is>
      </c>
      <c r="J236" s="46" t="inlineStr">
        <is>
          <t>64.29</t>
        </is>
      </c>
      <c r="K236" s="46" t="inlineStr">
        <is>
          <t>Gemma3:27b</t>
        </is>
      </c>
      <c r="L236" s="46" t="inlineStr">
        <is>
          <t>0.3</t>
        </is>
      </c>
      <c r="M236" s="73" t="inlineStr">
        <is>
          <t>Complete</t>
        </is>
      </c>
    </row>
    <row r="237" ht="13.5" customHeight="1" s="38">
      <c r="A237" s="46" t="inlineStr">
        <is>
          <t>R_S1_SC04_I04</t>
        </is>
      </c>
      <c r="B237" s="46" t="inlineStr">
        <is>
          <t>R_0663</t>
        </is>
      </c>
      <c r="C237" s="46" t="inlineStr">
        <is>
          <t>Strategy 1 – Zero-Shot + Structured Template</t>
        </is>
      </c>
      <c r="D237" s="46" t="inlineStr">
        <is>
          <t>SC04</t>
        </is>
      </c>
      <c r="E237" s="46" t="inlineStr">
        <is>
          <t>Ransomware</t>
        </is>
      </c>
      <c r="F237" s="47" t="n">
        <v>4</v>
      </c>
      <c r="G237" s="46" t="inlineStr">
        <is>
          <t>Gemma3:27b via Ollama</t>
        </is>
      </c>
      <c r="H237" s="48" t="n">
        <v>46162</v>
      </c>
      <c r="I237" s="46" t="inlineStr">
        <is>
          <t>10.080</t>
        </is>
      </c>
      <c r="J237" s="46" t="inlineStr">
        <is>
          <t>64.38</t>
        </is>
      </c>
      <c r="K237" s="46" t="inlineStr">
        <is>
          <t>Gemma3:27b</t>
        </is>
      </c>
      <c r="L237" s="46" t="inlineStr">
        <is>
          <t>0.3</t>
        </is>
      </c>
      <c r="M237" s="73" t="inlineStr">
        <is>
          <t>Complete</t>
        </is>
      </c>
    </row>
    <row r="238" ht="13.5" customHeight="1" s="38">
      <c r="A238" s="46" t="inlineStr">
        <is>
          <t>R_S1_SC04_I05</t>
        </is>
      </c>
      <c r="B238" s="46" t="inlineStr">
        <is>
          <t>R_0574</t>
        </is>
      </c>
      <c r="C238" s="46" t="inlineStr">
        <is>
          <t>Strategy 1 – Zero-Shot + Structured Template</t>
        </is>
      </c>
      <c r="D238" s="46" t="inlineStr">
        <is>
          <t>SC04</t>
        </is>
      </c>
      <c r="E238" s="46" t="inlineStr">
        <is>
          <t>Ransomware</t>
        </is>
      </c>
      <c r="F238" s="47" t="n">
        <v>5</v>
      </c>
      <c r="G238" s="46" t="inlineStr">
        <is>
          <t>Gemma3:27b via Ollama</t>
        </is>
      </c>
      <c r="H238" s="48" t="n">
        <v>46162</v>
      </c>
      <c r="I238" s="46" t="inlineStr">
        <is>
          <t>9.512</t>
        </is>
      </c>
      <c r="J238" s="46" t="inlineStr">
        <is>
          <t>66.02</t>
        </is>
      </c>
      <c r="K238" s="46" t="inlineStr">
        <is>
          <t>Gemma3:27b</t>
        </is>
      </c>
      <c r="L238" s="46" t="inlineStr">
        <is>
          <t>0.3</t>
        </is>
      </c>
      <c r="M238" s="73" t="inlineStr">
        <is>
          <t>Complete</t>
        </is>
      </c>
    </row>
    <row r="239" ht="13.5" customHeight="1" s="38">
      <c r="A239" s="46" t="inlineStr">
        <is>
          <t>R_S1_SC04_I06</t>
        </is>
      </c>
      <c r="B239" s="46" t="inlineStr">
        <is>
          <t>R_0669</t>
        </is>
      </c>
      <c r="C239" s="46" t="inlineStr">
        <is>
          <t>Strategy 1 – Zero-Shot + Structured Template</t>
        </is>
      </c>
      <c r="D239" s="46" t="inlineStr">
        <is>
          <t>SC04</t>
        </is>
      </c>
      <c r="E239" s="46" t="inlineStr">
        <is>
          <t>Ransomware</t>
        </is>
      </c>
      <c r="F239" s="47" t="n">
        <v>6</v>
      </c>
      <c r="G239" s="46" t="inlineStr">
        <is>
          <t>Gemma3:27b via Ollama</t>
        </is>
      </c>
      <c r="H239" s="48" t="n">
        <v>46162</v>
      </c>
      <c r="I239" s="46" t="inlineStr">
        <is>
          <t>9.957</t>
        </is>
      </c>
      <c r="J239" s="46" t="inlineStr">
        <is>
          <t>65.08</t>
        </is>
      </c>
      <c r="K239" s="46" t="inlineStr">
        <is>
          <t>Gemma3:27b</t>
        </is>
      </c>
      <c r="L239" s="46" t="inlineStr">
        <is>
          <t>0.3</t>
        </is>
      </c>
      <c r="M239" s="73" t="inlineStr">
        <is>
          <t>Complete</t>
        </is>
      </c>
    </row>
    <row r="240" ht="13.5" customHeight="1" s="38">
      <c r="A240" s="46" t="inlineStr">
        <is>
          <t>R_S1_SC04_I07</t>
        </is>
      </c>
      <c r="B240" s="46" t="inlineStr">
        <is>
          <t>R_0924</t>
        </is>
      </c>
      <c r="C240" s="46" t="inlineStr">
        <is>
          <t>Strategy 1 – Zero-Shot + Structured Template</t>
        </is>
      </c>
      <c r="D240" s="46" t="inlineStr">
        <is>
          <t>SC04</t>
        </is>
      </c>
      <c r="E240" s="46" t="inlineStr">
        <is>
          <t>Ransomware</t>
        </is>
      </c>
      <c r="F240" s="47" t="n">
        <v>7</v>
      </c>
      <c r="G240" s="46" t="inlineStr">
        <is>
          <t>Gemma3:27b via Ollama</t>
        </is>
      </c>
      <c r="H240" s="48" t="n">
        <v>46162</v>
      </c>
      <c r="I240" s="46" t="inlineStr">
        <is>
          <t>10.236</t>
        </is>
      </c>
      <c r="J240" s="46" t="inlineStr">
        <is>
          <t>64.96</t>
        </is>
      </c>
      <c r="K240" s="46" t="inlineStr">
        <is>
          <t>Gemma3:27b</t>
        </is>
      </c>
      <c r="L240" s="46" t="inlineStr">
        <is>
          <t>0.3</t>
        </is>
      </c>
      <c r="M240" s="73" t="inlineStr">
        <is>
          <t>Complete</t>
        </is>
      </c>
    </row>
    <row r="241" ht="13.5" customHeight="1" s="38">
      <c r="A241" s="46" t="inlineStr">
        <is>
          <t>R_S1_SC04_I08</t>
        </is>
      </c>
      <c r="B241" s="46" t="inlineStr">
        <is>
          <t>R_0351</t>
        </is>
      </c>
      <c r="C241" s="46" t="inlineStr">
        <is>
          <t>Strategy 1 – Zero-Shot + Structured Template</t>
        </is>
      </c>
      <c r="D241" s="46" t="inlineStr">
        <is>
          <t>SC04</t>
        </is>
      </c>
      <c r="E241" s="46" t="inlineStr">
        <is>
          <t>Ransomware</t>
        </is>
      </c>
      <c r="F241" s="47" t="n">
        <v>8</v>
      </c>
      <c r="G241" s="46" t="inlineStr">
        <is>
          <t>Gemma3:27b via Ollama</t>
        </is>
      </c>
      <c r="H241" s="48" t="n">
        <v>46162</v>
      </c>
      <c r="I241" s="46" t="inlineStr">
        <is>
          <t>11.226</t>
        </is>
      </c>
      <c r="J241" s="46" t="inlineStr">
        <is>
          <t>63.33</t>
        </is>
      </c>
      <c r="K241" s="46" t="inlineStr">
        <is>
          <t>Gemma3:27b</t>
        </is>
      </c>
      <c r="L241" s="46" t="inlineStr">
        <is>
          <t>0.3</t>
        </is>
      </c>
      <c r="M241" s="73" t="inlineStr">
        <is>
          <t>Complete</t>
        </is>
      </c>
    </row>
    <row r="242" ht="13.5" customHeight="1" s="38">
      <c r="A242" s="46" t="inlineStr">
        <is>
          <t>R_S1_SC04_I09</t>
        </is>
      </c>
      <c r="B242" s="46" t="inlineStr">
        <is>
          <t>R_0120</t>
        </is>
      </c>
      <c r="C242" s="46" t="inlineStr">
        <is>
          <t>Strategy 1 – Zero-Shot + Structured Template</t>
        </is>
      </c>
      <c r="D242" s="46" t="inlineStr">
        <is>
          <t>SC04</t>
        </is>
      </c>
      <c r="E242" s="46" t="inlineStr">
        <is>
          <t>Ransomware</t>
        </is>
      </c>
      <c r="F242" s="47" t="n">
        <v>9</v>
      </c>
      <c r="G242" s="46" t="inlineStr">
        <is>
          <t>Gemma3:27b via Ollama</t>
        </is>
      </c>
      <c r="H242" s="48" t="n">
        <v>46162</v>
      </c>
      <c r="I242" s="46" t="inlineStr">
        <is>
          <t>10.223</t>
        </is>
      </c>
      <c r="J242" s="46" t="inlineStr">
        <is>
          <t>65.05</t>
        </is>
      </c>
      <c r="K242" s="46" t="inlineStr">
        <is>
          <t>Gemma3:27b</t>
        </is>
      </c>
      <c r="L242" s="46" t="inlineStr">
        <is>
          <t>0.3</t>
        </is>
      </c>
      <c r="M242" s="73" t="inlineStr">
        <is>
          <t>Complete</t>
        </is>
      </c>
    </row>
    <row r="243" ht="13.5" customHeight="1" s="38">
      <c r="A243" s="46" t="inlineStr">
        <is>
          <t>R_S1_SC04_I10</t>
        </is>
      </c>
      <c r="B243" s="46" t="inlineStr">
        <is>
          <t>R_0495</t>
        </is>
      </c>
      <c r="C243" s="46" t="inlineStr">
        <is>
          <t>Strategy 1 – Zero-Shot + Structured Template</t>
        </is>
      </c>
      <c r="D243" s="46" t="inlineStr">
        <is>
          <t>SC04</t>
        </is>
      </c>
      <c r="E243" s="46" t="inlineStr">
        <is>
          <t>Ransomware</t>
        </is>
      </c>
      <c r="F243" s="47" t="n">
        <v>10</v>
      </c>
      <c r="G243" s="46" t="inlineStr">
        <is>
          <t>Gemma3:27b via Ollama</t>
        </is>
      </c>
      <c r="H243" s="48" t="n">
        <v>46162</v>
      </c>
      <c r="I243" s="46" t="inlineStr">
        <is>
          <t>10.022</t>
        </is>
      </c>
      <c r="J243" s="46" t="inlineStr">
        <is>
          <t>63.56</t>
        </is>
      </c>
      <c r="K243" s="46" t="inlineStr">
        <is>
          <t>Gemma3:27b</t>
        </is>
      </c>
      <c r="L243" s="46" t="inlineStr">
        <is>
          <t>0.3</t>
        </is>
      </c>
      <c r="M243" s="73" t="inlineStr">
        <is>
          <t>Complete</t>
        </is>
      </c>
    </row>
    <row r="244" ht="13.5" customHeight="1" s="38">
      <c r="A244" s="46" t="inlineStr">
        <is>
          <t>R_S1_SC05_I01</t>
        </is>
      </c>
      <c r="B244" s="46" t="inlineStr">
        <is>
          <t>R_0145</t>
        </is>
      </c>
      <c r="C244" s="46" t="inlineStr">
        <is>
          <t>Strategy 1 – Zero-Shot + Structured Template</t>
        </is>
      </c>
      <c r="D244" s="46" t="inlineStr">
        <is>
          <t>SC05</t>
        </is>
      </c>
      <c r="E244" s="46" t="inlineStr">
        <is>
          <t>Ransomware</t>
        </is>
      </c>
      <c r="F244" s="47" t="n">
        <v>1</v>
      </c>
      <c r="G244" s="46" t="inlineStr">
        <is>
          <t>Gemma3:27b via Ollama</t>
        </is>
      </c>
      <c r="H244" s="48" t="n">
        <v>46162</v>
      </c>
      <c r="I244" s="46" t="inlineStr">
        <is>
          <t>10.407</t>
        </is>
      </c>
      <c r="J244" s="46" t="inlineStr">
        <is>
          <t>64.95</t>
        </is>
      </c>
      <c r="K244" s="46" t="inlineStr">
        <is>
          <t>Gemma3:27b</t>
        </is>
      </c>
      <c r="L244" s="46" t="inlineStr">
        <is>
          <t>0.3</t>
        </is>
      </c>
      <c r="M244" s="73" t="inlineStr">
        <is>
          <t>Complete</t>
        </is>
      </c>
    </row>
    <row r="245" ht="13.5" customHeight="1" s="38">
      <c r="A245" s="46" t="inlineStr">
        <is>
          <t>R_S1_SC05_I02</t>
        </is>
      </c>
      <c r="B245" s="46" t="inlineStr">
        <is>
          <t>R_0030</t>
        </is>
      </c>
      <c r="C245" s="46" t="inlineStr">
        <is>
          <t>Strategy 1 – Zero-Shot + Structured Template</t>
        </is>
      </c>
      <c r="D245" s="46" t="inlineStr">
        <is>
          <t>SC05</t>
        </is>
      </c>
      <c r="E245" s="46" t="inlineStr">
        <is>
          <t>Ransomware</t>
        </is>
      </c>
      <c r="F245" s="47" t="n">
        <v>2</v>
      </c>
      <c r="G245" s="46" t="inlineStr">
        <is>
          <t>Gemma3:27b via Ollama</t>
        </is>
      </c>
      <c r="H245" s="48" t="n">
        <v>46162</v>
      </c>
      <c r="I245" s="46" t="inlineStr">
        <is>
          <t>10.036</t>
        </is>
      </c>
      <c r="J245" s="46" t="inlineStr">
        <is>
          <t>65.66</t>
        </is>
      </c>
      <c r="K245" s="46" t="inlineStr">
        <is>
          <t>Gemma3:27b</t>
        </is>
      </c>
      <c r="L245" s="46" t="inlineStr">
        <is>
          <t>0.3</t>
        </is>
      </c>
      <c r="M245" s="73" t="inlineStr">
        <is>
          <t>Complete</t>
        </is>
      </c>
    </row>
    <row r="246" ht="13.5" customHeight="1" s="38">
      <c r="A246" s="46" t="inlineStr">
        <is>
          <t>R_S1_SC05_I03</t>
        </is>
      </c>
      <c r="B246" s="46" t="inlineStr">
        <is>
          <t>R_0330</t>
        </is>
      </c>
      <c r="C246" s="46" t="inlineStr">
        <is>
          <t>Strategy 1 – Zero-Shot + Structured Template</t>
        </is>
      </c>
      <c r="D246" s="46" t="inlineStr">
        <is>
          <t>SC05</t>
        </is>
      </c>
      <c r="E246" s="46" t="inlineStr">
        <is>
          <t>Ransomware</t>
        </is>
      </c>
      <c r="F246" s="47" t="n">
        <v>3</v>
      </c>
      <c r="G246" s="46" t="inlineStr">
        <is>
          <t>Gemma3:27b via Ollama</t>
        </is>
      </c>
      <c r="H246" s="48" t="n">
        <v>46162</v>
      </c>
      <c r="I246" s="46" t="inlineStr">
        <is>
          <t>10.153</t>
        </is>
      </c>
      <c r="J246" s="46" t="inlineStr">
        <is>
          <t>63.92</t>
        </is>
      </c>
      <c r="K246" s="46" t="inlineStr">
        <is>
          <t>Gemma3:27b</t>
        </is>
      </c>
      <c r="L246" s="46" t="inlineStr">
        <is>
          <t>0.3</t>
        </is>
      </c>
      <c r="M246" s="73" t="inlineStr">
        <is>
          <t>Complete</t>
        </is>
      </c>
    </row>
    <row r="247" ht="13.5" customHeight="1" s="38">
      <c r="A247" s="46" t="inlineStr">
        <is>
          <t>R_S1_SC05_I04</t>
        </is>
      </c>
      <c r="B247" s="46" t="inlineStr">
        <is>
          <t>R_0122</t>
        </is>
      </c>
      <c r="C247" s="46" t="inlineStr">
        <is>
          <t>Strategy 1 – Zero-Shot + Structured Template</t>
        </is>
      </c>
      <c r="D247" s="46" t="inlineStr">
        <is>
          <t>SC05</t>
        </is>
      </c>
      <c r="E247" s="46" t="inlineStr">
        <is>
          <t>Ransomware</t>
        </is>
      </c>
      <c r="F247" s="47" t="n">
        <v>4</v>
      </c>
      <c r="G247" s="46" t="inlineStr">
        <is>
          <t>Gemma3:27b via Ollama</t>
        </is>
      </c>
      <c r="H247" s="48" t="n">
        <v>46162</v>
      </c>
      <c r="I247" s="46" t="inlineStr">
        <is>
          <t>10.318</t>
        </is>
      </c>
      <c r="J247" s="46" t="inlineStr">
        <is>
          <t>63.19</t>
        </is>
      </c>
      <c r="K247" s="46" t="inlineStr">
        <is>
          <t>Gemma3:27b</t>
        </is>
      </c>
      <c r="L247" s="46" t="inlineStr">
        <is>
          <t>0.3</t>
        </is>
      </c>
      <c r="M247" s="73" t="inlineStr">
        <is>
          <t>Complete</t>
        </is>
      </c>
    </row>
    <row r="248" ht="13.5" customHeight="1" s="38">
      <c r="A248" s="46" t="inlineStr">
        <is>
          <t>R_S1_SC05_I05</t>
        </is>
      </c>
      <c r="B248" s="46" t="inlineStr">
        <is>
          <t>R_0696</t>
        </is>
      </c>
      <c r="C248" s="46" t="inlineStr">
        <is>
          <t>Strategy 1 – Zero-Shot + Structured Template</t>
        </is>
      </c>
      <c r="D248" s="46" t="inlineStr">
        <is>
          <t>SC05</t>
        </is>
      </c>
      <c r="E248" s="46" t="inlineStr">
        <is>
          <t>Ransomware</t>
        </is>
      </c>
      <c r="F248" s="47" t="n">
        <v>5</v>
      </c>
      <c r="G248" s="46" t="inlineStr">
        <is>
          <t>Gemma3:27b via Ollama</t>
        </is>
      </c>
      <c r="H248" s="48" t="n">
        <v>46162</v>
      </c>
      <c r="I248" s="46" t="inlineStr">
        <is>
          <t>10.493</t>
        </is>
      </c>
      <c r="J248" s="46" t="inlineStr">
        <is>
          <t>64.23</t>
        </is>
      </c>
      <c r="K248" s="46" t="inlineStr">
        <is>
          <t>Gemma3:27b</t>
        </is>
      </c>
      <c r="L248" s="46" t="inlineStr">
        <is>
          <t>0.3</t>
        </is>
      </c>
      <c r="M248" s="73" t="inlineStr">
        <is>
          <t>Complete</t>
        </is>
      </c>
    </row>
    <row r="249" ht="13.5" customHeight="1" s="38">
      <c r="A249" s="46" t="inlineStr">
        <is>
          <t>R_S1_SC05_I06</t>
        </is>
      </c>
      <c r="B249" s="46" t="inlineStr">
        <is>
          <t>R_0062</t>
        </is>
      </c>
      <c r="C249" s="46" t="inlineStr">
        <is>
          <t>Strategy 1 – Zero-Shot + Structured Template</t>
        </is>
      </c>
      <c r="D249" s="46" t="inlineStr">
        <is>
          <t>SC05</t>
        </is>
      </c>
      <c r="E249" s="46" t="inlineStr">
        <is>
          <t>Ransomware</t>
        </is>
      </c>
      <c r="F249" s="47" t="n">
        <v>6</v>
      </c>
      <c r="G249" s="46" t="inlineStr">
        <is>
          <t>Gemma3:27b via Ollama</t>
        </is>
      </c>
      <c r="H249" s="48" t="n">
        <v>46162</v>
      </c>
      <c r="I249" s="46" t="inlineStr">
        <is>
          <t>10.167</t>
        </is>
      </c>
      <c r="J249" s="46" t="inlineStr">
        <is>
          <t>64.03</t>
        </is>
      </c>
      <c r="K249" s="46" t="inlineStr">
        <is>
          <t>Gemma3:27b</t>
        </is>
      </c>
      <c r="L249" s="46" t="inlineStr">
        <is>
          <t>0.3</t>
        </is>
      </c>
      <c r="M249" s="73" t="inlineStr">
        <is>
          <t>Complete</t>
        </is>
      </c>
    </row>
    <row r="250" ht="13.5" customHeight="1" s="38">
      <c r="A250" s="46" t="inlineStr">
        <is>
          <t>R_S1_SC05_I07</t>
        </is>
      </c>
      <c r="B250" s="46" t="inlineStr">
        <is>
          <t>R_0334</t>
        </is>
      </c>
      <c r="C250" s="46" t="inlineStr">
        <is>
          <t>Strategy 1 – Zero-Shot + Structured Template</t>
        </is>
      </c>
      <c r="D250" s="46" t="inlineStr">
        <is>
          <t>SC05</t>
        </is>
      </c>
      <c r="E250" s="46" t="inlineStr">
        <is>
          <t>Ransomware</t>
        </is>
      </c>
      <c r="F250" s="47" t="n">
        <v>7</v>
      </c>
      <c r="G250" s="46" t="inlineStr">
        <is>
          <t>Gemma3:27b via Ollama</t>
        </is>
      </c>
      <c r="H250" s="48" t="n">
        <v>46162</v>
      </c>
      <c r="I250" s="46" t="inlineStr">
        <is>
          <t>10.732</t>
        </is>
      </c>
      <c r="J250" s="46" t="inlineStr">
        <is>
          <t>63.83</t>
        </is>
      </c>
      <c r="K250" s="46" t="inlineStr">
        <is>
          <t>Gemma3:27b</t>
        </is>
      </c>
      <c r="L250" s="46" t="inlineStr">
        <is>
          <t>0.3</t>
        </is>
      </c>
      <c r="M250" s="73" t="inlineStr">
        <is>
          <t>Complete</t>
        </is>
      </c>
    </row>
    <row r="251" ht="13.5" customHeight="1" s="38">
      <c r="A251" s="46" t="inlineStr">
        <is>
          <t>R_S1_SC05_I08</t>
        </is>
      </c>
      <c r="B251" s="46" t="inlineStr">
        <is>
          <t>R_0724</t>
        </is>
      </c>
      <c r="C251" s="46" t="inlineStr">
        <is>
          <t>Strategy 1 – Zero-Shot + Structured Template</t>
        </is>
      </c>
      <c r="D251" s="46" t="inlineStr">
        <is>
          <t>SC05</t>
        </is>
      </c>
      <c r="E251" s="46" t="inlineStr">
        <is>
          <t>Ransomware</t>
        </is>
      </c>
      <c r="F251" s="47" t="n">
        <v>8</v>
      </c>
      <c r="G251" s="46" t="inlineStr">
        <is>
          <t>Gemma3:27b via Ollama</t>
        </is>
      </c>
      <c r="H251" s="48" t="n">
        <v>46162</v>
      </c>
      <c r="I251" s="46" t="inlineStr">
        <is>
          <t>10.360</t>
        </is>
      </c>
      <c r="J251" s="46" t="inlineStr">
        <is>
          <t>63.90</t>
        </is>
      </c>
      <c r="K251" s="46" t="inlineStr">
        <is>
          <t>Gemma3:27b</t>
        </is>
      </c>
      <c r="L251" s="46" t="inlineStr">
        <is>
          <t>0.3</t>
        </is>
      </c>
      <c r="M251" s="73" t="inlineStr">
        <is>
          <t>Complete</t>
        </is>
      </c>
    </row>
    <row r="252" ht="13.5" customHeight="1" s="38">
      <c r="A252" s="46" t="inlineStr">
        <is>
          <t>R_S1_SC05_I09</t>
        </is>
      </c>
      <c r="B252" s="46" t="inlineStr">
        <is>
          <t>R_0006</t>
        </is>
      </c>
      <c r="C252" s="46" t="inlineStr">
        <is>
          <t>Strategy 1 – Zero-Shot + Structured Template</t>
        </is>
      </c>
      <c r="D252" s="46" t="inlineStr">
        <is>
          <t>SC05</t>
        </is>
      </c>
      <c r="E252" s="46" t="inlineStr">
        <is>
          <t>Ransomware</t>
        </is>
      </c>
      <c r="F252" s="47" t="n">
        <v>9</v>
      </c>
      <c r="G252" s="46" t="inlineStr">
        <is>
          <t>Gemma3:27b via Ollama</t>
        </is>
      </c>
      <c r="H252" s="48" t="n">
        <v>46162</v>
      </c>
      <c r="I252" s="46" t="inlineStr">
        <is>
          <t>10.609</t>
        </is>
      </c>
      <c r="J252" s="46" t="inlineStr">
        <is>
          <t>65.89</t>
        </is>
      </c>
      <c r="K252" s="46" t="inlineStr">
        <is>
          <t>Gemma3:27b</t>
        </is>
      </c>
      <c r="L252" s="46" t="inlineStr">
        <is>
          <t>0.3</t>
        </is>
      </c>
      <c r="M252" s="73" t="inlineStr">
        <is>
          <t>Complete</t>
        </is>
      </c>
    </row>
    <row r="253" ht="13.5" customHeight="1" s="38">
      <c r="A253" s="46" t="inlineStr">
        <is>
          <t>R_S1_SC05_I10</t>
        </is>
      </c>
      <c r="B253" s="46" t="inlineStr">
        <is>
          <t>R_0309</t>
        </is>
      </c>
      <c r="C253" s="46" t="inlineStr">
        <is>
          <t>Strategy 1 – Zero-Shot + Structured Template</t>
        </is>
      </c>
      <c r="D253" s="46" t="inlineStr">
        <is>
          <t>SC05</t>
        </is>
      </c>
      <c r="E253" s="46" t="inlineStr">
        <is>
          <t>Ransomware</t>
        </is>
      </c>
      <c r="F253" s="47" t="n">
        <v>10</v>
      </c>
      <c r="G253" s="46" t="inlineStr">
        <is>
          <t>Gemma3:27b via Ollama</t>
        </is>
      </c>
      <c r="H253" s="48" t="n">
        <v>46162</v>
      </c>
      <c r="I253" s="46" t="inlineStr">
        <is>
          <t>10.467</t>
        </is>
      </c>
      <c r="J253" s="46" t="inlineStr">
        <is>
          <t>64.68</t>
        </is>
      </c>
      <c r="K253" s="46" t="inlineStr">
        <is>
          <t>Gemma3:27b</t>
        </is>
      </c>
      <c r="L253" s="46" t="inlineStr">
        <is>
          <t>0.3</t>
        </is>
      </c>
      <c r="M253" s="73" t="inlineStr">
        <is>
          <t>Complete</t>
        </is>
      </c>
    </row>
    <row r="254" ht="13.5" customHeight="1" s="38">
      <c r="A254" s="46" t="inlineStr">
        <is>
          <t>S_S1_SC01_I01</t>
        </is>
      </c>
      <c r="B254" s="46" t="inlineStr">
        <is>
          <t>R_0652</t>
        </is>
      </c>
      <c r="C254" s="46" t="inlineStr">
        <is>
          <t>Strategy 1 – Zero-Shot + Structured Template</t>
        </is>
      </c>
      <c r="D254" s="46" t="inlineStr">
        <is>
          <t>SC01</t>
        </is>
      </c>
      <c r="E254" s="46" t="inlineStr">
        <is>
          <t>Supply Chain</t>
        </is>
      </c>
      <c r="F254" s="47" t="n">
        <v>1</v>
      </c>
      <c r="G254" s="46" t="inlineStr">
        <is>
          <t>Gemma3:27b via Ollama</t>
        </is>
      </c>
      <c r="H254" s="48" t="n">
        <v>46162</v>
      </c>
      <c r="I254" s="46" t="inlineStr">
        <is>
          <t>11.361</t>
        </is>
      </c>
      <c r="J254" s="46" t="inlineStr">
        <is>
          <t>64.87</t>
        </is>
      </c>
      <c r="K254" s="46" t="inlineStr">
        <is>
          <t>Gemma3:27b</t>
        </is>
      </c>
      <c r="L254" s="46" t="inlineStr">
        <is>
          <t>0.3</t>
        </is>
      </c>
      <c r="M254" s="73" t="inlineStr">
        <is>
          <t>Complete</t>
        </is>
      </c>
    </row>
    <row r="255" ht="13.5" customHeight="1" s="38">
      <c r="A255" s="46" t="inlineStr">
        <is>
          <t>S_S1_SC01_I02</t>
        </is>
      </c>
      <c r="B255" s="46" t="inlineStr">
        <is>
          <t>R_0456</t>
        </is>
      </c>
      <c r="C255" s="46" t="inlineStr">
        <is>
          <t>Strategy 1 – Zero-Shot + Structured Template</t>
        </is>
      </c>
      <c r="D255" s="46" t="inlineStr">
        <is>
          <t>SC01</t>
        </is>
      </c>
      <c r="E255" s="46" t="inlineStr">
        <is>
          <t>Supply Chain</t>
        </is>
      </c>
      <c r="F255" s="47" t="n">
        <v>2</v>
      </c>
      <c r="G255" s="46" t="inlineStr">
        <is>
          <t>Gemma3:27b via Ollama</t>
        </is>
      </c>
      <c r="H255" s="48" t="n">
        <v>46162</v>
      </c>
      <c r="I255" s="46" t="inlineStr">
        <is>
          <t>9.807</t>
        </is>
      </c>
      <c r="J255" s="46" t="inlineStr">
        <is>
          <t>65.26</t>
        </is>
      </c>
      <c r="K255" s="46" t="inlineStr">
        <is>
          <t>Gemma3:27b</t>
        </is>
      </c>
      <c r="L255" s="46" t="inlineStr">
        <is>
          <t>0.3</t>
        </is>
      </c>
      <c r="M255" s="73" t="inlineStr">
        <is>
          <t>Complete</t>
        </is>
      </c>
    </row>
    <row r="256" ht="13.5" customHeight="1" s="38">
      <c r="A256" s="46" t="inlineStr">
        <is>
          <t>S_S1_SC01_I03</t>
        </is>
      </c>
      <c r="B256" s="46" t="inlineStr">
        <is>
          <t>R_0648</t>
        </is>
      </c>
      <c r="C256" s="46" t="inlineStr">
        <is>
          <t>Strategy 1 – Zero-Shot + Structured Template</t>
        </is>
      </c>
      <c r="D256" s="46" t="inlineStr">
        <is>
          <t>SC01</t>
        </is>
      </c>
      <c r="E256" s="46" t="inlineStr">
        <is>
          <t>Supply Chain</t>
        </is>
      </c>
      <c r="F256" s="47" t="n">
        <v>3</v>
      </c>
      <c r="G256" s="46" t="inlineStr">
        <is>
          <t>Gemma3:27b via Ollama</t>
        </is>
      </c>
      <c r="H256" s="48" t="n">
        <v>46162</v>
      </c>
      <c r="I256" s="46" t="inlineStr">
        <is>
          <t>10.745</t>
        </is>
      </c>
      <c r="J256" s="46" t="inlineStr">
        <is>
          <t>63.84</t>
        </is>
      </c>
      <c r="K256" s="46" t="inlineStr">
        <is>
          <t>Gemma3:27b</t>
        </is>
      </c>
      <c r="L256" s="46" t="inlineStr">
        <is>
          <t>0.3</t>
        </is>
      </c>
      <c r="M256" s="73" t="inlineStr">
        <is>
          <t>Complete</t>
        </is>
      </c>
    </row>
    <row r="257" ht="13.5" customHeight="1" s="38">
      <c r="A257" s="46" t="inlineStr">
        <is>
          <t>S_S1_SC01_I04</t>
        </is>
      </c>
      <c r="B257" s="46" t="inlineStr">
        <is>
          <t>R_0742</t>
        </is>
      </c>
      <c r="C257" s="46" t="inlineStr">
        <is>
          <t>Strategy 1 – Zero-Shot + Structured Template</t>
        </is>
      </c>
      <c r="D257" s="46" t="inlineStr">
        <is>
          <t>SC01</t>
        </is>
      </c>
      <c r="E257" s="46" t="inlineStr">
        <is>
          <t>Supply Chain</t>
        </is>
      </c>
      <c r="F257" s="47" t="n">
        <v>4</v>
      </c>
      <c r="G257" s="46" t="inlineStr">
        <is>
          <t>Gemma3:27b via Ollama</t>
        </is>
      </c>
      <c r="H257" s="48" t="n">
        <v>46162</v>
      </c>
      <c r="I257" s="46" t="inlineStr">
        <is>
          <t>9.892</t>
        </is>
      </c>
      <c r="J257" s="46" t="inlineStr">
        <is>
          <t>64.80</t>
        </is>
      </c>
      <c r="K257" s="46" t="inlineStr">
        <is>
          <t>Gemma3:27b</t>
        </is>
      </c>
      <c r="L257" s="46" t="inlineStr">
        <is>
          <t>0.3</t>
        </is>
      </c>
      <c r="M257" s="73" t="inlineStr">
        <is>
          <t>Complete</t>
        </is>
      </c>
    </row>
    <row r="258" ht="13.5" customHeight="1" s="38">
      <c r="A258" s="46" t="inlineStr">
        <is>
          <t>S_S1_SC01_I05</t>
        </is>
      </c>
      <c r="B258" s="46" t="inlineStr">
        <is>
          <t>R_0194</t>
        </is>
      </c>
      <c r="C258" s="46" t="inlineStr">
        <is>
          <t>Strategy 1 – Zero-Shot + Structured Template</t>
        </is>
      </c>
      <c r="D258" s="46" t="inlineStr">
        <is>
          <t>SC01</t>
        </is>
      </c>
      <c r="E258" s="46" t="inlineStr">
        <is>
          <t>Supply Chain</t>
        </is>
      </c>
      <c r="F258" s="47" t="n">
        <v>5</v>
      </c>
      <c r="G258" s="46" t="inlineStr">
        <is>
          <t>Gemma3:27b via Ollama</t>
        </is>
      </c>
      <c r="H258" s="48" t="n">
        <v>46162</v>
      </c>
      <c r="I258" s="46" t="inlineStr">
        <is>
          <t>9.40</t>
        </is>
      </c>
      <c r="J258" s="46" t="inlineStr">
        <is>
          <t>64.76</t>
        </is>
      </c>
      <c r="K258" s="46" t="inlineStr">
        <is>
          <t>Gemma3:27b</t>
        </is>
      </c>
      <c r="L258" s="46" t="inlineStr">
        <is>
          <t>0.3</t>
        </is>
      </c>
      <c r="M258" s="73" t="inlineStr">
        <is>
          <t>Complete</t>
        </is>
      </c>
    </row>
    <row r="259" ht="13.5" customHeight="1" s="38">
      <c r="A259" s="46" t="inlineStr">
        <is>
          <t>S_S1_SC01_I06</t>
        </is>
      </c>
      <c r="B259" s="46" t="inlineStr">
        <is>
          <t>R_0021</t>
        </is>
      </c>
      <c r="C259" s="46" t="inlineStr">
        <is>
          <t>Strategy 1 – Zero-Shot + Structured Template</t>
        </is>
      </c>
      <c r="D259" s="46" t="inlineStr">
        <is>
          <t>SC01</t>
        </is>
      </c>
      <c r="E259" s="46" t="inlineStr">
        <is>
          <t>Supply Chain</t>
        </is>
      </c>
      <c r="F259" s="47" t="n">
        <v>6</v>
      </c>
      <c r="G259" s="46" t="inlineStr">
        <is>
          <t>Gemma3:27b via Ollama</t>
        </is>
      </c>
      <c r="H259" s="48" t="n">
        <v>46162</v>
      </c>
      <c r="I259" s="46" t="inlineStr">
        <is>
          <t>9.751</t>
        </is>
      </c>
      <c r="J259" s="46" t="inlineStr">
        <is>
          <t>64.71</t>
        </is>
      </c>
      <c r="K259" s="46" t="inlineStr">
        <is>
          <t>Gemma3:27b</t>
        </is>
      </c>
      <c r="L259" s="46" t="inlineStr">
        <is>
          <t>0.3</t>
        </is>
      </c>
      <c r="M259" s="73" t="inlineStr">
        <is>
          <t>Complete</t>
        </is>
      </c>
    </row>
    <row r="260" ht="13.5" customHeight="1" s="38">
      <c r="A260" s="46" t="inlineStr">
        <is>
          <t>S_S1_SC01_I07</t>
        </is>
      </c>
      <c r="B260" s="46" t="inlineStr">
        <is>
          <t>R_0754</t>
        </is>
      </c>
      <c r="C260" s="46" t="inlineStr">
        <is>
          <t>Strategy 1 – Zero-Shot + Structured Template</t>
        </is>
      </c>
      <c r="D260" s="46" t="inlineStr">
        <is>
          <t>SC01</t>
        </is>
      </c>
      <c r="E260" s="46" t="inlineStr">
        <is>
          <t>Supply Chain</t>
        </is>
      </c>
      <c r="F260" s="47" t="n">
        <v>7</v>
      </c>
      <c r="G260" s="46" t="inlineStr">
        <is>
          <t>Gemma3:27b via Ollama</t>
        </is>
      </c>
      <c r="H260" s="48" t="n">
        <v>46162</v>
      </c>
      <c r="I260" s="46" t="inlineStr">
        <is>
          <t>10.227</t>
        </is>
      </c>
      <c r="J260" s="46" t="inlineStr">
        <is>
          <t>64.05</t>
        </is>
      </c>
      <c r="K260" s="46" t="inlineStr">
        <is>
          <t>Gemma3:27b</t>
        </is>
      </c>
      <c r="L260" s="46" t="inlineStr">
        <is>
          <t>0.3</t>
        </is>
      </c>
      <c r="M260" s="73" t="inlineStr">
        <is>
          <t>Complete</t>
        </is>
      </c>
    </row>
    <row r="261" ht="13.5" customHeight="1" s="38">
      <c r="A261" s="46" t="inlineStr">
        <is>
          <t>S_S1_SC01_I08</t>
        </is>
      </c>
      <c r="B261" s="46" t="inlineStr">
        <is>
          <t>R_0562</t>
        </is>
      </c>
      <c r="C261" s="46" t="inlineStr">
        <is>
          <t>Strategy 1 – Zero-Shot + Structured Template</t>
        </is>
      </c>
      <c r="D261" s="46" t="inlineStr">
        <is>
          <t>SC01</t>
        </is>
      </c>
      <c r="E261" s="46" t="inlineStr">
        <is>
          <t>Supply Chain</t>
        </is>
      </c>
      <c r="F261" s="47" t="n">
        <v>8</v>
      </c>
      <c r="G261" s="46" t="inlineStr">
        <is>
          <t>Gemma3:27b via Ollama</t>
        </is>
      </c>
      <c r="H261" s="48" t="n">
        <v>46162</v>
      </c>
      <c r="I261" s="46" t="inlineStr">
        <is>
          <t>10.526</t>
        </is>
      </c>
      <c r="J261" s="46" t="inlineStr">
        <is>
          <t>64.70</t>
        </is>
      </c>
      <c r="K261" s="46" t="inlineStr">
        <is>
          <t>Gemma3:27b</t>
        </is>
      </c>
      <c r="L261" s="46" t="inlineStr">
        <is>
          <t>0.3</t>
        </is>
      </c>
      <c r="M261" s="73" t="inlineStr">
        <is>
          <t>Complete</t>
        </is>
      </c>
    </row>
    <row r="262" ht="13.5" customHeight="1" s="38">
      <c r="A262" s="46" t="inlineStr">
        <is>
          <t>S_S1_SC01_I09</t>
        </is>
      </c>
      <c r="B262" s="46" t="inlineStr">
        <is>
          <t>R_0180</t>
        </is>
      </c>
      <c r="C262" s="46" t="inlineStr">
        <is>
          <t>Strategy 1 – Zero-Shot + Structured Template</t>
        </is>
      </c>
      <c r="D262" s="46" t="inlineStr">
        <is>
          <t>SC01</t>
        </is>
      </c>
      <c r="E262" s="46" t="inlineStr">
        <is>
          <t>Supply Chain</t>
        </is>
      </c>
      <c r="F262" s="47" t="n">
        <v>9</v>
      </c>
      <c r="G262" s="46" t="inlineStr">
        <is>
          <t>Gemma3:27b via Ollama</t>
        </is>
      </c>
      <c r="H262" s="48" t="n">
        <v>46162</v>
      </c>
      <c r="I262" s="46" t="inlineStr">
        <is>
          <t>9.892</t>
        </is>
      </c>
      <c r="J262" s="46" t="inlineStr">
        <is>
          <t>64.60</t>
        </is>
      </c>
      <c r="K262" s="46" t="inlineStr">
        <is>
          <t>Gemma3:27b</t>
        </is>
      </c>
      <c r="L262" s="46" t="inlineStr">
        <is>
          <t>0.3</t>
        </is>
      </c>
      <c r="M262" s="73" t="inlineStr">
        <is>
          <t>Complete</t>
        </is>
      </c>
    </row>
    <row r="263" ht="13.5" customHeight="1" s="38">
      <c r="A263" s="46" t="inlineStr">
        <is>
          <t>S_S1_SC01_I10</t>
        </is>
      </c>
      <c r="B263" s="46" t="inlineStr">
        <is>
          <t>R_0027</t>
        </is>
      </c>
      <c r="C263" s="46" t="inlineStr">
        <is>
          <t>Strategy 1 – Zero-Shot + Structured Template</t>
        </is>
      </c>
      <c r="D263" s="46" t="inlineStr">
        <is>
          <t>SC01</t>
        </is>
      </c>
      <c r="E263" s="46" t="inlineStr">
        <is>
          <t>Supply Chain</t>
        </is>
      </c>
      <c r="F263" s="47" t="n">
        <v>10</v>
      </c>
      <c r="G263" s="46" t="inlineStr">
        <is>
          <t>Gemma3:27b via Ollama</t>
        </is>
      </c>
      <c r="H263" s="48" t="n">
        <v>46162</v>
      </c>
      <c r="I263" s="46" t="inlineStr">
        <is>
          <t>10.415</t>
        </is>
      </c>
      <c r="J263" s="46" t="inlineStr">
        <is>
          <t>64.90</t>
        </is>
      </c>
      <c r="K263" s="46" t="inlineStr">
        <is>
          <t>Gemma3:27b</t>
        </is>
      </c>
      <c r="L263" s="46" t="inlineStr">
        <is>
          <t>0.3</t>
        </is>
      </c>
      <c r="M263" s="73" t="inlineStr">
        <is>
          <t>Complete</t>
        </is>
      </c>
    </row>
    <row r="264" ht="13.5" customHeight="1" s="38">
      <c r="A264" s="46" t="inlineStr">
        <is>
          <t>S_S1_SC02_I01</t>
        </is>
      </c>
      <c r="B264" s="46" t="inlineStr">
        <is>
          <t>R_0773</t>
        </is>
      </c>
      <c r="C264" s="46" t="inlineStr">
        <is>
          <t>Strategy 1 – Zero-Shot + Structured Template</t>
        </is>
      </c>
      <c r="D264" s="46" t="inlineStr">
        <is>
          <t>SC02</t>
        </is>
      </c>
      <c r="E264" s="46" t="inlineStr">
        <is>
          <t>Supply Chain</t>
        </is>
      </c>
      <c r="F264" s="47" t="n">
        <v>1</v>
      </c>
      <c r="G264" s="46" t="inlineStr">
        <is>
          <t>Gemma3:27b via Ollama</t>
        </is>
      </c>
      <c r="H264" s="48" t="n">
        <v>46163</v>
      </c>
      <c r="I264" s="46" t="inlineStr">
        <is>
          <t>10.031</t>
        </is>
      </c>
      <c r="J264" s="46" t="inlineStr">
        <is>
          <t>64.70</t>
        </is>
      </c>
      <c r="K264" s="46" t="inlineStr">
        <is>
          <t>Gemma3:27b</t>
        </is>
      </c>
      <c r="L264" s="46" t="inlineStr">
        <is>
          <t>0.3</t>
        </is>
      </c>
      <c r="M264" s="73" t="inlineStr">
        <is>
          <t>Complete</t>
        </is>
      </c>
    </row>
    <row r="265" ht="13.5" customHeight="1" s="38">
      <c r="A265" s="46" t="inlineStr">
        <is>
          <t>S_S1_SC02_I02</t>
        </is>
      </c>
      <c r="B265" s="46" t="inlineStr">
        <is>
          <t>R_0639</t>
        </is>
      </c>
      <c r="C265" s="46" t="inlineStr">
        <is>
          <t>Strategy 1 – Zero-Shot + Structured Template</t>
        </is>
      </c>
      <c r="D265" s="46" t="inlineStr">
        <is>
          <t>SC02</t>
        </is>
      </c>
      <c r="E265" s="46" t="inlineStr">
        <is>
          <t>Supply Chain</t>
        </is>
      </c>
      <c r="F265" s="47" t="n">
        <v>2</v>
      </c>
      <c r="G265" s="46" t="inlineStr">
        <is>
          <t>Gemma3:27b via Ollama</t>
        </is>
      </c>
      <c r="H265" s="48" t="n">
        <v>46163</v>
      </c>
      <c r="I265" s="46" t="inlineStr">
        <is>
          <t>9.629</t>
        </is>
      </c>
      <c r="J265" s="46" t="inlineStr">
        <is>
          <t>66.37</t>
        </is>
      </c>
      <c r="K265" s="46" t="inlineStr">
        <is>
          <t>Gemma3:27b</t>
        </is>
      </c>
      <c r="L265" s="46" t="inlineStr">
        <is>
          <t>0.3</t>
        </is>
      </c>
      <c r="M265" s="73" t="inlineStr">
        <is>
          <t>Complete</t>
        </is>
      </c>
    </row>
    <row r="266" ht="13.5" customHeight="1" s="38">
      <c r="A266" s="46" t="inlineStr">
        <is>
          <t>S_S1_SC02_I03</t>
        </is>
      </c>
      <c r="B266" s="46" t="inlineStr">
        <is>
          <t>R_0981</t>
        </is>
      </c>
      <c r="C266" s="46" t="inlineStr">
        <is>
          <t>Strategy 1 – Zero-Shot + Structured Template</t>
        </is>
      </c>
      <c r="D266" s="46" t="inlineStr">
        <is>
          <t>SC02</t>
        </is>
      </c>
      <c r="E266" s="46" t="inlineStr">
        <is>
          <t>Supply Chain</t>
        </is>
      </c>
      <c r="F266" s="47" t="n">
        <v>3</v>
      </c>
      <c r="G266" s="46" t="inlineStr">
        <is>
          <t>Gemma3:27b via Ollama</t>
        </is>
      </c>
      <c r="H266" s="48" t="n">
        <v>46163</v>
      </c>
      <c r="I266" s="46" t="inlineStr">
        <is>
          <t>9.297</t>
        </is>
      </c>
      <c r="J266" s="46" t="inlineStr">
        <is>
          <t>65.83</t>
        </is>
      </c>
      <c r="K266" s="46" t="inlineStr">
        <is>
          <t>Gemma3:27b</t>
        </is>
      </c>
      <c r="L266" s="46" t="inlineStr">
        <is>
          <t>0.3</t>
        </is>
      </c>
      <c r="M266" s="73" t="inlineStr">
        <is>
          <t>Complete</t>
        </is>
      </c>
    </row>
    <row r="267" ht="13.5" customHeight="1" s="38">
      <c r="A267" s="46" t="inlineStr">
        <is>
          <t>S_S1_SC02_I04</t>
        </is>
      </c>
      <c r="B267" s="46" t="inlineStr">
        <is>
          <t>R_0130</t>
        </is>
      </c>
      <c r="C267" s="46" t="inlineStr">
        <is>
          <t>Strategy 1 – Zero-Shot + Structured Template</t>
        </is>
      </c>
      <c r="D267" s="46" t="inlineStr">
        <is>
          <t>SC02</t>
        </is>
      </c>
      <c r="E267" s="46" t="inlineStr">
        <is>
          <t>Supply Chain</t>
        </is>
      </c>
      <c r="F267" s="47" t="n">
        <v>4</v>
      </c>
      <c r="G267" s="46" t="inlineStr">
        <is>
          <t>Gemma3:27b via Ollama</t>
        </is>
      </c>
      <c r="H267" s="48" t="n">
        <v>46163</v>
      </c>
      <c r="I267" s="46" t="inlineStr">
        <is>
          <t>9.972</t>
        </is>
      </c>
      <c r="J267" s="46" t="inlineStr">
        <is>
          <t>64.28</t>
        </is>
      </c>
      <c r="K267" s="46" t="inlineStr">
        <is>
          <t>Gemma3:27b</t>
        </is>
      </c>
      <c r="L267" s="46" t="inlineStr">
        <is>
          <t>0.3</t>
        </is>
      </c>
      <c r="M267" s="73" t="inlineStr">
        <is>
          <t>Complete</t>
        </is>
      </c>
    </row>
    <row r="268" ht="13.5" customHeight="1" s="38">
      <c r="A268" s="46" t="inlineStr">
        <is>
          <t>S_S1_SC02_I05</t>
        </is>
      </c>
      <c r="B268" s="46" t="inlineStr">
        <is>
          <t>R_0539</t>
        </is>
      </c>
      <c r="C268" s="46" t="inlineStr">
        <is>
          <t>Strategy 1 – Zero-Shot + Structured Template</t>
        </is>
      </c>
      <c r="D268" s="46" t="inlineStr">
        <is>
          <t>SC02</t>
        </is>
      </c>
      <c r="E268" s="46" t="inlineStr">
        <is>
          <t>Supply Chain</t>
        </is>
      </c>
      <c r="F268" s="47" t="n">
        <v>5</v>
      </c>
      <c r="G268" s="46" t="inlineStr">
        <is>
          <t>Gemma3:27b via Ollama</t>
        </is>
      </c>
      <c r="H268" s="48" t="n">
        <v>46163</v>
      </c>
      <c r="I268" s="46" t="inlineStr">
        <is>
          <t>9.153</t>
        </is>
      </c>
      <c r="J268" s="46" t="inlineStr">
        <is>
          <t>65.33</t>
        </is>
      </c>
      <c r="K268" s="46" t="inlineStr">
        <is>
          <t>Gemma3:27b</t>
        </is>
      </c>
      <c r="L268" s="46" t="inlineStr">
        <is>
          <t>0.3</t>
        </is>
      </c>
      <c r="M268" s="73" t="inlineStr">
        <is>
          <t>Complete</t>
        </is>
      </c>
    </row>
    <row r="269" ht="13.5" customHeight="1" s="38">
      <c r="A269" s="46" t="inlineStr">
        <is>
          <t>S_S1_SC02_I06</t>
        </is>
      </c>
      <c r="B269" s="46" t="inlineStr">
        <is>
          <t>R_0869</t>
        </is>
      </c>
      <c r="C269" s="46" t="inlineStr">
        <is>
          <t>Strategy 1 – Zero-Shot + Structured Template</t>
        </is>
      </c>
      <c r="D269" s="46" t="inlineStr">
        <is>
          <t>SC02</t>
        </is>
      </c>
      <c r="E269" s="46" t="inlineStr">
        <is>
          <t>Supply Chain</t>
        </is>
      </c>
      <c r="F269" s="47" t="n">
        <v>6</v>
      </c>
      <c r="G269" s="46" t="inlineStr">
        <is>
          <t>Gemma3:27b via Ollama</t>
        </is>
      </c>
      <c r="H269" s="48" t="n">
        <v>46163</v>
      </c>
      <c r="I269" s="46" t="inlineStr">
        <is>
          <t>9.386</t>
        </is>
      </c>
      <c r="J269" s="46" t="inlineStr">
        <is>
          <t>65.794</t>
        </is>
      </c>
      <c r="K269" s="46" t="inlineStr">
        <is>
          <t>Gemma3:27b</t>
        </is>
      </c>
      <c r="L269" s="46" t="inlineStr">
        <is>
          <t>0.3</t>
        </is>
      </c>
      <c r="M269" s="73" t="inlineStr">
        <is>
          <t>Complete</t>
        </is>
      </c>
    </row>
    <row r="270" ht="13.5" customHeight="1" s="38">
      <c r="A270" s="46" t="inlineStr">
        <is>
          <t>S_S1_SC02_I07</t>
        </is>
      </c>
      <c r="B270" s="46" t="inlineStr">
        <is>
          <t>R_0273</t>
        </is>
      </c>
      <c r="C270" s="46" t="inlineStr">
        <is>
          <t>Strategy 1 – Zero-Shot + Structured Template</t>
        </is>
      </c>
      <c r="D270" s="46" t="inlineStr">
        <is>
          <t>SC02</t>
        </is>
      </c>
      <c r="E270" s="46" t="inlineStr">
        <is>
          <t>Supply Chain</t>
        </is>
      </c>
      <c r="F270" s="47" t="n">
        <v>7</v>
      </c>
      <c r="G270" s="46" t="inlineStr">
        <is>
          <t>Gemma3:27b via Ollama</t>
        </is>
      </c>
      <c r="H270" s="48" t="n">
        <v>46163</v>
      </c>
      <c r="I270" s="46" t="inlineStr">
        <is>
          <t>10.129</t>
        </is>
      </c>
      <c r="J270" s="46" t="inlineStr">
        <is>
          <t>64.37</t>
        </is>
      </c>
      <c r="K270" s="46" t="inlineStr">
        <is>
          <t>Gemma3:27b</t>
        </is>
      </c>
      <c r="L270" s="46" t="inlineStr">
        <is>
          <t>0.3</t>
        </is>
      </c>
      <c r="M270" s="73" t="inlineStr">
        <is>
          <t>Complete</t>
        </is>
      </c>
    </row>
    <row r="271" ht="13.5" customHeight="1" s="38">
      <c r="A271" s="46" t="inlineStr">
        <is>
          <t>S_S1_SC02_I08</t>
        </is>
      </c>
      <c r="B271" s="46" t="inlineStr">
        <is>
          <t>R_0583</t>
        </is>
      </c>
      <c r="C271" s="46" t="inlineStr">
        <is>
          <t>Strategy 1 – Zero-Shot + Structured Template</t>
        </is>
      </c>
      <c r="D271" s="46" t="inlineStr">
        <is>
          <t>SC02</t>
        </is>
      </c>
      <c r="E271" s="46" t="inlineStr">
        <is>
          <t>Supply Chain</t>
        </is>
      </c>
      <c r="F271" s="47" t="n">
        <v>8</v>
      </c>
      <c r="G271" s="46" t="inlineStr">
        <is>
          <t>Gemma3:27b via Ollama</t>
        </is>
      </c>
      <c r="H271" s="48" t="n">
        <v>46163</v>
      </c>
      <c r="I271" s="46" t="inlineStr">
        <is>
          <t>9.459</t>
        </is>
      </c>
      <c r="J271" s="46" t="inlineStr">
        <is>
          <t>65.23</t>
        </is>
      </c>
      <c r="K271" s="46" t="inlineStr">
        <is>
          <t>Gemma3:27b</t>
        </is>
      </c>
      <c r="L271" s="46" t="inlineStr">
        <is>
          <t>0.3</t>
        </is>
      </c>
      <c r="M271" s="73" t="inlineStr">
        <is>
          <t>Complete</t>
        </is>
      </c>
    </row>
    <row r="272" ht="13.5" customHeight="1" s="38">
      <c r="A272" s="46" t="inlineStr">
        <is>
          <t>S_S1_SC02_I09</t>
        </is>
      </c>
      <c r="B272" s="46" t="inlineStr">
        <is>
          <t>R_0382</t>
        </is>
      </c>
      <c r="C272" s="46" t="inlineStr">
        <is>
          <t>Strategy 1 – Zero-Shot + Structured Template</t>
        </is>
      </c>
      <c r="D272" s="46" t="inlineStr">
        <is>
          <t>SC02</t>
        </is>
      </c>
      <c r="E272" s="46" t="inlineStr">
        <is>
          <t>Supply Chain</t>
        </is>
      </c>
      <c r="F272" s="47" t="n">
        <v>9</v>
      </c>
      <c r="G272" s="46" t="inlineStr">
        <is>
          <t>Gemma3:27b via Ollama</t>
        </is>
      </c>
      <c r="H272" s="48" t="n">
        <v>46163</v>
      </c>
      <c r="I272" s="46" t="inlineStr">
        <is>
          <t>9.723</t>
        </is>
      </c>
      <c r="J272" s="46" t="inlineStr">
        <is>
          <t>64.79</t>
        </is>
      </c>
      <c r="K272" s="46" t="inlineStr">
        <is>
          <t>Gemma3:27b</t>
        </is>
      </c>
      <c r="L272" s="46" t="inlineStr">
        <is>
          <t>0.3</t>
        </is>
      </c>
      <c r="M272" s="73" t="inlineStr">
        <is>
          <t>Complete</t>
        </is>
      </c>
    </row>
    <row r="273" ht="13.5" customHeight="1" s="38">
      <c r="A273" s="46" t="inlineStr">
        <is>
          <t>S_S1_SC02_I10</t>
        </is>
      </c>
      <c r="B273" s="46" t="inlineStr">
        <is>
          <t>R_0233</t>
        </is>
      </c>
      <c r="C273" s="46" t="inlineStr">
        <is>
          <t>Strategy 1 – Zero-Shot + Structured Template</t>
        </is>
      </c>
      <c r="D273" s="46" t="inlineStr">
        <is>
          <t>SC02</t>
        </is>
      </c>
      <c r="E273" s="46" t="inlineStr">
        <is>
          <t>Supply Chain</t>
        </is>
      </c>
      <c r="F273" s="47" t="n">
        <v>10</v>
      </c>
      <c r="G273" s="46" t="inlineStr">
        <is>
          <t>Gemma3:27b via Ollama</t>
        </is>
      </c>
      <c r="H273" s="48" t="n">
        <v>46163</v>
      </c>
      <c r="I273" s="46" t="inlineStr">
        <is>
          <t>10.233</t>
        </is>
      </c>
      <c r="J273" s="46" t="inlineStr">
        <is>
          <t>64.79</t>
        </is>
      </c>
      <c r="K273" s="46" t="inlineStr">
        <is>
          <t>Gemma3:27b</t>
        </is>
      </c>
      <c r="L273" s="46" t="inlineStr">
        <is>
          <t>0.3</t>
        </is>
      </c>
      <c r="M273" s="73" t="inlineStr">
        <is>
          <t>Complete</t>
        </is>
      </c>
    </row>
    <row r="274" ht="13.5" customHeight="1" s="38">
      <c r="A274" s="46" t="inlineStr">
        <is>
          <t>S_S1_SC03_I01</t>
        </is>
      </c>
      <c r="B274" s="46" t="inlineStr">
        <is>
          <t>R_0810</t>
        </is>
      </c>
      <c r="C274" s="46" t="inlineStr">
        <is>
          <t>Strategy 1 – Zero-Shot + Structured Template</t>
        </is>
      </c>
      <c r="D274" s="46" t="inlineStr">
        <is>
          <t>SC03</t>
        </is>
      </c>
      <c r="E274" s="46" t="inlineStr">
        <is>
          <t>Supply Chain</t>
        </is>
      </c>
      <c r="F274" s="47" t="n">
        <v>1</v>
      </c>
      <c r="G274" s="46" t="inlineStr">
        <is>
          <t>Gemma3:27b via Ollama</t>
        </is>
      </c>
      <c r="H274" s="48" t="n">
        <v>46163</v>
      </c>
      <c r="I274" s="46" t="inlineStr">
        <is>
          <t>10.126</t>
        </is>
      </c>
      <c r="J274" s="46" t="inlineStr">
        <is>
          <t>66.07</t>
        </is>
      </c>
      <c r="K274" s="46" t="inlineStr">
        <is>
          <t>Gemma3:27b</t>
        </is>
      </c>
      <c r="L274" s="46" t="inlineStr">
        <is>
          <t>0.3</t>
        </is>
      </c>
      <c r="M274" s="73" t="inlineStr">
        <is>
          <t>Complete</t>
        </is>
      </c>
    </row>
    <row r="275" ht="13.5" customHeight="1" s="38">
      <c r="A275" s="46" t="inlineStr">
        <is>
          <t>S_S1_SC03_I02</t>
        </is>
      </c>
      <c r="B275" s="46" t="inlineStr">
        <is>
          <t>R_0629</t>
        </is>
      </c>
      <c r="C275" s="46" t="inlineStr">
        <is>
          <t>Strategy 1 – Zero-Shot + Structured Template</t>
        </is>
      </c>
      <c r="D275" s="46" t="inlineStr">
        <is>
          <t>SC03</t>
        </is>
      </c>
      <c r="E275" s="46" t="inlineStr">
        <is>
          <t>Supply Chain</t>
        </is>
      </c>
      <c r="F275" s="47" t="n">
        <v>2</v>
      </c>
      <c r="G275" s="46" t="inlineStr">
        <is>
          <t>Gemma3:27b via Ollama</t>
        </is>
      </c>
      <c r="H275" s="48" t="n">
        <v>46163</v>
      </c>
      <c r="I275" s="46" t="inlineStr">
        <is>
          <t>9.846</t>
        </is>
      </c>
      <c r="J275" s="46" t="inlineStr">
        <is>
          <t>66.93</t>
        </is>
      </c>
      <c r="K275" s="46" t="inlineStr">
        <is>
          <t>Gemma3:27b</t>
        </is>
      </c>
      <c r="L275" s="46" t="inlineStr">
        <is>
          <t>0.3</t>
        </is>
      </c>
      <c r="M275" s="73" t="inlineStr">
        <is>
          <t>Complete</t>
        </is>
      </c>
    </row>
    <row r="276" ht="13.5" customHeight="1" s="38">
      <c r="A276" s="46" t="inlineStr">
        <is>
          <t>S_S1_SC03_I03</t>
        </is>
      </c>
      <c r="B276" s="46" t="inlineStr">
        <is>
          <t>R_0494</t>
        </is>
      </c>
      <c r="C276" s="46" t="inlineStr">
        <is>
          <t>Strategy 1 – Zero-Shot + Structured Template</t>
        </is>
      </c>
      <c r="D276" s="46" t="inlineStr">
        <is>
          <t>SC03</t>
        </is>
      </c>
      <c r="E276" s="46" t="inlineStr">
        <is>
          <t>Supply Chain</t>
        </is>
      </c>
      <c r="F276" s="47" t="n">
        <v>3</v>
      </c>
      <c r="G276" s="46" t="inlineStr">
        <is>
          <t>Gemma3:27b via Ollama</t>
        </is>
      </c>
      <c r="H276" s="48" t="n">
        <v>46163</v>
      </c>
      <c r="I276" s="46" t="inlineStr">
        <is>
          <t>9.840</t>
        </is>
      </c>
      <c r="J276" s="46" t="inlineStr">
        <is>
          <t>67.08</t>
        </is>
      </c>
      <c r="K276" s="46" t="inlineStr">
        <is>
          <t>Gemma3:27b</t>
        </is>
      </c>
      <c r="L276" s="46" t="inlineStr">
        <is>
          <t>0.3</t>
        </is>
      </c>
      <c r="M276" s="73" t="inlineStr">
        <is>
          <t>Complete</t>
        </is>
      </c>
    </row>
    <row r="277" ht="13.5" customHeight="1" s="38">
      <c r="A277" s="46" t="inlineStr">
        <is>
          <t>S_S1_SC03_I04</t>
        </is>
      </c>
      <c r="B277" s="46" t="inlineStr">
        <is>
          <t>R_0612</t>
        </is>
      </c>
      <c r="C277" s="46" t="inlineStr">
        <is>
          <t>Strategy 1 – Zero-Shot + Structured Template</t>
        </is>
      </c>
      <c r="D277" s="46" t="inlineStr">
        <is>
          <t>SC03</t>
        </is>
      </c>
      <c r="E277" s="46" t="inlineStr">
        <is>
          <t>Supply Chain</t>
        </is>
      </c>
      <c r="F277" s="47" t="n">
        <v>4</v>
      </c>
      <c r="G277" s="46" t="inlineStr">
        <is>
          <t>Gemma3:27b via Ollama</t>
        </is>
      </c>
      <c r="H277" s="48" t="n">
        <v>46163</v>
      </c>
      <c r="I277" s="46" t="inlineStr">
        <is>
          <t>9.817</t>
        </is>
      </c>
      <c r="J277" s="46" t="inlineStr">
        <is>
          <t>64.07</t>
        </is>
      </c>
      <c r="K277" s="46" t="inlineStr">
        <is>
          <t>Gemma3:27b</t>
        </is>
      </c>
      <c r="L277" s="46" t="inlineStr">
        <is>
          <t>0.3</t>
        </is>
      </c>
      <c r="M277" s="73" t="inlineStr">
        <is>
          <t>Complete</t>
        </is>
      </c>
    </row>
    <row r="278" ht="13.5" customHeight="1" s="38">
      <c r="A278" s="46" t="inlineStr">
        <is>
          <t>S_S1_SC03_I05</t>
        </is>
      </c>
      <c r="B278" s="46" t="inlineStr">
        <is>
          <t>R_0365</t>
        </is>
      </c>
      <c r="C278" s="46" t="inlineStr">
        <is>
          <t>Strategy 1 – Zero-Shot + Structured Template</t>
        </is>
      </c>
      <c r="D278" s="46" t="inlineStr">
        <is>
          <t>SC03</t>
        </is>
      </c>
      <c r="E278" s="46" t="inlineStr">
        <is>
          <t>Supply Chain</t>
        </is>
      </c>
      <c r="F278" s="47" t="n">
        <v>5</v>
      </c>
      <c r="G278" s="46" t="inlineStr">
        <is>
          <t>Gemma3:27b via Ollama</t>
        </is>
      </c>
      <c r="H278" s="48" t="n">
        <v>46163</v>
      </c>
      <c r="I278" s="46" t="inlineStr">
        <is>
          <t>9.680</t>
        </is>
      </c>
      <c r="J278" s="46" t="inlineStr">
        <is>
          <t>66.11</t>
        </is>
      </c>
      <c r="K278" s="46" t="inlineStr">
        <is>
          <t>Gemma3:27b</t>
        </is>
      </c>
      <c r="L278" s="46" t="inlineStr">
        <is>
          <t>0.3</t>
        </is>
      </c>
      <c r="M278" s="73" t="inlineStr">
        <is>
          <t>Complete</t>
        </is>
      </c>
    </row>
    <row r="279" ht="13.5" customHeight="1" s="38">
      <c r="A279" s="46" t="inlineStr">
        <is>
          <t>S_S1_SC03_I06</t>
        </is>
      </c>
      <c r="B279" s="46" t="inlineStr">
        <is>
          <t>R_0853</t>
        </is>
      </c>
      <c r="C279" s="46" t="inlineStr">
        <is>
          <t>Strategy 1 – Zero-Shot + Structured Template</t>
        </is>
      </c>
      <c r="D279" s="46" t="inlineStr">
        <is>
          <t>SC03</t>
        </is>
      </c>
      <c r="E279" s="46" t="inlineStr">
        <is>
          <t>Supply Chain</t>
        </is>
      </c>
      <c r="F279" s="47" t="n">
        <v>6</v>
      </c>
      <c r="G279" s="46" t="inlineStr">
        <is>
          <t>Gemma3:27b via Ollama</t>
        </is>
      </c>
      <c r="H279" s="48" t="n">
        <v>46163</v>
      </c>
      <c r="I279" s="46" t="inlineStr">
        <is>
          <t>9.874</t>
        </is>
      </c>
      <c r="J279" s="46" t="inlineStr">
        <is>
          <t>66.03</t>
        </is>
      </c>
      <c r="K279" s="46" t="inlineStr">
        <is>
          <t>Gemma3:27b</t>
        </is>
      </c>
      <c r="L279" s="46" t="inlineStr">
        <is>
          <t>0.3</t>
        </is>
      </c>
      <c r="M279" s="73" t="inlineStr">
        <is>
          <t>Complete</t>
        </is>
      </c>
    </row>
    <row r="280" ht="13.5" customHeight="1" s="38">
      <c r="A280" s="46" t="inlineStr">
        <is>
          <t>S_S1_SC03_I07</t>
        </is>
      </c>
      <c r="B280" s="46" t="inlineStr">
        <is>
          <t>R_0237</t>
        </is>
      </c>
      <c r="C280" s="46" t="inlineStr">
        <is>
          <t>Strategy 1 – Zero-Shot + Structured Template</t>
        </is>
      </c>
      <c r="D280" s="46" t="inlineStr">
        <is>
          <t>SC03</t>
        </is>
      </c>
      <c r="E280" s="46" t="inlineStr">
        <is>
          <t>Supply Chain</t>
        </is>
      </c>
      <c r="F280" s="47" t="n">
        <v>7</v>
      </c>
      <c r="G280" s="46" t="inlineStr">
        <is>
          <t>Gemma3:27b via Ollama</t>
        </is>
      </c>
      <c r="H280" s="48" t="n">
        <v>46163</v>
      </c>
      <c r="I280" s="46" t="inlineStr">
        <is>
          <t>9.723</t>
        </is>
      </c>
      <c r="J280" s="46" t="inlineStr">
        <is>
          <t>65.11</t>
        </is>
      </c>
      <c r="K280" s="46" t="inlineStr">
        <is>
          <t>Gemma3:27b</t>
        </is>
      </c>
      <c r="L280" s="46" t="inlineStr">
        <is>
          <t>0.3</t>
        </is>
      </c>
      <c r="M280" s="73" t="inlineStr">
        <is>
          <t>Complete</t>
        </is>
      </c>
    </row>
    <row r="281" ht="13.5" customHeight="1" s="38">
      <c r="A281" s="46" t="inlineStr">
        <is>
          <t>S_S1_SC03_I08</t>
        </is>
      </c>
      <c r="B281" s="46" t="inlineStr">
        <is>
          <t>R_0640</t>
        </is>
      </c>
      <c r="C281" s="46" t="inlineStr">
        <is>
          <t>Strategy 1 – Zero-Shot + Structured Template</t>
        </is>
      </c>
      <c r="D281" s="46" t="inlineStr">
        <is>
          <t>SC03</t>
        </is>
      </c>
      <c r="E281" s="46" t="inlineStr">
        <is>
          <t>Supply Chain</t>
        </is>
      </c>
      <c r="F281" s="47" t="n">
        <v>8</v>
      </c>
      <c r="G281" s="46" t="inlineStr">
        <is>
          <t>Gemma3:27b via Ollama</t>
        </is>
      </c>
      <c r="H281" s="48" t="n">
        <v>46163</v>
      </c>
      <c r="I281" s="46" t="inlineStr">
        <is>
          <t>9.678</t>
        </is>
      </c>
      <c r="J281" s="46" t="inlineStr">
        <is>
          <t>66.03</t>
        </is>
      </c>
      <c r="K281" s="46" t="inlineStr">
        <is>
          <t>Gemma3:27b</t>
        </is>
      </c>
      <c r="L281" s="46" t="inlineStr">
        <is>
          <t>0.3</t>
        </is>
      </c>
      <c r="M281" s="73" t="inlineStr">
        <is>
          <t>Complete</t>
        </is>
      </c>
    </row>
    <row r="282" ht="13.5" customHeight="1" s="38">
      <c r="A282" s="46" t="inlineStr">
        <is>
          <t>S_S1_SC03_I09</t>
        </is>
      </c>
      <c r="B282" s="46" t="inlineStr">
        <is>
          <t>R_0727</t>
        </is>
      </c>
      <c r="C282" s="46" t="inlineStr">
        <is>
          <t>Strategy 1 – Zero-Shot + Structured Template</t>
        </is>
      </c>
      <c r="D282" s="46" t="inlineStr">
        <is>
          <t>SC03</t>
        </is>
      </c>
      <c r="E282" s="46" t="inlineStr">
        <is>
          <t>Supply Chain</t>
        </is>
      </c>
      <c r="F282" s="47" t="n">
        <v>9</v>
      </c>
      <c r="G282" s="46" t="inlineStr">
        <is>
          <t>Gemma3:27b via Ollama</t>
        </is>
      </c>
      <c r="H282" s="48" t="n">
        <v>46163</v>
      </c>
      <c r="I282" s="46" t="inlineStr">
        <is>
          <t>9.684</t>
        </is>
      </c>
      <c r="J282" s="46" t="inlineStr">
        <is>
          <t>65.47</t>
        </is>
      </c>
      <c r="K282" s="46" t="inlineStr">
        <is>
          <t>Gemma3:27b</t>
        </is>
      </c>
      <c r="L282" s="46" t="inlineStr">
        <is>
          <t>0.3</t>
        </is>
      </c>
      <c r="M282" s="73" t="inlineStr">
        <is>
          <t>Complete</t>
        </is>
      </c>
    </row>
    <row r="283" ht="13.5" customHeight="1" s="38">
      <c r="A283" s="46" t="inlineStr">
        <is>
          <t>S_S1_SC03_I10</t>
        </is>
      </c>
      <c r="B283" s="46" t="inlineStr">
        <is>
          <t>R_0726</t>
        </is>
      </c>
      <c r="C283" s="46" t="inlineStr">
        <is>
          <t>Strategy 1 – Zero-Shot + Structured Template</t>
        </is>
      </c>
      <c r="D283" s="46" t="inlineStr">
        <is>
          <t>SC03</t>
        </is>
      </c>
      <c r="E283" s="46" t="inlineStr">
        <is>
          <t>Supply Chain</t>
        </is>
      </c>
      <c r="F283" s="47" t="n">
        <v>10</v>
      </c>
      <c r="G283" s="46" t="inlineStr">
        <is>
          <t>Gemma3:27b via Ollama</t>
        </is>
      </c>
      <c r="H283" s="48" t="n">
        <v>46163</v>
      </c>
      <c r="I283" s="46" t="inlineStr">
        <is>
          <t>9.047</t>
        </is>
      </c>
      <c r="J283" s="46" t="inlineStr">
        <is>
          <t>66.21</t>
        </is>
      </c>
      <c r="K283" s="46" t="inlineStr">
        <is>
          <t>Gemma3:27b</t>
        </is>
      </c>
      <c r="L283" s="46" t="inlineStr">
        <is>
          <t>0.3</t>
        </is>
      </c>
      <c r="M283" s="73" t="inlineStr">
        <is>
          <t>Complete</t>
        </is>
      </c>
    </row>
    <row r="284" ht="13.5" customHeight="1" s="38">
      <c r="A284" s="46" t="inlineStr">
        <is>
          <t>S_S1_SC04_I01</t>
        </is>
      </c>
      <c r="B284" s="46" t="inlineStr">
        <is>
          <t>R_0283</t>
        </is>
      </c>
      <c r="C284" s="46" t="inlineStr">
        <is>
          <t>Strategy 1 – Zero-Shot + Structured Template</t>
        </is>
      </c>
      <c r="D284" s="46" t="inlineStr">
        <is>
          <t>SC04</t>
        </is>
      </c>
      <c r="E284" s="46" t="inlineStr">
        <is>
          <t>Supply Chain</t>
        </is>
      </c>
      <c r="F284" s="47" t="n">
        <v>1</v>
      </c>
      <c r="G284" s="46" t="inlineStr">
        <is>
          <t>Gemma3:27b via Ollama</t>
        </is>
      </c>
      <c r="H284" s="48" t="n">
        <v>46166</v>
      </c>
      <c r="I284" s="46" t="inlineStr">
        <is>
          <t>9.672</t>
        </is>
      </c>
      <c r="J284" s="46" t="inlineStr">
        <is>
          <t>67.82</t>
        </is>
      </c>
      <c r="K284" s="46" t="inlineStr">
        <is>
          <t>Gemma3:27b</t>
        </is>
      </c>
      <c r="L284" s="46" t="inlineStr">
        <is>
          <t>0.3</t>
        </is>
      </c>
      <c r="M284" s="73" t="inlineStr">
        <is>
          <t>Complete</t>
        </is>
      </c>
    </row>
    <row r="285" ht="13.5" customHeight="1" s="38">
      <c r="A285" s="46" t="inlineStr">
        <is>
          <t>S_S1_SC04_I02</t>
        </is>
      </c>
      <c r="B285" s="46" t="inlineStr">
        <is>
          <t>R_0202</t>
        </is>
      </c>
      <c r="C285" s="46" t="inlineStr">
        <is>
          <t>Strategy 1 – Zero-Shot + Structured Template</t>
        </is>
      </c>
      <c r="D285" s="46" t="inlineStr">
        <is>
          <t>SC04</t>
        </is>
      </c>
      <c r="E285" s="46" t="inlineStr">
        <is>
          <t>Supply Chain</t>
        </is>
      </c>
      <c r="F285" s="47" t="n">
        <v>2</v>
      </c>
      <c r="G285" s="46" t="inlineStr">
        <is>
          <t>Gemma3:27b via Ollama</t>
        </is>
      </c>
      <c r="H285" s="48" t="n">
        <v>46166</v>
      </c>
      <c r="I285" s="46" t="inlineStr">
        <is>
          <t>8.907</t>
        </is>
      </c>
      <c r="J285" s="46" t="inlineStr">
        <is>
          <t>68.26</t>
        </is>
      </c>
      <c r="K285" s="46" t="inlineStr">
        <is>
          <t>Gemma3:27b</t>
        </is>
      </c>
      <c r="L285" s="46" t="inlineStr">
        <is>
          <t>0.3</t>
        </is>
      </c>
      <c r="M285" s="73" t="inlineStr">
        <is>
          <t>Complete</t>
        </is>
      </c>
    </row>
    <row r="286" ht="13.5" customHeight="1" s="38">
      <c r="A286" s="46" t="inlineStr">
        <is>
          <t>S_S1_SC04_I03</t>
        </is>
      </c>
      <c r="B286" s="46" t="inlineStr">
        <is>
          <t>R_0014</t>
        </is>
      </c>
      <c r="C286" s="46" t="inlineStr">
        <is>
          <t>Strategy 1 – Zero-Shot + Structured Template</t>
        </is>
      </c>
      <c r="D286" s="46" t="inlineStr">
        <is>
          <t>SC04</t>
        </is>
      </c>
      <c r="E286" s="46" t="inlineStr">
        <is>
          <t>Supply Chain</t>
        </is>
      </c>
      <c r="F286" s="47" t="n">
        <v>3</v>
      </c>
      <c r="G286" s="46" t="inlineStr">
        <is>
          <t>Gemma3:27b via Ollama</t>
        </is>
      </c>
      <c r="H286" s="48" t="n">
        <v>46166</v>
      </c>
      <c r="I286" s="46" t="inlineStr">
        <is>
          <t>9.874</t>
        </is>
      </c>
      <c r="J286" s="46" t="inlineStr">
        <is>
          <t>66.64</t>
        </is>
      </c>
      <c r="K286" s="46" t="inlineStr">
        <is>
          <t>Gemma3:27b</t>
        </is>
      </c>
      <c r="L286" s="46" t="inlineStr">
        <is>
          <t>0.3</t>
        </is>
      </c>
      <c r="M286" s="73" t="inlineStr">
        <is>
          <t>Complete</t>
        </is>
      </c>
    </row>
    <row r="287" ht="13.5" customHeight="1" s="38">
      <c r="A287" s="46" t="inlineStr">
        <is>
          <t>S_S1_SC04_I04</t>
        </is>
      </c>
      <c r="B287" s="46" t="inlineStr">
        <is>
          <t>R_0533</t>
        </is>
      </c>
      <c r="C287" s="46" t="inlineStr">
        <is>
          <t>Strategy 1 – Zero-Shot + Structured Template</t>
        </is>
      </c>
      <c r="D287" s="46" t="inlineStr">
        <is>
          <t>SC04</t>
        </is>
      </c>
      <c r="E287" s="46" t="inlineStr">
        <is>
          <t>Supply Chain</t>
        </is>
      </c>
      <c r="F287" s="47" t="n">
        <v>4</v>
      </c>
      <c r="G287" s="46" t="inlineStr">
        <is>
          <t>Gemma3:27b via Ollama</t>
        </is>
      </c>
      <c r="H287" s="48" t="n">
        <v>46166</v>
      </c>
      <c r="I287" s="46" t="inlineStr">
        <is>
          <t>9.542</t>
        </is>
      </c>
      <c r="J287" s="46" t="inlineStr">
        <is>
          <t>68.12</t>
        </is>
      </c>
      <c r="K287" s="46" t="inlineStr">
        <is>
          <t>Gemma3:27b</t>
        </is>
      </c>
      <c r="L287" s="46" t="inlineStr">
        <is>
          <t>0.3</t>
        </is>
      </c>
      <c r="M287" s="73" t="inlineStr">
        <is>
          <t>Complete</t>
        </is>
      </c>
    </row>
    <row r="288" ht="13.5" customHeight="1" s="38">
      <c r="A288" s="46" t="inlineStr">
        <is>
          <t>S_S1_SC04_I05</t>
        </is>
      </c>
      <c r="B288" s="46" t="inlineStr">
        <is>
          <t>R_0444</t>
        </is>
      </c>
      <c r="C288" s="46" t="inlineStr">
        <is>
          <t>Strategy 1 – Zero-Shot + Structured Template</t>
        </is>
      </c>
      <c r="D288" s="46" t="inlineStr">
        <is>
          <t>SC04</t>
        </is>
      </c>
      <c r="E288" s="46" t="inlineStr">
        <is>
          <t>Supply Chain</t>
        </is>
      </c>
      <c r="F288" s="47" t="n">
        <v>5</v>
      </c>
      <c r="G288" s="46" t="inlineStr">
        <is>
          <t>Gemma3:27b via Ollama</t>
        </is>
      </c>
      <c r="H288" s="48" t="n">
        <v>46166</v>
      </c>
      <c r="I288" s="46" t="inlineStr">
        <is>
          <t>9.586</t>
        </is>
      </c>
      <c r="J288" s="46" t="inlineStr">
        <is>
          <t>68.12</t>
        </is>
      </c>
      <c r="K288" s="46" t="inlineStr">
        <is>
          <t>Gemma3:27b</t>
        </is>
      </c>
      <c r="L288" s="46" t="inlineStr">
        <is>
          <t>0.3</t>
        </is>
      </c>
      <c r="M288" s="73" t="inlineStr">
        <is>
          <t>Complete</t>
        </is>
      </c>
    </row>
    <row r="289" ht="13.5" customHeight="1" s="38">
      <c r="A289" s="46" t="inlineStr">
        <is>
          <t>S_S1_SC04_I06</t>
        </is>
      </c>
      <c r="B289" s="46" t="inlineStr">
        <is>
          <t>R_0240</t>
        </is>
      </c>
      <c r="C289" s="46" t="inlineStr">
        <is>
          <t>Strategy 1 – Zero-Shot + Structured Template</t>
        </is>
      </c>
      <c r="D289" s="46" t="inlineStr">
        <is>
          <t>SC04</t>
        </is>
      </c>
      <c r="E289" s="46" t="inlineStr">
        <is>
          <t>Supply Chain</t>
        </is>
      </c>
      <c r="F289" s="47" t="n">
        <v>6</v>
      </c>
      <c r="G289" s="46" t="inlineStr">
        <is>
          <t>Gemma3:27b via Ollama</t>
        </is>
      </c>
      <c r="H289" s="48" t="n">
        <v>46166</v>
      </c>
      <c r="I289" s="46" t="inlineStr">
        <is>
          <t>8.652</t>
        </is>
      </c>
      <c r="J289" s="46" t="inlineStr">
        <is>
          <t>67.85</t>
        </is>
      </c>
      <c r="K289" s="46" t="inlineStr">
        <is>
          <t>Gemma3:27b</t>
        </is>
      </c>
      <c r="L289" s="46" t="inlineStr">
        <is>
          <t>0.3</t>
        </is>
      </c>
      <c r="M289" s="73" t="inlineStr">
        <is>
          <t>Complete</t>
        </is>
      </c>
    </row>
    <row r="290" ht="13.5" customHeight="1" s="38">
      <c r="A290" s="46" t="inlineStr">
        <is>
          <t>S_S1_SC04_I07</t>
        </is>
      </c>
      <c r="B290" s="46" t="inlineStr">
        <is>
          <t>R_0085</t>
        </is>
      </c>
      <c r="C290" s="46" t="inlineStr">
        <is>
          <t>Strategy 1 – Zero-Shot + Structured Template</t>
        </is>
      </c>
      <c r="D290" s="46" t="inlineStr">
        <is>
          <t>SC04</t>
        </is>
      </c>
      <c r="E290" s="46" t="inlineStr">
        <is>
          <t>Supply Chain</t>
        </is>
      </c>
      <c r="F290" s="47" t="n">
        <v>7</v>
      </c>
      <c r="G290" s="46" t="inlineStr">
        <is>
          <t>Gemma3:27b via Ollama</t>
        </is>
      </c>
      <c r="H290" s="48" t="n">
        <v>46166</v>
      </c>
      <c r="I290" s="46" t="inlineStr">
        <is>
          <t>9.077</t>
        </is>
      </c>
      <c r="J290" s="46" t="inlineStr">
        <is>
          <t>66.98</t>
        </is>
      </c>
      <c r="K290" s="46" t="inlineStr">
        <is>
          <t>Gemma3:27b</t>
        </is>
      </c>
      <c r="L290" s="46" t="inlineStr">
        <is>
          <t>0.3</t>
        </is>
      </c>
      <c r="M290" s="73" t="inlineStr">
        <is>
          <t>Complete</t>
        </is>
      </c>
    </row>
    <row r="291" ht="13.5" customHeight="1" s="38">
      <c r="A291" s="46" t="inlineStr">
        <is>
          <t>S_S1_SC04_I08</t>
        </is>
      </c>
      <c r="B291" s="46" t="inlineStr">
        <is>
          <t>R_0694</t>
        </is>
      </c>
      <c r="C291" s="46" t="inlineStr">
        <is>
          <t>Strategy 1 – Zero-Shot + Structured Template</t>
        </is>
      </c>
      <c r="D291" s="46" t="inlineStr">
        <is>
          <t>SC04</t>
        </is>
      </c>
      <c r="E291" s="46" t="inlineStr">
        <is>
          <t>Supply Chain</t>
        </is>
      </c>
      <c r="F291" s="47" t="n">
        <v>8</v>
      </c>
      <c r="G291" s="46" t="inlineStr">
        <is>
          <t>Gemma3:27b via Ollama</t>
        </is>
      </c>
      <c r="H291" s="48" t="n">
        <v>46166</v>
      </c>
      <c r="I291" s="46" t="inlineStr">
        <is>
          <t>9.423</t>
        </is>
      </c>
      <c r="J291" s="46" t="inlineStr">
        <is>
          <t>67.92</t>
        </is>
      </c>
      <c r="K291" s="46" t="inlineStr">
        <is>
          <t>Gemma3:27b</t>
        </is>
      </c>
      <c r="L291" s="46" t="inlineStr">
        <is>
          <t>0.3</t>
        </is>
      </c>
      <c r="M291" s="73" t="inlineStr">
        <is>
          <t>Complete</t>
        </is>
      </c>
    </row>
    <row r="292" ht="13.5" customHeight="1" s="38">
      <c r="A292" s="46" t="inlineStr">
        <is>
          <t>S_S1_SC04_I09</t>
        </is>
      </c>
      <c r="B292" s="46" t="inlineStr">
        <is>
          <t>R_0173</t>
        </is>
      </c>
      <c r="C292" s="46" t="inlineStr">
        <is>
          <t>Strategy 1 – Zero-Shot + Structured Template</t>
        </is>
      </c>
      <c r="D292" s="46" t="inlineStr">
        <is>
          <t>SC04</t>
        </is>
      </c>
      <c r="E292" s="46" t="inlineStr">
        <is>
          <t>Supply Chain</t>
        </is>
      </c>
      <c r="F292" s="47" t="n">
        <v>9</v>
      </c>
      <c r="G292" s="46" t="inlineStr">
        <is>
          <t>Gemma3:27b via Ollama</t>
        </is>
      </c>
      <c r="H292" s="48" t="n">
        <v>46166</v>
      </c>
      <c r="I292" s="46" t="inlineStr">
        <is>
          <t>9.838</t>
        </is>
      </c>
      <c r="J292" s="46" t="inlineStr">
        <is>
          <t>67.49</t>
        </is>
      </c>
      <c r="K292" s="46" t="inlineStr">
        <is>
          <t>Gemma3:27b</t>
        </is>
      </c>
      <c r="L292" s="46" t="inlineStr">
        <is>
          <t>0.3</t>
        </is>
      </c>
      <c r="M292" s="73" t="inlineStr">
        <is>
          <t>Complete</t>
        </is>
      </c>
    </row>
    <row r="293" ht="13.5" customHeight="1" s="38">
      <c r="A293" s="46" t="inlineStr">
        <is>
          <t>S_S1_SC04_I10</t>
        </is>
      </c>
      <c r="B293" s="46" t="inlineStr">
        <is>
          <t>R_0822</t>
        </is>
      </c>
      <c r="C293" s="46" t="inlineStr">
        <is>
          <t>Strategy 1 – Zero-Shot + Structured Template</t>
        </is>
      </c>
      <c r="D293" s="46" t="inlineStr">
        <is>
          <t>SC04</t>
        </is>
      </c>
      <c r="E293" s="46" t="inlineStr">
        <is>
          <t>Supply Chain</t>
        </is>
      </c>
      <c r="F293" s="47" t="n">
        <v>10</v>
      </c>
      <c r="G293" s="46" t="inlineStr">
        <is>
          <t>Gemma3:27b via Ollama</t>
        </is>
      </c>
      <c r="H293" s="48" t="n">
        <v>46166</v>
      </c>
      <c r="I293" s="46" t="inlineStr">
        <is>
          <t>9.883</t>
        </is>
      </c>
      <c r="J293" s="46" t="inlineStr">
        <is>
          <t>67.59</t>
        </is>
      </c>
      <c r="K293" s="46" t="inlineStr">
        <is>
          <t>Gemma3:27b</t>
        </is>
      </c>
      <c r="L293" s="46" t="inlineStr">
        <is>
          <t>0.3</t>
        </is>
      </c>
      <c r="M293" s="73" t="inlineStr">
        <is>
          <t>Complete</t>
        </is>
      </c>
    </row>
    <row r="294" ht="13.5" customHeight="1" s="38">
      <c r="A294" s="46" t="inlineStr">
        <is>
          <t>S_S1_SC05_I01</t>
        </is>
      </c>
      <c r="B294" s="46" t="inlineStr">
        <is>
          <t>R_0505</t>
        </is>
      </c>
      <c r="C294" s="46" t="inlineStr">
        <is>
          <t>Strategy 1 – Zero-Shot + Structured Template</t>
        </is>
      </c>
      <c r="D294" s="46" t="inlineStr">
        <is>
          <t>SC05</t>
        </is>
      </c>
      <c r="E294" s="46" t="inlineStr">
        <is>
          <t>Supply Chain</t>
        </is>
      </c>
      <c r="F294" s="47" t="n">
        <v>1</v>
      </c>
      <c r="G294" s="46" t="inlineStr">
        <is>
          <t>Gemma3:27b via Ollama</t>
        </is>
      </c>
      <c r="H294" s="48" t="n">
        <v>46166</v>
      </c>
      <c r="I294" s="46" t="inlineStr">
        <is>
          <t>9.770</t>
        </is>
      </c>
      <c r="J294" s="46" t="inlineStr">
        <is>
          <t>67.86</t>
        </is>
      </c>
      <c r="K294" s="46" t="inlineStr">
        <is>
          <t>Gemma3:27b</t>
        </is>
      </c>
      <c r="L294" s="46" t="inlineStr">
        <is>
          <t>0.3</t>
        </is>
      </c>
      <c r="M294" s="73" t="inlineStr">
        <is>
          <t>Complete</t>
        </is>
      </c>
    </row>
    <row r="295" ht="13.5" customHeight="1" s="38">
      <c r="A295" s="46" t="inlineStr">
        <is>
          <t>S_S1_SC05_I02</t>
        </is>
      </c>
      <c r="B295" s="46" t="inlineStr">
        <is>
          <t>R_0988</t>
        </is>
      </c>
      <c r="C295" s="46" t="inlineStr">
        <is>
          <t>Strategy 1 – Zero-Shot + Structured Template</t>
        </is>
      </c>
      <c r="D295" s="46" t="inlineStr">
        <is>
          <t>SC05</t>
        </is>
      </c>
      <c r="E295" s="46" t="inlineStr">
        <is>
          <t>Supply Chain</t>
        </is>
      </c>
      <c r="F295" s="47" t="n">
        <v>2</v>
      </c>
      <c r="G295" s="46" t="inlineStr">
        <is>
          <t>Gemma3:27b via Ollama</t>
        </is>
      </c>
      <c r="H295" s="48" t="n">
        <v>46166</v>
      </c>
      <c r="I295" s="46" t="inlineStr">
        <is>
          <t>10.195</t>
        </is>
      </c>
      <c r="J295" s="46" t="inlineStr">
        <is>
          <t>66.51</t>
        </is>
      </c>
      <c r="K295" s="46" t="inlineStr">
        <is>
          <t>Gemma3:27b</t>
        </is>
      </c>
      <c r="L295" s="46" t="inlineStr">
        <is>
          <t>0.3</t>
        </is>
      </c>
      <c r="M295" s="73" t="inlineStr">
        <is>
          <t>Complete</t>
        </is>
      </c>
    </row>
    <row r="296" ht="13.5" customHeight="1" s="38">
      <c r="A296" s="46" t="inlineStr">
        <is>
          <t>S_S1_SC05_I03</t>
        </is>
      </c>
      <c r="B296" s="46" t="inlineStr">
        <is>
          <t>R_0477</t>
        </is>
      </c>
      <c r="C296" s="46" t="inlineStr">
        <is>
          <t>Strategy 1 – Zero-Shot + Structured Template</t>
        </is>
      </c>
      <c r="D296" s="46" t="inlineStr">
        <is>
          <t>SC05</t>
        </is>
      </c>
      <c r="E296" s="46" t="inlineStr">
        <is>
          <t>Supply Chain</t>
        </is>
      </c>
      <c r="F296" s="47" t="n">
        <v>3</v>
      </c>
      <c r="G296" s="46" t="inlineStr">
        <is>
          <t>Gemma3:27b via Ollama</t>
        </is>
      </c>
      <c r="H296" s="48" t="n">
        <v>46166</v>
      </c>
      <c r="I296" s="46" t="inlineStr">
        <is>
          <t>9.487</t>
        </is>
      </c>
      <c r="J296" s="46" t="inlineStr">
        <is>
          <t>67.15</t>
        </is>
      </c>
      <c r="K296" s="46" t="inlineStr">
        <is>
          <t>Gemma3:27b</t>
        </is>
      </c>
      <c r="L296" s="46" t="inlineStr">
        <is>
          <t>0.3</t>
        </is>
      </c>
      <c r="M296" s="73" t="inlineStr">
        <is>
          <t>Complete</t>
        </is>
      </c>
    </row>
    <row r="297" ht="13.5" customHeight="1" s="38">
      <c r="A297" s="46" t="inlineStr">
        <is>
          <t>S_S1_SC05_I04</t>
        </is>
      </c>
      <c r="B297" s="46" t="inlineStr">
        <is>
          <t>R_0331</t>
        </is>
      </c>
      <c r="C297" s="46" t="inlineStr">
        <is>
          <t>Strategy 1 – Zero-Shot + Structured Template</t>
        </is>
      </c>
      <c r="D297" s="46" t="inlineStr">
        <is>
          <t>SC05</t>
        </is>
      </c>
      <c r="E297" s="46" t="inlineStr">
        <is>
          <t>Supply Chain</t>
        </is>
      </c>
      <c r="F297" s="47" t="n">
        <v>4</v>
      </c>
      <c r="G297" s="46" t="inlineStr">
        <is>
          <t>Gemma3:27b via Ollama</t>
        </is>
      </c>
      <c r="H297" s="48" t="n">
        <v>46166</v>
      </c>
      <c r="I297" s="46" t="inlineStr">
        <is>
          <t>9.567</t>
        </is>
      </c>
      <c r="J297" s="46" t="inlineStr">
        <is>
          <t>67.32</t>
        </is>
      </c>
      <c r="K297" s="46" t="inlineStr">
        <is>
          <t>Gemma3:27b</t>
        </is>
      </c>
      <c r="L297" s="46" t="inlineStr">
        <is>
          <t>0.3</t>
        </is>
      </c>
      <c r="M297" s="73" t="inlineStr">
        <is>
          <t>Complete</t>
        </is>
      </c>
    </row>
    <row r="298" ht="13.5" customHeight="1" s="38">
      <c r="A298" s="46" t="inlineStr">
        <is>
          <t>S_S1_SC05_I05</t>
        </is>
      </c>
      <c r="B298" s="46" t="inlineStr">
        <is>
          <t>R_0424</t>
        </is>
      </c>
      <c r="C298" s="46" t="inlineStr">
        <is>
          <t>Strategy 1 – Zero-Shot + Structured Template</t>
        </is>
      </c>
      <c r="D298" s="46" t="inlineStr">
        <is>
          <t>SC05</t>
        </is>
      </c>
      <c r="E298" s="46" t="inlineStr">
        <is>
          <t>Supply Chain</t>
        </is>
      </c>
      <c r="F298" s="47" t="n">
        <v>5</v>
      </c>
      <c r="G298" s="46" t="inlineStr">
        <is>
          <t>Gemma3:27b via Ollama</t>
        </is>
      </c>
      <c r="H298" s="48" t="n">
        <v>46166</v>
      </c>
      <c r="I298" s="46" t="inlineStr">
        <is>
          <t>9.264</t>
        </is>
      </c>
      <c r="J298" s="46" t="inlineStr">
        <is>
          <t>67.57</t>
        </is>
      </c>
      <c r="K298" s="46" t="inlineStr">
        <is>
          <t>Gemma3:27b</t>
        </is>
      </c>
      <c r="L298" s="46" t="inlineStr">
        <is>
          <t>0.3</t>
        </is>
      </c>
      <c r="M298" s="73" t="inlineStr">
        <is>
          <t>Complete</t>
        </is>
      </c>
    </row>
    <row r="299" ht="13.5" customHeight="1" s="38">
      <c r="A299" s="46" t="inlineStr">
        <is>
          <t>S_S1_SC05_I06</t>
        </is>
      </c>
      <c r="B299" s="46" t="inlineStr">
        <is>
          <t>R_0250</t>
        </is>
      </c>
      <c r="C299" s="46" t="inlineStr">
        <is>
          <t>Strategy 1 – Zero-Shot + Structured Template</t>
        </is>
      </c>
      <c r="D299" s="46" t="inlineStr">
        <is>
          <t>SC05</t>
        </is>
      </c>
      <c r="E299" s="46" t="inlineStr">
        <is>
          <t>Supply Chain</t>
        </is>
      </c>
      <c r="F299" s="47" t="n">
        <v>6</v>
      </c>
      <c r="G299" s="46" t="inlineStr">
        <is>
          <t>Gemma3:27b via Ollama</t>
        </is>
      </c>
      <c r="H299" s="48" t="n">
        <v>46166</v>
      </c>
      <c r="I299" s="46" t="inlineStr">
        <is>
          <t>9.222</t>
        </is>
      </c>
      <c r="J299" s="46" t="inlineStr">
        <is>
          <t>68.23</t>
        </is>
      </c>
      <c r="K299" s="46" t="inlineStr">
        <is>
          <t>Gemma3:27b</t>
        </is>
      </c>
      <c r="L299" s="46" t="inlineStr">
        <is>
          <t>0.3</t>
        </is>
      </c>
      <c r="M299" s="73" t="inlineStr">
        <is>
          <t>Complete</t>
        </is>
      </c>
    </row>
    <row r="300" ht="13.5" customHeight="1" s="38">
      <c r="A300" s="46" t="inlineStr">
        <is>
          <t>S_S1_SC05_I07</t>
        </is>
      </c>
      <c r="B300" s="46" t="inlineStr">
        <is>
          <t>R_0370</t>
        </is>
      </c>
      <c r="C300" s="46" t="inlineStr">
        <is>
          <t>Strategy 1 – Zero-Shot + Structured Template</t>
        </is>
      </c>
      <c r="D300" s="46" t="inlineStr">
        <is>
          <t>SC05</t>
        </is>
      </c>
      <c r="E300" s="46" t="inlineStr">
        <is>
          <t>Supply Chain</t>
        </is>
      </c>
      <c r="F300" s="47" t="n">
        <v>7</v>
      </c>
      <c r="G300" s="46" t="inlineStr">
        <is>
          <t>Gemma3:27b via Ollama</t>
        </is>
      </c>
      <c r="H300" s="48" t="n">
        <v>46166</v>
      </c>
      <c r="I300" s="46" t="inlineStr">
        <is>
          <t>9.157</t>
        </is>
      </c>
      <c r="J300" s="46" t="inlineStr">
        <is>
          <t>66.18</t>
        </is>
      </c>
      <c r="K300" s="46" t="inlineStr">
        <is>
          <t>Gemma3:27b</t>
        </is>
      </c>
      <c r="L300" s="46" t="inlineStr">
        <is>
          <t>0.3</t>
        </is>
      </c>
      <c r="M300" s="73" t="inlineStr">
        <is>
          <t>Complete</t>
        </is>
      </c>
    </row>
    <row r="301" ht="13.5" customHeight="1" s="38">
      <c r="A301" s="46" t="inlineStr">
        <is>
          <t>S_S1_SC05_I08</t>
        </is>
      </c>
      <c r="B301" s="46" t="inlineStr">
        <is>
          <t>R_0280</t>
        </is>
      </c>
      <c r="C301" s="46" t="inlineStr">
        <is>
          <t>Strategy 1 – Zero-Shot + Structured Template</t>
        </is>
      </c>
      <c r="D301" s="46" t="inlineStr">
        <is>
          <t>SC05</t>
        </is>
      </c>
      <c r="E301" s="46" t="inlineStr">
        <is>
          <t>Supply Chain</t>
        </is>
      </c>
      <c r="F301" s="47" t="n">
        <v>8</v>
      </c>
      <c r="G301" s="46" t="inlineStr">
        <is>
          <t>Gemma3:27b via Ollama</t>
        </is>
      </c>
      <c r="H301" s="48" t="n">
        <v>46166</v>
      </c>
      <c r="I301" s="46" t="inlineStr">
        <is>
          <t>9.593</t>
        </is>
      </c>
      <c r="J301" s="46" t="inlineStr">
        <is>
          <t>67.44</t>
        </is>
      </c>
      <c r="K301" s="46" t="inlineStr">
        <is>
          <t>Gemma3:27b</t>
        </is>
      </c>
      <c r="L301" s="46" t="inlineStr">
        <is>
          <t>0.3</t>
        </is>
      </c>
      <c r="M301" s="73" t="inlineStr">
        <is>
          <t>Complete</t>
        </is>
      </c>
    </row>
    <row r="302" ht="13.5" customHeight="1" s="38">
      <c r="A302" s="46" t="inlineStr">
        <is>
          <t>S_S1_SC05_I09</t>
        </is>
      </c>
      <c r="B302" s="46" t="inlineStr">
        <is>
          <t>R_0525</t>
        </is>
      </c>
      <c r="C302" s="46" t="inlineStr">
        <is>
          <t>Strategy 1 – Zero-Shot + Structured Template</t>
        </is>
      </c>
      <c r="D302" s="46" t="inlineStr">
        <is>
          <t>SC05</t>
        </is>
      </c>
      <c r="E302" s="46" t="inlineStr">
        <is>
          <t>Supply Chain</t>
        </is>
      </c>
      <c r="F302" s="47" t="n">
        <v>9</v>
      </c>
      <c r="G302" s="46" t="inlineStr">
        <is>
          <t>Gemma3:27b via Ollama</t>
        </is>
      </c>
      <c r="H302" s="48" t="n">
        <v>46166</v>
      </c>
      <c r="I302" s="46" t="inlineStr">
        <is>
          <t>9.837</t>
        </is>
      </c>
      <c r="J302" s="46" t="inlineStr">
        <is>
          <t>67.60</t>
        </is>
      </c>
      <c r="K302" s="46" t="inlineStr">
        <is>
          <t>Gemma3:27b</t>
        </is>
      </c>
      <c r="L302" s="46" t="inlineStr">
        <is>
          <t>0.3</t>
        </is>
      </c>
      <c r="M302" s="73" t="inlineStr">
        <is>
          <t>Complete</t>
        </is>
      </c>
    </row>
    <row r="303" ht="13.5" customHeight="1" s="38">
      <c r="A303" s="46" t="inlineStr">
        <is>
          <t>S_S1_SC05_I10</t>
        </is>
      </c>
      <c r="B303" s="46" t="inlineStr">
        <is>
          <t>R_0916</t>
        </is>
      </c>
      <c r="C303" s="46" t="inlineStr">
        <is>
          <t>Strategy 1 – Zero-Shot + Structured Template</t>
        </is>
      </c>
      <c r="D303" s="46" t="inlineStr">
        <is>
          <t>SC05</t>
        </is>
      </c>
      <c r="E303" s="46" t="inlineStr">
        <is>
          <t>Supply Chain</t>
        </is>
      </c>
      <c r="F303" s="47" t="n">
        <v>10</v>
      </c>
      <c r="G303" s="46" t="inlineStr">
        <is>
          <t>Gemma3:27b via Ollama</t>
        </is>
      </c>
      <c r="H303" s="48" t="n">
        <v>46166</v>
      </c>
      <c r="I303" s="46" t="inlineStr">
        <is>
          <t>9.374</t>
        </is>
      </c>
      <c r="J303" s="46" t="inlineStr">
        <is>
          <t>67.21</t>
        </is>
      </c>
      <c r="K303" s="46" t="inlineStr">
        <is>
          <t>Gemma3:27b</t>
        </is>
      </c>
      <c r="L303" s="46" t="inlineStr">
        <is>
          <t>0.3</t>
        </is>
      </c>
      <c r="M303" s="73" t="inlineStr">
        <is>
          <t>Complete</t>
        </is>
      </c>
    </row>
    <row r="304" ht="13.5" customHeight="1" s="38">
      <c r="A304" s="46" t="inlineStr">
        <is>
          <t>Z_S1_SC01_I01</t>
        </is>
      </c>
      <c r="B304" s="46" t="inlineStr">
        <is>
          <t>R_0596</t>
        </is>
      </c>
      <c r="C304" s="46" t="inlineStr">
        <is>
          <t>Strategy 1 – Zero-Shot + Structured Template</t>
        </is>
      </c>
      <c r="D304" s="46" t="inlineStr">
        <is>
          <t>SC01</t>
        </is>
      </c>
      <c r="E304" s="46" t="inlineStr">
        <is>
          <t>Zero-Day / Edge Device</t>
        </is>
      </c>
      <c r="F304" s="47" t="n">
        <v>1</v>
      </c>
      <c r="G304" s="46" t="inlineStr">
        <is>
          <t>Gemma3:27b via Ollama</t>
        </is>
      </c>
      <c r="H304" s="48" t="n">
        <v>46163</v>
      </c>
      <c r="I304" s="46" t="inlineStr">
        <is>
          <t>9.053</t>
        </is>
      </c>
      <c r="J304" s="46" t="inlineStr">
        <is>
          <t>64.73</t>
        </is>
      </c>
      <c r="K304" s="46" t="inlineStr">
        <is>
          <t>Gemma3:27b</t>
        </is>
      </c>
      <c r="L304" s="46" t="inlineStr">
        <is>
          <t>0.3</t>
        </is>
      </c>
      <c r="M304" s="73" t="inlineStr">
        <is>
          <t>Complete</t>
        </is>
      </c>
    </row>
    <row r="305" ht="13.5" customHeight="1" s="38">
      <c r="A305" s="46" t="inlineStr">
        <is>
          <t>Z_S1_SC01_I02</t>
        </is>
      </c>
      <c r="B305" s="46" t="inlineStr">
        <is>
          <t>R_0560</t>
        </is>
      </c>
      <c r="C305" s="46" t="inlineStr">
        <is>
          <t>Strategy 1 – Zero-Shot + Structured Template</t>
        </is>
      </c>
      <c r="D305" s="46" t="inlineStr">
        <is>
          <t>SC01</t>
        </is>
      </c>
      <c r="E305" s="46" t="inlineStr">
        <is>
          <t>Zero-Day / Edge Device</t>
        </is>
      </c>
      <c r="F305" s="47" t="n">
        <v>2</v>
      </c>
      <c r="G305" s="46" t="inlineStr">
        <is>
          <t>Gemma3:27b via Ollama</t>
        </is>
      </c>
      <c r="H305" s="48" t="n">
        <v>46163</v>
      </c>
      <c r="I305" s="46" t="inlineStr">
        <is>
          <t>8.636</t>
        </is>
      </c>
      <c r="J305" s="46" t="inlineStr">
        <is>
          <t>66.12</t>
        </is>
      </c>
      <c r="K305" s="46" t="inlineStr">
        <is>
          <t>Gemma3:27b</t>
        </is>
      </c>
      <c r="L305" s="46" t="inlineStr">
        <is>
          <t>0.3</t>
        </is>
      </c>
      <c r="M305" s="73" t="inlineStr">
        <is>
          <t>Complete</t>
        </is>
      </c>
    </row>
    <row r="306" ht="13.5" customHeight="1" s="38">
      <c r="A306" s="46" t="inlineStr">
        <is>
          <t>Z_S1_SC01_I03</t>
        </is>
      </c>
      <c r="B306" s="46" t="inlineStr">
        <is>
          <t>R_0181</t>
        </is>
      </c>
      <c r="C306" s="46" t="inlineStr">
        <is>
          <t>Strategy 1 – Zero-Shot + Structured Template</t>
        </is>
      </c>
      <c r="D306" s="46" t="inlineStr">
        <is>
          <t>SC01</t>
        </is>
      </c>
      <c r="E306" s="46" t="inlineStr">
        <is>
          <t>Zero-Day / Edge Device</t>
        </is>
      </c>
      <c r="F306" s="47" t="n">
        <v>3</v>
      </c>
      <c r="G306" s="46" t="inlineStr">
        <is>
          <t>Gemma3:27b via Ollama</t>
        </is>
      </c>
      <c r="H306" s="48" t="n">
        <v>46163</v>
      </c>
      <c r="I306" s="46" t="inlineStr">
        <is>
          <t>8.900</t>
        </is>
      </c>
      <c r="J306" s="46" t="inlineStr">
        <is>
          <t>66.07</t>
        </is>
      </c>
      <c r="K306" s="46" t="inlineStr">
        <is>
          <t>Gemma3:27b</t>
        </is>
      </c>
      <c r="L306" s="46" t="inlineStr">
        <is>
          <t>0.3</t>
        </is>
      </c>
      <c r="M306" s="73" t="inlineStr">
        <is>
          <t>Complete</t>
        </is>
      </c>
    </row>
    <row r="307" ht="13.5" customHeight="1" s="38">
      <c r="A307" s="46" t="inlineStr">
        <is>
          <t>Z_S1_SC01_I04</t>
        </is>
      </c>
      <c r="B307" s="46" t="inlineStr">
        <is>
          <t>R_0911</t>
        </is>
      </c>
      <c r="C307" s="46" t="inlineStr">
        <is>
          <t>Strategy 1 – Zero-Shot + Structured Template</t>
        </is>
      </c>
      <c r="D307" s="46" t="inlineStr">
        <is>
          <t>SC01</t>
        </is>
      </c>
      <c r="E307" s="46" t="inlineStr">
        <is>
          <t>Zero-Day / Edge Device</t>
        </is>
      </c>
      <c r="F307" s="47" t="n">
        <v>4</v>
      </c>
      <c r="G307" s="46" t="inlineStr">
        <is>
          <t>Gemma3:27b via Ollama</t>
        </is>
      </c>
      <c r="H307" s="48" t="n">
        <v>46163</v>
      </c>
      <c r="I307" s="46" t="inlineStr">
        <is>
          <t>8.378</t>
        </is>
      </c>
      <c r="J307" s="46" t="inlineStr">
        <is>
          <t>66.00</t>
        </is>
      </c>
      <c r="K307" s="46" t="inlineStr">
        <is>
          <t>Gemma3:27b</t>
        </is>
      </c>
      <c r="L307" s="46" t="inlineStr">
        <is>
          <t>0.3</t>
        </is>
      </c>
      <c r="M307" s="73" t="inlineStr">
        <is>
          <t>Complete</t>
        </is>
      </c>
    </row>
    <row r="308" ht="13.5" customHeight="1" s="38">
      <c r="A308" s="46" t="inlineStr">
        <is>
          <t>Z_S1_SC01_I05</t>
        </is>
      </c>
      <c r="B308" s="46" t="inlineStr">
        <is>
          <t>R_0828</t>
        </is>
      </c>
      <c r="C308" s="46" t="inlineStr">
        <is>
          <t>Strategy 1 – Zero-Shot + Structured Template</t>
        </is>
      </c>
      <c r="D308" s="46" t="inlineStr">
        <is>
          <t>SC01</t>
        </is>
      </c>
      <c r="E308" s="46" t="inlineStr">
        <is>
          <t>Zero-Day / Edge Device</t>
        </is>
      </c>
      <c r="F308" s="47" t="n">
        <v>5</v>
      </c>
      <c r="G308" s="46" t="inlineStr">
        <is>
          <t>Gemma3:27b via Ollama</t>
        </is>
      </c>
      <c r="H308" s="48" t="n">
        <v>46163</v>
      </c>
      <c r="I308" s="46" t="inlineStr">
        <is>
          <t>8.766</t>
        </is>
      </c>
      <c r="J308" s="46" t="inlineStr">
        <is>
          <t>66.16</t>
        </is>
      </c>
      <c r="K308" s="46" t="inlineStr">
        <is>
          <t>Gemma3:27b</t>
        </is>
      </c>
      <c r="L308" s="46" t="inlineStr">
        <is>
          <t>0.3</t>
        </is>
      </c>
      <c r="M308" s="73" t="inlineStr">
        <is>
          <t>Complete</t>
        </is>
      </c>
    </row>
    <row r="309" ht="13.5" customHeight="1" s="38">
      <c r="A309" s="46" t="inlineStr">
        <is>
          <t>Z_S1_SC01_I06</t>
        </is>
      </c>
      <c r="B309" s="46" t="inlineStr">
        <is>
          <t>R_0440</t>
        </is>
      </c>
      <c r="C309" s="46" t="inlineStr">
        <is>
          <t>Strategy 1 – Zero-Shot + Structured Template</t>
        </is>
      </c>
      <c r="D309" s="46" t="inlineStr">
        <is>
          <t>SC01</t>
        </is>
      </c>
      <c r="E309" s="46" t="inlineStr">
        <is>
          <t>Zero-Day / Edge Device</t>
        </is>
      </c>
      <c r="F309" s="47" t="n">
        <v>6</v>
      </c>
      <c r="G309" s="46" t="inlineStr">
        <is>
          <t>Gemma3:27b via Ollama</t>
        </is>
      </c>
      <c r="H309" s="48" t="n">
        <v>46163</v>
      </c>
      <c r="I309" s="46" t="inlineStr">
        <is>
          <t>9.833</t>
        </is>
      </c>
      <c r="J309" s="46" t="inlineStr">
        <is>
          <t>66.21</t>
        </is>
      </c>
      <c r="K309" s="46" t="inlineStr">
        <is>
          <t>Gemma3:27b</t>
        </is>
      </c>
      <c r="L309" s="46" t="inlineStr">
        <is>
          <t>0.3</t>
        </is>
      </c>
      <c r="M309" s="73" t="inlineStr">
        <is>
          <t>Complete</t>
        </is>
      </c>
    </row>
    <row r="310" ht="13.5" customHeight="1" s="38">
      <c r="A310" s="46" t="inlineStr">
        <is>
          <t>Z_S1_SC01_I07</t>
        </is>
      </c>
      <c r="B310" s="46" t="inlineStr">
        <is>
          <t>R_0915</t>
        </is>
      </c>
      <c r="C310" s="46" t="inlineStr">
        <is>
          <t>Strategy 1 – Zero-Shot + Structured Template</t>
        </is>
      </c>
      <c r="D310" s="46" t="inlineStr">
        <is>
          <t>SC01</t>
        </is>
      </c>
      <c r="E310" s="46" t="inlineStr">
        <is>
          <t>Zero-Day / Edge Device</t>
        </is>
      </c>
      <c r="F310" s="47" t="n">
        <v>7</v>
      </c>
      <c r="G310" s="46" t="inlineStr">
        <is>
          <t>Gemma3:27b via Ollama</t>
        </is>
      </c>
      <c r="H310" s="48" t="n">
        <v>46163</v>
      </c>
      <c r="I310" s="46" t="inlineStr">
        <is>
          <t>9.389</t>
        </is>
      </c>
      <c r="J310" s="46" t="inlineStr">
        <is>
          <t>65.93</t>
        </is>
      </c>
      <c r="K310" s="46" t="inlineStr">
        <is>
          <t>Gemma3:27b</t>
        </is>
      </c>
      <c r="L310" s="46" t="inlineStr">
        <is>
          <t>0.3</t>
        </is>
      </c>
      <c r="M310" s="73" t="inlineStr">
        <is>
          <t>Complete</t>
        </is>
      </c>
    </row>
    <row r="311" ht="13.5" customHeight="1" s="38">
      <c r="A311" s="46" t="inlineStr">
        <is>
          <t>Z_S1_SC01_I08</t>
        </is>
      </c>
      <c r="B311" s="46" t="inlineStr">
        <is>
          <t>R_0011</t>
        </is>
      </c>
      <c r="C311" s="46" t="inlineStr">
        <is>
          <t>Strategy 1 – Zero-Shot + Structured Template</t>
        </is>
      </c>
      <c r="D311" s="46" t="inlineStr">
        <is>
          <t>SC01</t>
        </is>
      </c>
      <c r="E311" s="46" t="inlineStr">
        <is>
          <t>Zero-Day / Edge Device</t>
        </is>
      </c>
      <c r="F311" s="47" t="n">
        <v>8</v>
      </c>
      <c r="G311" s="46" t="inlineStr">
        <is>
          <t>Gemma3:27b via Ollama</t>
        </is>
      </c>
      <c r="H311" s="48" t="n">
        <v>46163</v>
      </c>
      <c r="I311" s="46" t="inlineStr">
        <is>
          <t>8.764</t>
        </is>
      </c>
      <c r="J311" s="46" t="inlineStr">
        <is>
          <t>66.18</t>
        </is>
      </c>
      <c r="K311" s="46" t="inlineStr">
        <is>
          <t>Gemma3:27b</t>
        </is>
      </c>
      <c r="L311" s="46" t="inlineStr">
        <is>
          <t>0.3</t>
        </is>
      </c>
      <c r="M311" s="73" t="inlineStr">
        <is>
          <t>Complete</t>
        </is>
      </c>
    </row>
    <row r="312" ht="13.5" customHeight="1" s="38">
      <c r="A312" s="46" t="inlineStr">
        <is>
          <t>Z_S1_SC01_I09</t>
        </is>
      </c>
      <c r="B312" s="46" t="inlineStr">
        <is>
          <t>R_0300</t>
        </is>
      </c>
      <c r="C312" s="46" t="inlineStr">
        <is>
          <t>Strategy 1 – Zero-Shot + Structured Template</t>
        </is>
      </c>
      <c r="D312" s="46" t="inlineStr">
        <is>
          <t>SC01</t>
        </is>
      </c>
      <c r="E312" s="46" t="inlineStr">
        <is>
          <t>Zero-Day / Edge Device</t>
        </is>
      </c>
      <c r="F312" s="47" t="n">
        <v>9</v>
      </c>
      <c r="G312" s="46" t="inlineStr">
        <is>
          <t>Gemma3:27b via Ollama</t>
        </is>
      </c>
      <c r="H312" s="48" t="n">
        <v>46163</v>
      </c>
      <c r="I312" s="46" t="inlineStr">
        <is>
          <t>9.442</t>
        </is>
      </c>
      <c r="J312" s="46" t="inlineStr">
        <is>
          <t>65.98</t>
        </is>
      </c>
      <c r="K312" s="46" t="inlineStr">
        <is>
          <t>Gemma3:27b</t>
        </is>
      </c>
      <c r="L312" s="46" t="inlineStr">
        <is>
          <t>0.3</t>
        </is>
      </c>
      <c r="M312" s="73" t="inlineStr">
        <is>
          <t>Complete</t>
        </is>
      </c>
    </row>
    <row r="313" ht="13.5" customHeight="1" s="38">
      <c r="A313" s="46" t="inlineStr">
        <is>
          <t>Z_S1_SC01_I10</t>
        </is>
      </c>
      <c r="B313" s="46" t="inlineStr">
        <is>
          <t>R_0200</t>
        </is>
      </c>
      <c r="C313" s="46" t="inlineStr">
        <is>
          <t>Strategy 1 – Zero-Shot + Structured Template</t>
        </is>
      </c>
      <c r="D313" s="46" t="inlineStr">
        <is>
          <t>SC01</t>
        </is>
      </c>
      <c r="E313" s="46" t="inlineStr">
        <is>
          <t>Zero-Day / Edge Device</t>
        </is>
      </c>
      <c r="F313" s="47" t="n">
        <v>10</v>
      </c>
      <c r="G313" s="46" t="inlineStr">
        <is>
          <t>Gemma3:27b via Ollama</t>
        </is>
      </c>
      <c r="H313" s="48" t="n">
        <v>46163</v>
      </c>
      <c r="I313" s="46" t="inlineStr">
        <is>
          <t>8.525</t>
        </is>
      </c>
      <c r="J313" s="46" t="inlineStr">
        <is>
          <t>65.69</t>
        </is>
      </c>
      <c r="K313" s="46" t="inlineStr">
        <is>
          <t>Gemma3:27b</t>
        </is>
      </c>
      <c r="L313" s="46" t="inlineStr">
        <is>
          <t>0.3</t>
        </is>
      </c>
      <c r="M313" s="73" t="inlineStr">
        <is>
          <t>Complete</t>
        </is>
      </c>
    </row>
    <row r="314" ht="13.5" customHeight="1" s="38">
      <c r="A314" s="46" t="inlineStr">
        <is>
          <t>Z_S1_SC02_I01</t>
        </is>
      </c>
      <c r="B314" s="46" t="inlineStr">
        <is>
          <t>R_0714</t>
        </is>
      </c>
      <c r="C314" s="46" t="inlineStr">
        <is>
          <t>Strategy 1 – Zero-Shot + Structured Template</t>
        </is>
      </c>
      <c r="D314" s="46" t="inlineStr">
        <is>
          <t>SC02</t>
        </is>
      </c>
      <c r="E314" s="46" t="inlineStr">
        <is>
          <t>Zero-Day / Edge Device</t>
        </is>
      </c>
      <c r="F314" s="47" t="n">
        <v>1</v>
      </c>
      <c r="G314" s="46" t="inlineStr">
        <is>
          <t>Gemma3:27b via Ollama</t>
        </is>
      </c>
      <c r="H314" s="48" t="n">
        <v>46163</v>
      </c>
      <c r="I314" s="46" t="inlineStr">
        <is>
          <t>10.364</t>
        </is>
      </c>
      <c r="J314" s="46" t="inlineStr">
        <is>
          <t>65.32</t>
        </is>
      </c>
      <c r="K314" s="46" t="inlineStr">
        <is>
          <t>Gemma3:27b</t>
        </is>
      </c>
      <c r="L314" s="46" t="inlineStr">
        <is>
          <t>0.3</t>
        </is>
      </c>
      <c r="M314" s="73" t="inlineStr">
        <is>
          <t>Complete</t>
        </is>
      </c>
    </row>
    <row r="315" ht="13.5" customHeight="1" s="38">
      <c r="A315" s="46" t="inlineStr">
        <is>
          <t>Z_S1_SC02_I02</t>
        </is>
      </c>
      <c r="B315" s="46" t="inlineStr">
        <is>
          <t>R_0976</t>
        </is>
      </c>
      <c r="C315" s="46" t="inlineStr">
        <is>
          <t>Strategy 1 – Zero-Shot + Structured Template</t>
        </is>
      </c>
      <c r="D315" s="46" t="inlineStr">
        <is>
          <t>SC02</t>
        </is>
      </c>
      <c r="E315" s="46" t="inlineStr">
        <is>
          <t>Zero-Day / Edge Device</t>
        </is>
      </c>
      <c r="F315" s="47" t="n">
        <v>2</v>
      </c>
      <c r="G315" s="46" t="inlineStr">
        <is>
          <t>Gemma3:27b via Ollama</t>
        </is>
      </c>
      <c r="H315" s="48" t="n">
        <v>46163</v>
      </c>
      <c r="I315" s="46" t="inlineStr">
        <is>
          <t>9.982</t>
        </is>
      </c>
      <c r="J315" s="46" t="inlineStr">
        <is>
          <t>65.41</t>
        </is>
      </c>
      <c r="K315" s="46" t="inlineStr">
        <is>
          <t>Gemma3:27b</t>
        </is>
      </c>
      <c r="L315" s="46" t="inlineStr">
        <is>
          <t>0.3</t>
        </is>
      </c>
      <c r="M315" s="73" t="inlineStr">
        <is>
          <t>Complete</t>
        </is>
      </c>
    </row>
    <row r="316" ht="13.5" customHeight="1" s="38">
      <c r="A316" s="46" t="inlineStr">
        <is>
          <t>Z_S1_SC02_I03</t>
        </is>
      </c>
      <c r="B316" s="46" t="inlineStr">
        <is>
          <t>R_0032</t>
        </is>
      </c>
      <c r="C316" s="46" t="inlineStr">
        <is>
          <t>Strategy 1 – Zero-Shot + Structured Template</t>
        </is>
      </c>
      <c r="D316" s="46" t="inlineStr">
        <is>
          <t>SC02</t>
        </is>
      </c>
      <c r="E316" s="46" t="inlineStr">
        <is>
          <t>Zero-Day / Edge Device</t>
        </is>
      </c>
      <c r="F316" s="47" t="n">
        <v>3</v>
      </c>
      <c r="G316" s="46" t="inlineStr">
        <is>
          <t>Gemma3:27b via Ollama</t>
        </is>
      </c>
      <c r="H316" s="48" t="n">
        <v>46163</v>
      </c>
      <c r="I316" s="46" t="inlineStr">
        <is>
          <t>9.211</t>
        </is>
      </c>
      <c r="J316" s="46" t="inlineStr">
        <is>
          <t>64.27</t>
        </is>
      </c>
      <c r="K316" s="46" t="inlineStr">
        <is>
          <t>Gemma3:27b</t>
        </is>
      </c>
      <c r="L316" s="46" t="inlineStr">
        <is>
          <t>0.3</t>
        </is>
      </c>
      <c r="M316" s="73" t="inlineStr">
        <is>
          <t>Complete</t>
        </is>
      </c>
    </row>
    <row r="317" ht="13.5" customHeight="1" s="38">
      <c r="A317" s="46" t="inlineStr">
        <is>
          <t>Z_S1_SC02_I04</t>
        </is>
      </c>
      <c r="B317" s="46" t="inlineStr">
        <is>
          <t>R_0319</t>
        </is>
      </c>
      <c r="C317" s="46" t="inlineStr">
        <is>
          <t>Strategy 1 – Zero-Shot + Structured Template</t>
        </is>
      </c>
      <c r="D317" s="46" t="inlineStr">
        <is>
          <t>SC02</t>
        </is>
      </c>
      <c r="E317" s="46" t="inlineStr">
        <is>
          <t>Zero-Day / Edge Device</t>
        </is>
      </c>
      <c r="F317" s="47" t="n">
        <v>4</v>
      </c>
      <c r="G317" s="46" t="inlineStr">
        <is>
          <t>Gemma3:27b via Ollama</t>
        </is>
      </c>
      <c r="H317" s="48" t="n">
        <v>46163</v>
      </c>
      <c r="I317" s="46" t="inlineStr">
        <is>
          <t>10.365</t>
        </is>
      </c>
      <c r="J317" s="46" t="inlineStr">
        <is>
          <t>65.22</t>
        </is>
      </c>
      <c r="K317" s="46" t="inlineStr">
        <is>
          <t>Gemma3:27b</t>
        </is>
      </c>
      <c r="L317" s="46" t="inlineStr">
        <is>
          <t>0.3</t>
        </is>
      </c>
      <c r="M317" s="73" t="inlineStr">
        <is>
          <t>Complete</t>
        </is>
      </c>
    </row>
    <row r="318" ht="13.5" customHeight="1" s="38">
      <c r="A318" s="46" t="inlineStr">
        <is>
          <t>Z_S1_SC02_I05</t>
        </is>
      </c>
      <c r="B318" s="46" t="inlineStr">
        <is>
          <t>R_0420</t>
        </is>
      </c>
      <c r="C318" s="46" t="inlineStr">
        <is>
          <t>Strategy 1 – Zero-Shot + Structured Template</t>
        </is>
      </c>
      <c r="D318" s="46" t="inlineStr">
        <is>
          <t>SC02</t>
        </is>
      </c>
      <c r="E318" s="46" t="inlineStr">
        <is>
          <t>Zero-Day / Edge Device</t>
        </is>
      </c>
      <c r="F318" s="47" t="n">
        <v>5</v>
      </c>
      <c r="G318" s="46" t="inlineStr">
        <is>
          <t>Gemma3:27b via Ollama</t>
        </is>
      </c>
      <c r="H318" s="48" t="n">
        <v>46163</v>
      </c>
      <c r="I318" s="46" t="inlineStr">
        <is>
          <t>10.240</t>
        </is>
      </c>
      <c r="J318" s="46" t="inlineStr">
        <is>
          <t>66.02</t>
        </is>
      </c>
      <c r="K318" s="46" t="inlineStr">
        <is>
          <t>Gemma3:27b</t>
        </is>
      </c>
      <c r="L318" s="46" t="inlineStr">
        <is>
          <t>0.3</t>
        </is>
      </c>
      <c r="M318" s="73" t="inlineStr">
        <is>
          <t>Complete</t>
        </is>
      </c>
    </row>
    <row r="319" ht="13.5" customHeight="1" s="38">
      <c r="A319" s="46" t="inlineStr">
        <is>
          <t>Z_S1_SC02_I06</t>
        </is>
      </c>
      <c r="B319" s="46" t="inlineStr">
        <is>
          <t>R_0278</t>
        </is>
      </c>
      <c r="C319" s="46" t="inlineStr">
        <is>
          <t>Strategy 1 – Zero-Shot + Structured Template</t>
        </is>
      </c>
      <c r="D319" s="46" t="inlineStr">
        <is>
          <t>SC02</t>
        </is>
      </c>
      <c r="E319" s="46" t="inlineStr">
        <is>
          <t>Zero-Day / Edge Device</t>
        </is>
      </c>
      <c r="F319" s="47" t="n">
        <v>6</v>
      </c>
      <c r="G319" s="46" t="inlineStr">
        <is>
          <t>Gemma3:27b via Ollama</t>
        </is>
      </c>
      <c r="H319" s="48" t="n">
        <v>46163</v>
      </c>
      <c r="I319" s="46" t="inlineStr">
        <is>
          <t>9.753</t>
        </is>
      </c>
      <c r="J319" s="46" t="inlineStr">
        <is>
          <t>64.39</t>
        </is>
      </c>
      <c r="K319" s="46" t="inlineStr">
        <is>
          <t>Gemma3:27b</t>
        </is>
      </c>
      <c r="L319" s="46" t="inlineStr">
        <is>
          <t>0.3</t>
        </is>
      </c>
      <c r="M319" s="73" t="inlineStr">
        <is>
          <t>Complete</t>
        </is>
      </c>
    </row>
    <row r="320" ht="13.5" customHeight="1" s="38">
      <c r="A320" s="46" t="inlineStr">
        <is>
          <t>Z_S1_SC02_I07</t>
        </is>
      </c>
      <c r="B320" s="46" t="inlineStr">
        <is>
          <t>R_0483</t>
        </is>
      </c>
      <c r="C320" s="46" t="inlineStr">
        <is>
          <t>Strategy 1 – Zero-Shot + Structured Template</t>
        </is>
      </c>
      <c r="D320" s="46" t="inlineStr">
        <is>
          <t>SC02</t>
        </is>
      </c>
      <c r="E320" s="46" t="inlineStr">
        <is>
          <t>Zero-Day / Edge Device</t>
        </is>
      </c>
      <c r="F320" s="47" t="n">
        <v>7</v>
      </c>
      <c r="G320" s="46" t="inlineStr">
        <is>
          <t>Gemma3:27b via Ollama</t>
        </is>
      </c>
      <c r="H320" s="48" t="n">
        <v>46163</v>
      </c>
      <c r="I320" s="46" t="inlineStr">
        <is>
          <t>10.902</t>
        </is>
      </c>
      <c r="J320" s="46" t="inlineStr">
        <is>
          <t>64.30</t>
        </is>
      </c>
      <c r="K320" s="46" t="inlineStr">
        <is>
          <t>Gemma3:27b</t>
        </is>
      </c>
      <c r="L320" s="46" t="inlineStr">
        <is>
          <t>0.3</t>
        </is>
      </c>
      <c r="M320" s="73" t="inlineStr">
        <is>
          <t>Complete</t>
        </is>
      </c>
    </row>
    <row r="321" ht="13.5" customHeight="1" s="38">
      <c r="A321" s="46" t="inlineStr">
        <is>
          <t>Z_S1_SC02_I08</t>
        </is>
      </c>
      <c r="B321" s="46" t="inlineStr">
        <is>
          <t>R_0580</t>
        </is>
      </c>
      <c r="C321" s="46" t="inlineStr">
        <is>
          <t>Strategy 1 – Zero-Shot + Structured Template</t>
        </is>
      </c>
      <c r="D321" s="46" t="inlineStr">
        <is>
          <t>SC02</t>
        </is>
      </c>
      <c r="E321" s="46" t="inlineStr">
        <is>
          <t>Zero-Day / Edge Device</t>
        </is>
      </c>
      <c r="F321" s="47" t="n">
        <v>8</v>
      </c>
      <c r="G321" s="46" t="inlineStr">
        <is>
          <t>Gemma3:27b via Ollama</t>
        </is>
      </c>
      <c r="H321" s="48" t="n">
        <v>46163</v>
      </c>
      <c r="I321" s="46" t="inlineStr">
        <is>
          <t>9.819</t>
        </is>
      </c>
      <c r="J321" s="46" t="inlineStr">
        <is>
          <t>65.89</t>
        </is>
      </c>
      <c r="K321" s="46" t="inlineStr">
        <is>
          <t>Gemma3:27b</t>
        </is>
      </c>
      <c r="L321" s="46" t="inlineStr">
        <is>
          <t>0.3</t>
        </is>
      </c>
      <c r="M321" s="73" t="inlineStr">
        <is>
          <t>Complete</t>
        </is>
      </c>
    </row>
    <row r="322" ht="13.5" customHeight="1" s="38">
      <c r="A322" s="46" t="inlineStr">
        <is>
          <t>Z_S1_SC02_I09</t>
        </is>
      </c>
      <c r="B322" s="46" t="inlineStr">
        <is>
          <t>R_0386</t>
        </is>
      </c>
      <c r="C322" s="46" t="inlineStr">
        <is>
          <t>Strategy 1 – Zero-Shot + Structured Template</t>
        </is>
      </c>
      <c r="D322" s="46" t="inlineStr">
        <is>
          <t>SC02</t>
        </is>
      </c>
      <c r="E322" s="46" t="inlineStr">
        <is>
          <t>Zero-Day / Edge Device</t>
        </is>
      </c>
      <c r="F322" s="47" t="n">
        <v>9</v>
      </c>
      <c r="G322" s="46" t="inlineStr">
        <is>
          <t>Gemma3:27b via Ollama</t>
        </is>
      </c>
      <c r="H322" s="48" t="n">
        <v>46163</v>
      </c>
      <c r="I322" s="46" t="inlineStr">
        <is>
          <t>9.26</t>
        </is>
      </c>
      <c r="J322" s="46" t="inlineStr">
        <is>
          <t>64.17</t>
        </is>
      </c>
      <c r="K322" s="46" t="inlineStr">
        <is>
          <t>Gemma3:27b</t>
        </is>
      </c>
      <c r="L322" s="46" t="inlineStr">
        <is>
          <t>0.3</t>
        </is>
      </c>
      <c r="M322" s="73" t="inlineStr">
        <is>
          <t>Complete</t>
        </is>
      </c>
    </row>
    <row r="323" ht="13.5" customHeight="1" s="38">
      <c r="A323" s="46" t="inlineStr">
        <is>
          <t>Z_S1_SC02_I10</t>
        </is>
      </c>
      <c r="B323" s="46" t="inlineStr">
        <is>
          <t>R_0735</t>
        </is>
      </c>
      <c r="C323" s="46" t="inlineStr">
        <is>
          <t>Strategy 1 – Zero-Shot + Structured Template</t>
        </is>
      </c>
      <c r="D323" s="46" t="inlineStr">
        <is>
          <t>SC02</t>
        </is>
      </c>
      <c r="E323" s="46" t="inlineStr">
        <is>
          <t>Zero-Day / Edge Device</t>
        </is>
      </c>
      <c r="F323" s="47" t="n">
        <v>10</v>
      </c>
      <c r="G323" s="46" t="inlineStr">
        <is>
          <t>Gemma3:27b via Ollama</t>
        </is>
      </c>
      <c r="H323" s="48" t="n">
        <v>46163</v>
      </c>
      <c r="I323" s="46" t="inlineStr">
        <is>
          <t>10.102</t>
        </is>
      </c>
      <c r="J323" s="46" t="inlineStr">
        <is>
          <t>65.23</t>
        </is>
      </c>
      <c r="K323" s="46" t="inlineStr">
        <is>
          <t>Gemma3:27b</t>
        </is>
      </c>
      <c r="L323" s="46" t="inlineStr">
        <is>
          <t>0.3</t>
        </is>
      </c>
      <c r="M323" s="73" t="inlineStr">
        <is>
          <t>Complete</t>
        </is>
      </c>
    </row>
    <row r="324" ht="13.5" customHeight="1" s="38">
      <c r="A324" s="46" t="inlineStr">
        <is>
          <t>Z_S1_SC03_I01</t>
        </is>
      </c>
      <c r="B324" s="46" t="inlineStr">
        <is>
          <t>R_0416</t>
        </is>
      </c>
      <c r="C324" s="46" t="inlineStr">
        <is>
          <t>Strategy 1 – Zero-Shot + Structured Template</t>
        </is>
      </c>
      <c r="D324" s="46" t="inlineStr">
        <is>
          <t>SC03</t>
        </is>
      </c>
      <c r="E324" s="46" t="inlineStr">
        <is>
          <t>Zero-Day / Edge Device</t>
        </is>
      </c>
      <c r="F324" s="47" t="n">
        <v>1</v>
      </c>
      <c r="G324" s="46" t="inlineStr">
        <is>
          <t>Gemma3:27b via Ollama</t>
        </is>
      </c>
      <c r="H324" s="48" t="n">
        <v>46163</v>
      </c>
      <c r="I324" s="46" t="inlineStr">
        <is>
          <t>9.350</t>
        </is>
      </c>
      <c r="J324" s="46" t="inlineStr">
        <is>
          <t>65.56</t>
        </is>
      </c>
      <c r="K324" s="46" t="inlineStr">
        <is>
          <t>Gemma3:27b</t>
        </is>
      </c>
      <c r="L324" s="46" t="inlineStr">
        <is>
          <t>0.3</t>
        </is>
      </c>
      <c r="M324" s="73" t="inlineStr">
        <is>
          <t>Complete</t>
        </is>
      </c>
    </row>
    <row r="325" ht="13.5" customHeight="1" s="38">
      <c r="A325" s="46" t="inlineStr">
        <is>
          <t>Z_S1_SC03_I02</t>
        </is>
      </c>
      <c r="B325" s="46" t="inlineStr">
        <is>
          <t>R_0079</t>
        </is>
      </c>
      <c r="C325" s="46" t="inlineStr">
        <is>
          <t>Strategy 1 – Zero-Shot + Structured Template</t>
        </is>
      </c>
      <c r="D325" s="46" t="inlineStr">
        <is>
          <t>SC03</t>
        </is>
      </c>
      <c r="E325" s="46" t="inlineStr">
        <is>
          <t>Zero-Day / Edge Device</t>
        </is>
      </c>
      <c r="F325" s="47" t="n">
        <v>2</v>
      </c>
      <c r="G325" s="46" t="inlineStr">
        <is>
          <t>Gemma3:27b via Ollama</t>
        </is>
      </c>
      <c r="H325" s="48" t="n">
        <v>46163</v>
      </c>
      <c r="I325" s="46" t="inlineStr">
        <is>
          <t>9.515</t>
        </is>
      </c>
      <c r="J325" s="46" t="inlineStr">
        <is>
          <t>64.11</t>
        </is>
      </c>
      <c r="K325" s="46" t="inlineStr">
        <is>
          <t>Gemma3:27b</t>
        </is>
      </c>
      <c r="L325" s="46" t="inlineStr">
        <is>
          <t>0.3</t>
        </is>
      </c>
      <c r="M325" s="73" t="inlineStr">
        <is>
          <t>Complete</t>
        </is>
      </c>
    </row>
    <row r="326" ht="13.5" customHeight="1" s="38">
      <c r="A326" s="46" t="inlineStr">
        <is>
          <t>Z_S1_SC03_I03</t>
        </is>
      </c>
      <c r="B326" s="46" t="inlineStr">
        <is>
          <t>R_0992</t>
        </is>
      </c>
      <c r="C326" s="46" t="inlineStr">
        <is>
          <t>Strategy 1 – Zero-Shot + Structured Template</t>
        </is>
      </c>
      <c r="D326" s="46" t="inlineStr">
        <is>
          <t>SC03</t>
        </is>
      </c>
      <c r="E326" s="46" t="inlineStr">
        <is>
          <t>Zero-Day / Edge Device</t>
        </is>
      </c>
      <c r="F326" s="47" t="n">
        <v>3</v>
      </c>
      <c r="G326" s="46" t="inlineStr">
        <is>
          <t>Gemma3:27b via Ollama</t>
        </is>
      </c>
      <c r="H326" s="48" t="n">
        <v>46163</v>
      </c>
      <c r="I326" s="46" t="inlineStr">
        <is>
          <t>10.240</t>
        </is>
      </c>
      <c r="J326" s="46" t="inlineStr">
        <is>
          <t>64.16</t>
        </is>
      </c>
      <c r="K326" s="46" t="inlineStr">
        <is>
          <t>Gemma3:27b</t>
        </is>
      </c>
      <c r="L326" s="46" t="inlineStr">
        <is>
          <t>0.3</t>
        </is>
      </c>
      <c r="M326" s="73" t="inlineStr">
        <is>
          <t>Complete</t>
        </is>
      </c>
    </row>
    <row r="327" ht="13.5" customHeight="1" s="38">
      <c r="A327" s="46" t="inlineStr">
        <is>
          <t>Z_S1_SC03_I04</t>
        </is>
      </c>
      <c r="B327" s="46" t="inlineStr">
        <is>
          <t>R_0588</t>
        </is>
      </c>
      <c r="C327" s="46" t="inlineStr">
        <is>
          <t>Strategy 1 – Zero-Shot + Structured Template</t>
        </is>
      </c>
      <c r="D327" s="46" t="inlineStr">
        <is>
          <t>SC03</t>
        </is>
      </c>
      <c r="E327" s="46" t="inlineStr">
        <is>
          <t>Zero-Day / Edge Device</t>
        </is>
      </c>
      <c r="F327" s="47" t="n">
        <v>4</v>
      </c>
      <c r="G327" s="46" t="inlineStr">
        <is>
          <t>Gemma3:27b via Ollama</t>
        </is>
      </c>
      <c r="H327" s="48" t="n">
        <v>46163</v>
      </c>
      <c r="I327" s="46" t="inlineStr">
        <is>
          <t>9.203</t>
        </is>
      </c>
      <c r="J327" s="46" t="inlineStr">
        <is>
          <t>64.85</t>
        </is>
      </c>
      <c r="K327" s="46" t="inlineStr">
        <is>
          <t>Gemma3:27b</t>
        </is>
      </c>
      <c r="L327" s="46" t="inlineStr">
        <is>
          <t>0.3</t>
        </is>
      </c>
      <c r="M327" s="73" t="inlineStr">
        <is>
          <t>Complete</t>
        </is>
      </c>
    </row>
    <row r="328" ht="13.5" customHeight="1" s="38">
      <c r="A328" s="46" t="inlineStr">
        <is>
          <t>Z_S1_SC03_I05</t>
        </is>
      </c>
      <c r="B328" s="46" t="inlineStr">
        <is>
          <t>R_0561</t>
        </is>
      </c>
      <c r="C328" s="46" t="inlineStr">
        <is>
          <t>Strategy 1 – Zero-Shot + Structured Template</t>
        </is>
      </c>
      <c r="D328" s="46" t="inlineStr">
        <is>
          <t>SC03</t>
        </is>
      </c>
      <c r="E328" s="46" t="inlineStr">
        <is>
          <t>Zero-Day / Edge Device</t>
        </is>
      </c>
      <c r="F328" s="47" t="n">
        <v>5</v>
      </c>
      <c r="G328" s="46" t="inlineStr">
        <is>
          <t>Gemma3:27b via Ollama</t>
        </is>
      </c>
      <c r="H328" s="48" t="n">
        <v>46163</v>
      </c>
      <c r="I328" s="46" t="inlineStr">
        <is>
          <t>9.208</t>
        </is>
      </c>
      <c r="J328" s="46" t="inlineStr">
        <is>
          <t>65.49</t>
        </is>
      </c>
      <c r="K328" s="46" t="inlineStr">
        <is>
          <t>Gemma3:27b</t>
        </is>
      </c>
      <c r="L328" s="46" t="inlineStr">
        <is>
          <t>0.3</t>
        </is>
      </c>
      <c r="M328" s="73" t="inlineStr">
        <is>
          <t>Complete</t>
        </is>
      </c>
    </row>
    <row r="329" ht="13.5" customHeight="1" s="38">
      <c r="A329" s="46" t="inlineStr">
        <is>
          <t>Z_S1_SC03_I06</t>
        </is>
      </c>
      <c r="B329" s="46" t="inlineStr">
        <is>
          <t>R_0744</t>
        </is>
      </c>
      <c r="C329" s="46" t="inlineStr">
        <is>
          <t>Strategy 1 – Zero-Shot + Structured Template</t>
        </is>
      </c>
      <c r="D329" s="46" t="inlineStr">
        <is>
          <t>SC03</t>
        </is>
      </c>
      <c r="E329" s="46" t="inlineStr">
        <is>
          <t>Zero-Day / Edge Device</t>
        </is>
      </c>
      <c r="F329" s="47" t="n">
        <v>6</v>
      </c>
      <c r="G329" s="46" t="inlineStr">
        <is>
          <t>Gemma3:27b via Ollama</t>
        </is>
      </c>
      <c r="H329" s="48" t="n">
        <v>46163</v>
      </c>
      <c r="I329" s="46" t="inlineStr">
        <is>
          <t>9.776</t>
        </is>
      </c>
      <c r="J329" s="46" t="inlineStr">
        <is>
          <t>63.73</t>
        </is>
      </c>
      <c r="K329" s="46" t="inlineStr">
        <is>
          <t>Gemma3:27b</t>
        </is>
      </c>
      <c r="L329" s="46" t="inlineStr">
        <is>
          <t>0.3</t>
        </is>
      </c>
      <c r="M329" s="73" t="inlineStr">
        <is>
          <t>Complete</t>
        </is>
      </c>
    </row>
    <row r="330" ht="13.5" customHeight="1" s="38">
      <c r="A330" s="46" t="inlineStr">
        <is>
          <t>Z_S1_SC03_I07</t>
        </is>
      </c>
      <c r="B330" s="46" t="inlineStr">
        <is>
          <t>R_0042</t>
        </is>
      </c>
      <c r="C330" s="46" t="inlineStr">
        <is>
          <t>Strategy 1 – Zero-Shot + Structured Template</t>
        </is>
      </c>
      <c r="D330" s="46" t="inlineStr">
        <is>
          <t>SC03</t>
        </is>
      </c>
      <c r="E330" s="46" t="inlineStr">
        <is>
          <t>Zero-Day / Edge Device</t>
        </is>
      </c>
      <c r="F330" s="47" t="n">
        <v>7</v>
      </c>
      <c r="G330" s="46" t="inlineStr">
        <is>
          <t>Gemma3:27b via Ollama</t>
        </is>
      </c>
      <c r="H330" s="48" t="n">
        <v>46163</v>
      </c>
      <c r="I330" s="46" t="inlineStr">
        <is>
          <t>8.606</t>
        </is>
      </c>
      <c r="J330" s="46" t="inlineStr">
        <is>
          <t>65.53</t>
        </is>
      </c>
      <c r="K330" s="46" t="inlineStr">
        <is>
          <t>Gemma3:27b</t>
        </is>
      </c>
      <c r="L330" s="46" t="inlineStr">
        <is>
          <t>0.3</t>
        </is>
      </c>
      <c r="M330" s="73" t="inlineStr">
        <is>
          <t>Complete</t>
        </is>
      </c>
    </row>
    <row r="331" ht="13.5" customHeight="1" s="38">
      <c r="A331" s="46" t="inlineStr">
        <is>
          <t>Z_S1_SC03_I08</t>
        </is>
      </c>
      <c r="B331" s="46" t="inlineStr">
        <is>
          <t>R_0900</t>
        </is>
      </c>
      <c r="C331" s="46" t="inlineStr">
        <is>
          <t>Strategy 1 – Zero-Shot + Structured Template</t>
        </is>
      </c>
      <c r="D331" s="46" t="inlineStr">
        <is>
          <t>SC03</t>
        </is>
      </c>
      <c r="E331" s="46" t="inlineStr">
        <is>
          <t>Zero-Day / Edge Device</t>
        </is>
      </c>
      <c r="F331" s="47" t="n">
        <v>8</v>
      </c>
      <c r="G331" s="46" t="inlineStr">
        <is>
          <t>Gemma3:27b via Ollama</t>
        </is>
      </c>
      <c r="H331" s="48" t="n">
        <v>46163</v>
      </c>
      <c r="I331" s="46" t="inlineStr">
        <is>
          <t>9.018</t>
        </is>
      </c>
      <c r="J331" s="46" t="inlineStr">
        <is>
          <t>65.54</t>
        </is>
      </c>
      <c r="K331" s="46" t="inlineStr">
        <is>
          <t>Gemma3:27b</t>
        </is>
      </c>
      <c r="L331" s="46" t="inlineStr">
        <is>
          <t>0.3</t>
        </is>
      </c>
      <c r="M331" s="73" t="inlineStr">
        <is>
          <t>Complete</t>
        </is>
      </c>
    </row>
    <row r="332" ht="13.5" customHeight="1" s="38">
      <c r="A332" s="46" t="inlineStr">
        <is>
          <t>Z_S1_SC03_I09</t>
        </is>
      </c>
      <c r="B332" s="46" t="inlineStr">
        <is>
          <t>R_0532</t>
        </is>
      </c>
      <c r="C332" s="46" t="inlineStr">
        <is>
          <t>Strategy 1 – Zero-Shot + Structured Template</t>
        </is>
      </c>
      <c r="D332" s="46" t="inlineStr">
        <is>
          <t>SC03</t>
        </is>
      </c>
      <c r="E332" s="46" t="inlineStr">
        <is>
          <t>Zero-Day / Edge Device</t>
        </is>
      </c>
      <c r="F332" s="47" t="n">
        <v>9</v>
      </c>
      <c r="G332" s="46" t="inlineStr">
        <is>
          <t>Gemma3:27b via Ollama</t>
        </is>
      </c>
      <c r="H332" s="48" t="n">
        <v>46163</v>
      </c>
      <c r="I332" s="46" t="inlineStr">
        <is>
          <t>9.066</t>
        </is>
      </c>
      <c r="J332" s="46" t="inlineStr">
        <is>
          <t>65.41</t>
        </is>
      </c>
      <c r="K332" s="46" t="inlineStr">
        <is>
          <t>Gemma3:27b</t>
        </is>
      </c>
      <c r="L332" s="46" t="inlineStr">
        <is>
          <t>0.3</t>
        </is>
      </c>
      <c r="M332" s="73" t="inlineStr">
        <is>
          <t>Complete</t>
        </is>
      </c>
    </row>
    <row r="333" ht="13.5" customHeight="1" s="38">
      <c r="A333" s="46" t="inlineStr">
        <is>
          <t>Z_S1_SC03_I10</t>
        </is>
      </c>
      <c r="B333" s="46" t="inlineStr">
        <is>
          <t>R_0402</t>
        </is>
      </c>
      <c r="C333" s="46" t="inlineStr">
        <is>
          <t>Strategy 1 – Zero-Shot + Structured Template</t>
        </is>
      </c>
      <c r="D333" s="46" t="inlineStr">
        <is>
          <t>SC03</t>
        </is>
      </c>
      <c r="E333" s="46" t="inlineStr">
        <is>
          <t>Zero-Day / Edge Device</t>
        </is>
      </c>
      <c r="F333" s="47" t="n">
        <v>10</v>
      </c>
      <c r="G333" s="46" t="inlineStr">
        <is>
          <t>Gemma3:27b via Ollama</t>
        </is>
      </c>
      <c r="H333" s="48" t="n">
        <v>46163</v>
      </c>
      <c r="I333" s="46" t="inlineStr">
        <is>
          <t>9.815</t>
        </is>
      </c>
      <c r="J333" s="46" t="inlineStr">
        <is>
          <t>63.17</t>
        </is>
      </c>
      <c r="K333" s="46" t="inlineStr">
        <is>
          <t>Gemma3:27b</t>
        </is>
      </c>
      <c r="L333" s="46" t="inlineStr">
        <is>
          <t>0.3</t>
        </is>
      </c>
      <c r="M333" s="73" t="inlineStr">
        <is>
          <t>Complete</t>
        </is>
      </c>
    </row>
    <row r="334" ht="13.5" customHeight="1" s="38">
      <c r="A334" s="46" t="inlineStr">
        <is>
          <t>Z_S1_SC04_I01</t>
        </is>
      </c>
      <c r="B334" s="46" t="inlineStr">
        <is>
          <t>R_0140</t>
        </is>
      </c>
      <c r="C334" s="46" t="inlineStr">
        <is>
          <t>Strategy 1 – Zero-Shot + Structured Template</t>
        </is>
      </c>
      <c r="D334" s="46" t="inlineStr">
        <is>
          <t>SC04</t>
        </is>
      </c>
      <c r="E334" s="46" t="inlineStr">
        <is>
          <t>Zero-Day / Edge Device</t>
        </is>
      </c>
      <c r="F334" s="47" t="n">
        <v>1</v>
      </c>
      <c r="G334" s="46" t="inlineStr">
        <is>
          <t>Gemma3:27b via Ollama</t>
        </is>
      </c>
      <c r="H334" s="48" t="n">
        <v>46166</v>
      </c>
      <c r="I334" s="46" t="inlineStr">
        <is>
          <t>8.886</t>
        </is>
      </c>
      <c r="J334" s="46" t="inlineStr">
        <is>
          <t>67.86</t>
        </is>
      </c>
      <c r="K334" s="46" t="inlineStr">
        <is>
          <t>Gemma3:27b</t>
        </is>
      </c>
      <c r="L334" s="46" t="inlineStr">
        <is>
          <t>0.3</t>
        </is>
      </c>
      <c r="M334" s="73" t="inlineStr">
        <is>
          <t>Complete</t>
        </is>
      </c>
    </row>
    <row r="335" ht="13.5" customHeight="1" s="38">
      <c r="A335" s="46" t="inlineStr">
        <is>
          <t>Z_S1_SC04_I02</t>
        </is>
      </c>
      <c r="B335" s="46" t="inlineStr">
        <is>
          <t>R_0399</t>
        </is>
      </c>
      <c r="C335" s="46" t="inlineStr">
        <is>
          <t>Strategy 1 – Zero-Shot + Structured Template</t>
        </is>
      </c>
      <c r="D335" s="46" t="inlineStr">
        <is>
          <t>SC04</t>
        </is>
      </c>
      <c r="E335" s="46" t="inlineStr">
        <is>
          <t>Zero-Day / Edge Device</t>
        </is>
      </c>
      <c r="F335" s="47" t="n">
        <v>2</v>
      </c>
      <c r="G335" s="46" t="inlineStr">
        <is>
          <t>Gemma3:27b via Ollama</t>
        </is>
      </c>
      <c r="H335" s="48" t="n">
        <v>46166</v>
      </c>
      <c r="I335" s="46" t="inlineStr">
        <is>
          <t>8.344</t>
        </is>
      </c>
      <c r="J335" s="46" t="inlineStr">
        <is>
          <t>67.23</t>
        </is>
      </c>
      <c r="K335" s="46" t="inlineStr">
        <is>
          <t>Gemma3:27b</t>
        </is>
      </c>
      <c r="L335" s="46" t="inlineStr">
        <is>
          <t>0.3</t>
        </is>
      </c>
      <c r="M335" s="73" t="inlineStr">
        <is>
          <t>Complete</t>
        </is>
      </c>
    </row>
    <row r="336" ht="13.5" customHeight="1" s="38">
      <c r="A336" s="46" t="inlineStr">
        <is>
          <t>Z_S1_SC04_I03</t>
        </is>
      </c>
      <c r="B336" s="46" t="inlineStr">
        <is>
          <t>R_0428</t>
        </is>
      </c>
      <c r="C336" s="46" t="inlineStr">
        <is>
          <t>Strategy 1 – Zero-Shot + Structured Template</t>
        </is>
      </c>
      <c r="D336" s="46" t="inlineStr">
        <is>
          <t>SC04</t>
        </is>
      </c>
      <c r="E336" s="46" t="inlineStr">
        <is>
          <t>Zero-Day / Edge Device</t>
        </is>
      </c>
      <c r="F336" s="47" t="n">
        <v>3</v>
      </c>
      <c r="G336" s="46" t="inlineStr">
        <is>
          <t>Gemma3:27b via Ollama</t>
        </is>
      </c>
      <c r="H336" s="48" t="n">
        <v>46166</v>
      </c>
      <c r="I336" s="46" t="inlineStr">
        <is>
          <t>8581</t>
        </is>
      </c>
      <c r="J336" s="46" t="inlineStr">
        <is>
          <t>67.24</t>
        </is>
      </c>
      <c r="K336" s="46" t="inlineStr">
        <is>
          <t>Gemma3:27b</t>
        </is>
      </c>
      <c r="L336" s="46" t="inlineStr">
        <is>
          <t>0.3</t>
        </is>
      </c>
      <c r="M336" s="73" t="inlineStr">
        <is>
          <t>Complete</t>
        </is>
      </c>
    </row>
    <row r="337" ht="13.5" customHeight="1" s="38">
      <c r="A337" s="46" t="inlineStr">
        <is>
          <t>Z_S1_SC04_I04</t>
        </is>
      </c>
      <c r="B337" s="46" t="inlineStr">
        <is>
          <t>R_0529</t>
        </is>
      </c>
      <c r="C337" s="46" t="inlineStr">
        <is>
          <t>Strategy 1 – Zero-Shot + Structured Template</t>
        </is>
      </c>
      <c r="D337" s="46" t="inlineStr">
        <is>
          <t>SC04</t>
        </is>
      </c>
      <c r="E337" s="46" t="inlineStr">
        <is>
          <t>Zero-Day / Edge Device</t>
        </is>
      </c>
      <c r="F337" s="47" t="n">
        <v>4</v>
      </c>
      <c r="G337" s="46" t="inlineStr">
        <is>
          <t>Gemma3:27b via Ollama</t>
        </is>
      </c>
      <c r="H337" s="48" t="n">
        <v>46166</v>
      </c>
      <c r="I337" s="46" t="inlineStr">
        <is>
          <t>8.587</t>
        </is>
      </c>
      <c r="J337" s="46" t="inlineStr">
        <is>
          <t>67.19</t>
        </is>
      </c>
      <c r="K337" s="46" t="inlineStr">
        <is>
          <t>Gemma3:27b</t>
        </is>
      </c>
      <c r="L337" s="46" t="inlineStr">
        <is>
          <t>0.3</t>
        </is>
      </c>
      <c r="M337" s="73" t="inlineStr">
        <is>
          <t>Complete</t>
        </is>
      </c>
    </row>
    <row r="338" ht="13.5" customHeight="1" s="38">
      <c r="A338" s="46" t="inlineStr">
        <is>
          <t>Z_S1_SC04_I05</t>
        </is>
      </c>
      <c r="B338" s="46" t="inlineStr">
        <is>
          <t>R_0743</t>
        </is>
      </c>
      <c r="C338" s="46" t="inlineStr">
        <is>
          <t>Strategy 1 – Zero-Shot + Structured Template</t>
        </is>
      </c>
      <c r="D338" s="46" t="inlineStr">
        <is>
          <t>SC04</t>
        </is>
      </c>
      <c r="E338" s="46" t="inlineStr">
        <is>
          <t>Zero-Day / Edge Device</t>
        </is>
      </c>
      <c r="F338" s="47" t="n">
        <v>5</v>
      </c>
      <c r="G338" s="46" t="inlineStr">
        <is>
          <t>Gemma3:27b via Ollama</t>
        </is>
      </c>
      <c r="H338" s="48" t="n">
        <v>46166</v>
      </c>
      <c r="I338" s="46" t="inlineStr">
        <is>
          <t>9.145</t>
        </is>
      </c>
      <c r="J338" s="46" t="inlineStr">
        <is>
          <t>67.14</t>
        </is>
      </c>
      <c r="K338" s="46" t="inlineStr">
        <is>
          <t>Gemma3:27b</t>
        </is>
      </c>
      <c r="L338" s="46" t="inlineStr">
        <is>
          <t>0.3</t>
        </is>
      </c>
      <c r="M338" s="73" t="inlineStr">
        <is>
          <t>Complete</t>
        </is>
      </c>
    </row>
    <row r="339" ht="13.5" customHeight="1" s="38">
      <c r="A339" s="46" t="inlineStr">
        <is>
          <t>Z_S1_SC04_I06</t>
        </is>
      </c>
      <c r="B339" s="46" t="inlineStr">
        <is>
          <t>R_0141</t>
        </is>
      </c>
      <c r="C339" s="46" t="inlineStr">
        <is>
          <t>Strategy 1 – Zero-Shot + Structured Template</t>
        </is>
      </c>
      <c r="D339" s="46" t="inlineStr">
        <is>
          <t>SC04</t>
        </is>
      </c>
      <c r="E339" s="46" t="inlineStr">
        <is>
          <t>Zero-Day / Edge Device</t>
        </is>
      </c>
      <c r="F339" s="47" t="n">
        <v>6</v>
      </c>
      <c r="G339" s="46" t="inlineStr">
        <is>
          <t>Gemma3:27b via Ollama</t>
        </is>
      </c>
      <c r="H339" s="48" t="n">
        <v>46166</v>
      </c>
      <c r="I339" s="46" t="inlineStr">
        <is>
          <t>8.632</t>
        </is>
      </c>
      <c r="J339" s="46" t="inlineStr">
        <is>
          <t>66.15</t>
        </is>
      </c>
      <c r="K339" s="46" t="inlineStr">
        <is>
          <t>Gemma3:27b</t>
        </is>
      </c>
      <c r="L339" s="46" t="inlineStr">
        <is>
          <t>0.3</t>
        </is>
      </c>
      <c r="M339" s="73" t="inlineStr">
        <is>
          <t>Complete</t>
        </is>
      </c>
    </row>
    <row r="340" ht="13.5" customHeight="1" s="38">
      <c r="A340" s="46" t="inlineStr">
        <is>
          <t>Z_S1_SC04_I07</t>
        </is>
      </c>
      <c r="B340" s="46" t="inlineStr">
        <is>
          <t>R_0637</t>
        </is>
      </c>
      <c r="C340" s="46" t="inlineStr">
        <is>
          <t>Strategy 1 – Zero-Shot + Structured Template</t>
        </is>
      </c>
      <c r="D340" s="46" t="inlineStr">
        <is>
          <t>SC04</t>
        </is>
      </c>
      <c r="E340" s="46" t="inlineStr">
        <is>
          <t>Zero-Day / Edge Device</t>
        </is>
      </c>
      <c r="F340" s="47" t="n">
        <v>7</v>
      </c>
      <c r="G340" s="46" t="inlineStr">
        <is>
          <t>Gemma3:27b via Ollama</t>
        </is>
      </c>
      <c r="H340" s="48" t="n">
        <v>46166</v>
      </c>
      <c r="I340" s="46" t="inlineStr">
        <is>
          <t>8.986</t>
        </is>
      </c>
      <c r="J340" s="46" t="inlineStr">
        <is>
          <t>66.10</t>
        </is>
      </c>
      <c r="K340" s="46" t="inlineStr">
        <is>
          <t>Gemma3:27b</t>
        </is>
      </c>
      <c r="L340" s="46" t="inlineStr">
        <is>
          <t>0.3</t>
        </is>
      </c>
      <c r="M340" s="73" t="inlineStr">
        <is>
          <t>Complete</t>
        </is>
      </c>
    </row>
    <row r="341" ht="13.5" customHeight="1" s="38">
      <c r="A341" s="46" t="inlineStr">
        <is>
          <t>Z_S1_SC04_I08</t>
        </is>
      </c>
      <c r="B341" s="46" t="inlineStr">
        <is>
          <t>R_0321</t>
        </is>
      </c>
      <c r="C341" s="46" t="inlineStr">
        <is>
          <t>Strategy 1 – Zero-Shot + Structured Template</t>
        </is>
      </c>
      <c r="D341" s="46" t="inlineStr">
        <is>
          <t>SC04</t>
        </is>
      </c>
      <c r="E341" s="46" t="inlineStr">
        <is>
          <t>Zero-Day / Edge Device</t>
        </is>
      </c>
      <c r="F341" s="47" t="n">
        <v>8</v>
      </c>
      <c r="G341" s="46" t="inlineStr">
        <is>
          <t>Gemma3:27b via Ollama</t>
        </is>
      </c>
      <c r="H341" s="48" t="n">
        <v>46166</v>
      </c>
      <c r="I341" s="46" t="inlineStr">
        <is>
          <t>8.500</t>
        </is>
      </c>
      <c r="J341" s="46" t="inlineStr">
        <is>
          <t>67.17</t>
        </is>
      </c>
      <c r="K341" s="46" t="inlineStr">
        <is>
          <t>Gemma3:27b</t>
        </is>
      </c>
      <c r="L341" s="46" t="inlineStr">
        <is>
          <t>0.3</t>
        </is>
      </c>
      <c r="M341" s="73" t="inlineStr">
        <is>
          <t>Complete</t>
        </is>
      </c>
    </row>
    <row r="342" ht="13.5" customHeight="1" s="38">
      <c r="A342" s="46" t="inlineStr">
        <is>
          <t>Z_S1_SC04_I09</t>
        </is>
      </c>
      <c r="B342" s="46" t="inlineStr">
        <is>
          <t>R_0721</t>
        </is>
      </c>
      <c r="C342" s="46" t="inlineStr">
        <is>
          <t>Strategy 1 – Zero-Shot + Structured Template</t>
        </is>
      </c>
      <c r="D342" s="46" t="inlineStr">
        <is>
          <t>SC04</t>
        </is>
      </c>
      <c r="E342" s="46" t="inlineStr">
        <is>
          <t>Zero-Day / Edge Device</t>
        </is>
      </c>
      <c r="F342" s="47" t="n">
        <v>9</v>
      </c>
      <c r="G342" s="46" t="inlineStr">
        <is>
          <t>Gemma3:27b via Ollama</t>
        </is>
      </c>
      <c r="H342" s="48" t="n">
        <v>46166</v>
      </c>
      <c r="I342" s="46" t="inlineStr">
        <is>
          <t>8.375</t>
        </is>
      </c>
      <c r="J342" s="46" t="inlineStr">
        <is>
          <t>67.11</t>
        </is>
      </c>
      <c r="K342" s="46" t="inlineStr">
        <is>
          <t>Gemma3:27b</t>
        </is>
      </c>
      <c r="L342" s="46" t="inlineStr">
        <is>
          <t>0.3</t>
        </is>
      </c>
      <c r="M342" s="73" t="inlineStr">
        <is>
          <t>Complete</t>
        </is>
      </c>
    </row>
    <row r="343" ht="13.5" customHeight="1" s="38">
      <c r="A343" s="46" t="inlineStr">
        <is>
          <t>Z_S1_SC04_I10</t>
        </is>
      </c>
      <c r="B343" s="46" t="inlineStr">
        <is>
          <t>R_0475</t>
        </is>
      </c>
      <c r="C343" s="46" t="inlineStr">
        <is>
          <t>Strategy 1 – Zero-Shot + Structured Template</t>
        </is>
      </c>
      <c r="D343" s="46" t="inlineStr">
        <is>
          <t>SC04</t>
        </is>
      </c>
      <c r="E343" s="46" t="inlineStr">
        <is>
          <t>Zero-Day / Edge Device</t>
        </is>
      </c>
      <c r="F343" s="47" t="n">
        <v>10</v>
      </c>
      <c r="G343" s="46" t="inlineStr">
        <is>
          <t>Gemma3:27b via Ollama</t>
        </is>
      </c>
      <c r="H343" s="48" t="n">
        <v>46166</v>
      </c>
      <c r="I343" s="46" t="inlineStr">
        <is>
          <t>9.172</t>
        </is>
      </c>
      <c r="J343" s="46" t="inlineStr">
        <is>
          <t>67.27</t>
        </is>
      </c>
      <c r="K343" s="46" t="inlineStr">
        <is>
          <t>Gemma3:27b</t>
        </is>
      </c>
      <c r="L343" s="46" t="inlineStr">
        <is>
          <t>0.3</t>
        </is>
      </c>
      <c r="M343" s="73" t="inlineStr">
        <is>
          <t>Complete</t>
        </is>
      </c>
    </row>
    <row r="344" ht="13.5" customHeight="1" s="38">
      <c r="A344" s="46" t="inlineStr">
        <is>
          <t>Z_S1_SC05_I01</t>
        </is>
      </c>
      <c r="B344" s="46" t="inlineStr">
        <is>
          <t>R_0856</t>
        </is>
      </c>
      <c r="C344" s="46" t="inlineStr">
        <is>
          <t>Strategy 1 – Zero-Shot + Structured Template</t>
        </is>
      </c>
      <c r="D344" s="46" t="inlineStr">
        <is>
          <t>SC05</t>
        </is>
      </c>
      <c r="E344" s="46" t="inlineStr">
        <is>
          <t>Zero-Day / Edge Device</t>
        </is>
      </c>
      <c r="F344" s="47" t="n">
        <v>1</v>
      </c>
      <c r="G344" s="46" t="inlineStr">
        <is>
          <t>Gemma3:27b via Ollama</t>
        </is>
      </c>
      <c r="H344" s="48" t="n">
        <v>46166</v>
      </c>
      <c r="I344" s="46" t="inlineStr">
        <is>
          <t>9.748</t>
        </is>
      </c>
      <c r="J344" s="46" t="inlineStr">
        <is>
          <t>68.22</t>
        </is>
      </c>
      <c r="K344" s="46" t="inlineStr">
        <is>
          <t>Gemma3:27b</t>
        </is>
      </c>
      <c r="L344" s="46" t="inlineStr">
        <is>
          <t>0.3</t>
        </is>
      </c>
      <c r="M344" s="73" t="inlineStr">
        <is>
          <t>Complete</t>
        </is>
      </c>
    </row>
    <row r="345" ht="13.5" customHeight="1" s="38">
      <c r="A345" s="46" t="inlineStr">
        <is>
          <t>Z_S1_SC05_I02</t>
        </is>
      </c>
      <c r="B345" s="46" t="inlineStr">
        <is>
          <t>R_0327</t>
        </is>
      </c>
      <c r="C345" s="46" t="inlineStr">
        <is>
          <t>Strategy 1 – Zero-Shot + Structured Template</t>
        </is>
      </c>
      <c r="D345" s="46" t="inlineStr">
        <is>
          <t>SC05</t>
        </is>
      </c>
      <c r="E345" s="46" t="inlineStr">
        <is>
          <t>Zero-Day / Edge Device</t>
        </is>
      </c>
      <c r="F345" s="47" t="n">
        <v>2</v>
      </c>
      <c r="G345" s="46" t="inlineStr">
        <is>
          <t>Gemma3:27b via Ollama</t>
        </is>
      </c>
      <c r="H345" s="48" t="n">
        <v>46166</v>
      </c>
      <c r="I345" s="46" t="inlineStr">
        <is>
          <t>9.902</t>
        </is>
      </c>
      <c r="J345" s="46" t="inlineStr">
        <is>
          <t>68.17</t>
        </is>
      </c>
      <c r="K345" s="46" t="inlineStr">
        <is>
          <t>Gemma3:27b</t>
        </is>
      </c>
      <c r="L345" s="46" t="inlineStr">
        <is>
          <t>0.3</t>
        </is>
      </c>
      <c r="M345" s="73" t="inlineStr">
        <is>
          <t>Complete</t>
        </is>
      </c>
    </row>
    <row r="346" ht="13.5" customHeight="1" s="38">
      <c r="A346" s="46" t="inlineStr">
        <is>
          <t>Z_S1_SC05_I03</t>
        </is>
      </c>
      <c r="B346" s="46" t="inlineStr">
        <is>
          <t>R_0127</t>
        </is>
      </c>
      <c r="C346" s="46" t="inlineStr">
        <is>
          <t>Strategy 1 – Zero-Shot + Structured Template</t>
        </is>
      </c>
      <c r="D346" s="46" t="inlineStr">
        <is>
          <t>SC05</t>
        </is>
      </c>
      <c r="E346" s="46" t="inlineStr">
        <is>
          <t>Zero-Day / Edge Device</t>
        </is>
      </c>
      <c r="F346" s="47" t="n">
        <v>3</v>
      </c>
      <c r="G346" s="46" t="inlineStr">
        <is>
          <t>Gemma3:27b via Ollama</t>
        </is>
      </c>
      <c r="H346" s="48" t="n">
        <v>46166</v>
      </c>
      <c r="I346" s="46" t="inlineStr">
        <is>
          <t>9.341</t>
        </is>
      </c>
      <c r="J346" s="46" t="inlineStr">
        <is>
          <t>68.08</t>
        </is>
      </c>
      <c r="K346" s="46" t="inlineStr">
        <is>
          <t>Gemma3:27b</t>
        </is>
      </c>
      <c r="L346" s="46" t="inlineStr">
        <is>
          <t>0.3</t>
        </is>
      </c>
      <c r="M346" s="73" t="inlineStr">
        <is>
          <t>Complete</t>
        </is>
      </c>
    </row>
    <row r="347" ht="13.5" customHeight="1" s="38">
      <c r="A347" s="46" t="inlineStr">
        <is>
          <t>Z_S1_SC05_I04</t>
        </is>
      </c>
      <c r="B347" s="46" t="inlineStr">
        <is>
          <t>R_0133</t>
        </is>
      </c>
      <c r="C347" s="46" t="inlineStr">
        <is>
          <t>Strategy 1 – Zero-Shot + Structured Template</t>
        </is>
      </c>
      <c r="D347" s="46" t="inlineStr">
        <is>
          <t>SC05</t>
        </is>
      </c>
      <c r="E347" s="46" t="inlineStr">
        <is>
          <t>Zero-Day / Edge Device</t>
        </is>
      </c>
      <c r="F347" s="47" t="n">
        <v>4</v>
      </c>
      <c r="G347" s="46" t="inlineStr">
        <is>
          <t>Gemma3:27b via Ollama</t>
        </is>
      </c>
      <c r="H347" s="48" t="n">
        <v>46166</v>
      </c>
      <c r="I347" s="46" t="inlineStr">
        <is>
          <t>9.424</t>
        </is>
      </c>
      <c r="J347" s="46" t="inlineStr">
        <is>
          <t>68.02</t>
        </is>
      </c>
      <c r="K347" s="46" t="inlineStr">
        <is>
          <t>Gemma3:27b</t>
        </is>
      </c>
      <c r="L347" s="46" t="inlineStr">
        <is>
          <t>0.3</t>
        </is>
      </c>
      <c r="M347" s="73" t="inlineStr">
        <is>
          <t>Complete</t>
        </is>
      </c>
    </row>
    <row r="348" ht="13.5" customHeight="1" s="38">
      <c r="A348" s="46" t="inlineStr">
        <is>
          <t>Z_S1_SC05_I05</t>
        </is>
      </c>
      <c r="B348" s="46" t="inlineStr">
        <is>
          <t>R_0751</t>
        </is>
      </c>
      <c r="C348" s="46" t="inlineStr">
        <is>
          <t>Strategy 1 – Zero-Shot + Structured Template</t>
        </is>
      </c>
      <c r="D348" s="46" t="inlineStr">
        <is>
          <t>SC05</t>
        </is>
      </c>
      <c r="E348" s="46" t="inlineStr">
        <is>
          <t>Zero-Day / Edge Device</t>
        </is>
      </c>
      <c r="F348" s="47" t="n">
        <v>5</v>
      </c>
      <c r="G348" s="46" t="inlineStr">
        <is>
          <t>Gemma3:27b via Ollama</t>
        </is>
      </c>
      <c r="H348" s="48" t="n">
        <v>46166</v>
      </c>
      <c r="I348" s="46" t="inlineStr">
        <is>
          <t>9.208</t>
        </is>
      </c>
      <c r="J348" s="46" t="inlineStr">
        <is>
          <t>67.33</t>
        </is>
      </c>
      <c r="K348" s="46" t="inlineStr">
        <is>
          <t>Gemma3:27b</t>
        </is>
      </c>
      <c r="L348" s="46" t="inlineStr">
        <is>
          <t>0.3</t>
        </is>
      </c>
      <c r="M348" s="73" t="inlineStr">
        <is>
          <t>Complete</t>
        </is>
      </c>
    </row>
    <row r="349" ht="13.5" customHeight="1" s="38">
      <c r="A349" s="46" t="inlineStr">
        <is>
          <t>Z_S1_SC05_I06</t>
        </is>
      </c>
      <c r="B349" s="46" t="inlineStr">
        <is>
          <t>R_0925</t>
        </is>
      </c>
      <c r="C349" s="46" t="inlineStr">
        <is>
          <t>Strategy 1 – Zero-Shot + Structured Template</t>
        </is>
      </c>
      <c r="D349" s="46" t="inlineStr">
        <is>
          <t>SC05</t>
        </is>
      </c>
      <c r="E349" s="46" t="inlineStr">
        <is>
          <t>Zero-Day / Edge Device</t>
        </is>
      </c>
      <c r="F349" s="47" t="n">
        <v>6</v>
      </c>
      <c r="G349" s="46" t="inlineStr">
        <is>
          <t>Gemma3:27b via Ollama</t>
        </is>
      </c>
      <c r="H349" s="48" t="n">
        <v>46166</v>
      </c>
      <c r="I349" s="46" t="inlineStr">
        <is>
          <t>9.572</t>
        </is>
      </c>
      <c r="J349" s="46" t="inlineStr">
        <is>
          <t>68.01</t>
        </is>
      </c>
      <c r="K349" s="46" t="inlineStr">
        <is>
          <t>Gemma3:27b</t>
        </is>
      </c>
      <c r="L349" s="46" t="inlineStr">
        <is>
          <t>0.3</t>
        </is>
      </c>
      <c r="M349" s="73" t="inlineStr">
        <is>
          <t>Complete</t>
        </is>
      </c>
    </row>
    <row r="350" ht="13.5" customHeight="1" s="38">
      <c r="A350" s="46" t="inlineStr">
        <is>
          <t>Z_S1_SC05_I07</t>
        </is>
      </c>
      <c r="B350" s="46" t="inlineStr">
        <is>
          <t>R_0930</t>
        </is>
      </c>
      <c r="C350" s="46" t="inlineStr">
        <is>
          <t>Strategy 1 – Zero-Shot + Structured Template</t>
        </is>
      </c>
      <c r="D350" s="46" t="inlineStr">
        <is>
          <t>SC05</t>
        </is>
      </c>
      <c r="E350" s="46" t="inlineStr">
        <is>
          <t>Zero-Day / Edge Device</t>
        </is>
      </c>
      <c r="F350" s="47" t="n">
        <v>7</v>
      </c>
      <c r="G350" s="46" t="inlineStr">
        <is>
          <t>Gemma3:27b via Ollama</t>
        </is>
      </c>
      <c r="H350" s="48" t="n">
        <v>46166</v>
      </c>
      <c r="I350" s="46" t="inlineStr">
        <is>
          <t>9.879</t>
        </is>
      </c>
      <c r="J350" s="46" t="inlineStr">
        <is>
          <t>67.92</t>
        </is>
      </c>
      <c r="K350" s="46" t="inlineStr">
        <is>
          <t>Gemma3:27b</t>
        </is>
      </c>
      <c r="L350" s="46" t="inlineStr">
        <is>
          <t>0.3</t>
        </is>
      </c>
      <c r="M350" s="73" t="inlineStr">
        <is>
          <t>Complete</t>
        </is>
      </c>
    </row>
    <row r="351" ht="13.5" customHeight="1" s="38">
      <c r="A351" s="46" t="inlineStr">
        <is>
          <t>Z_S1_SC05_I08</t>
        </is>
      </c>
      <c r="B351" s="46" t="inlineStr">
        <is>
          <t>R_0645</t>
        </is>
      </c>
      <c r="C351" s="46" t="inlineStr">
        <is>
          <t>Strategy 1 – Zero-Shot + Structured Template</t>
        </is>
      </c>
      <c r="D351" s="46" t="inlineStr">
        <is>
          <t>SC05</t>
        </is>
      </c>
      <c r="E351" s="46" t="inlineStr">
        <is>
          <t>Zero-Day / Edge Device</t>
        </is>
      </c>
      <c r="F351" s="47" t="n">
        <v>8</v>
      </c>
      <c r="G351" s="46" t="inlineStr">
        <is>
          <t>Gemma3:27b via Ollama</t>
        </is>
      </c>
      <c r="H351" s="48" t="n">
        <v>46166</v>
      </c>
      <c r="I351" s="46" t="inlineStr">
        <is>
          <t>9.424</t>
        </is>
      </c>
      <c r="J351" s="46" t="inlineStr">
        <is>
          <t>67.91</t>
        </is>
      </c>
      <c r="K351" s="46" t="inlineStr">
        <is>
          <t>Gemma3:27b</t>
        </is>
      </c>
      <c r="L351" s="46" t="inlineStr">
        <is>
          <t>0.3</t>
        </is>
      </c>
      <c r="M351" s="73" t="inlineStr">
        <is>
          <t>Complete</t>
        </is>
      </c>
    </row>
    <row r="352" ht="13.5" customHeight="1" s="38">
      <c r="A352" s="46" t="inlineStr">
        <is>
          <t>Z_S1_SC05_I09</t>
        </is>
      </c>
      <c r="B352" s="46" t="inlineStr">
        <is>
          <t>R_0509</t>
        </is>
      </c>
      <c r="C352" s="46" t="inlineStr">
        <is>
          <t>Strategy 1 – Zero-Shot + Structured Template</t>
        </is>
      </c>
      <c r="D352" s="46" t="inlineStr">
        <is>
          <t>SC05</t>
        </is>
      </c>
      <c r="E352" s="46" t="inlineStr">
        <is>
          <t>Zero-Day / Edge Device</t>
        </is>
      </c>
      <c r="F352" s="47" t="n">
        <v>9</v>
      </c>
      <c r="G352" s="46" t="inlineStr">
        <is>
          <t>Gemma3:27b via Ollama</t>
        </is>
      </c>
      <c r="H352" s="48" t="n">
        <v>46166</v>
      </c>
      <c r="I352" s="46" t="inlineStr">
        <is>
          <t>9.497</t>
        </is>
      </c>
      <c r="J352" s="46" t="inlineStr">
        <is>
          <t>66.44</t>
        </is>
      </c>
      <c r="K352" s="46" t="inlineStr">
        <is>
          <t>Gemma3:27b</t>
        </is>
      </c>
      <c r="L352" s="46" t="inlineStr">
        <is>
          <t>0.3</t>
        </is>
      </c>
      <c r="M352" s="73" t="inlineStr">
        <is>
          <t>Complete</t>
        </is>
      </c>
    </row>
    <row r="353" ht="13.5" customHeight="1" s="38">
      <c r="A353" s="46" t="inlineStr">
        <is>
          <t>Z_S1_SC05_I10</t>
        </is>
      </c>
      <c r="B353" s="46" t="inlineStr">
        <is>
          <t>R_0608</t>
        </is>
      </c>
      <c r="C353" s="46" t="inlineStr">
        <is>
          <t>Strategy 1 – Zero-Shot + Structured Template</t>
        </is>
      </c>
      <c r="D353" s="46" t="inlineStr">
        <is>
          <t>SC05</t>
        </is>
      </c>
      <c r="E353" s="46" t="inlineStr">
        <is>
          <t>Zero-Day / Edge Device</t>
        </is>
      </c>
      <c r="F353" s="47" t="n">
        <v>10</v>
      </c>
      <c r="G353" s="46" t="inlineStr">
        <is>
          <t>Gemma3:27b via Ollama</t>
        </is>
      </c>
      <c r="H353" s="48" t="n">
        <v>46166</v>
      </c>
      <c r="I353" s="46" t="inlineStr">
        <is>
          <t>10.166</t>
        </is>
      </c>
      <c r="J353" s="46" t="inlineStr">
        <is>
          <t>66.50</t>
        </is>
      </c>
      <c r="K353" s="46" t="inlineStr">
        <is>
          <t>Gemma3:27b</t>
        </is>
      </c>
      <c r="L353" s="46" t="inlineStr">
        <is>
          <t>0.3</t>
        </is>
      </c>
      <c r="M353" s="73" t="inlineStr">
        <is>
          <t>Complete</t>
        </is>
      </c>
    </row>
    <row r="354" ht="13.5" customHeight="1" s="38">
      <c r="A354" s="46" t="inlineStr">
        <is>
          <t>B_S1_SC01_I01</t>
        </is>
      </c>
      <c r="B354" s="46" t="inlineStr">
        <is>
          <t>R_0259</t>
        </is>
      </c>
      <c r="C354" s="46" t="inlineStr">
        <is>
          <t>Strategy 1 – Zero-Shot + Structured Template</t>
        </is>
      </c>
      <c r="D354" s="46" t="inlineStr">
        <is>
          <t>SC01</t>
        </is>
      </c>
      <c r="E354" s="46" t="inlineStr">
        <is>
          <t>Business Email Compromise</t>
        </is>
      </c>
      <c r="F354" s="47" t="n">
        <v>1</v>
      </c>
      <c r="G354" s="46" t="inlineStr">
        <is>
          <t>Gemma3:27b via Ollama</t>
        </is>
      </c>
      <c r="H354" s="48" t="n">
        <v>46163</v>
      </c>
      <c r="I354" s="46" t="inlineStr">
        <is>
          <t>10.209</t>
        </is>
      </c>
      <c r="J354" s="46" t="inlineStr">
        <is>
          <t>65.14</t>
        </is>
      </c>
      <c r="K354" s="46" t="inlineStr">
        <is>
          <t>Gemma3:27b</t>
        </is>
      </c>
      <c r="L354" s="46" t="inlineStr">
        <is>
          <t>0.3</t>
        </is>
      </c>
      <c r="M354" s="73" t="inlineStr">
        <is>
          <t>Complete</t>
        </is>
      </c>
    </row>
    <row r="355" ht="13.5" customHeight="1" s="38">
      <c r="A355" s="46" t="inlineStr">
        <is>
          <t>B_S1_SC01_I02</t>
        </is>
      </c>
      <c r="B355" s="46" t="inlineStr">
        <is>
          <t>R_0314</t>
        </is>
      </c>
      <c r="C355" s="46" t="inlineStr">
        <is>
          <t>Strategy 1 – Zero-Shot + Structured Template</t>
        </is>
      </c>
      <c r="D355" s="46" t="inlineStr">
        <is>
          <t>SC01</t>
        </is>
      </c>
      <c r="E355" s="46" t="inlineStr">
        <is>
          <t>Business Email Compromise</t>
        </is>
      </c>
      <c r="F355" s="47" t="n">
        <v>2</v>
      </c>
      <c r="G355" s="46" t="inlineStr">
        <is>
          <t>Gemma3:27b via Ollama</t>
        </is>
      </c>
      <c r="H355" s="48" t="n">
        <v>46163</v>
      </c>
      <c r="I355" s="46" t="inlineStr">
        <is>
          <t>9.580</t>
        </is>
      </c>
      <c r="J355" s="46" t="inlineStr">
        <is>
          <t>65.76</t>
        </is>
      </c>
      <c r="K355" s="46" t="inlineStr">
        <is>
          <t>Gemma3:27b</t>
        </is>
      </c>
      <c r="L355" s="46" t="inlineStr">
        <is>
          <t>0.3</t>
        </is>
      </c>
      <c r="M355" s="73" t="inlineStr">
        <is>
          <t>Complete</t>
        </is>
      </c>
    </row>
    <row r="356" ht="13.5" customHeight="1" s="38">
      <c r="A356" s="46" t="inlineStr">
        <is>
          <t>B_S1_SC01_I03</t>
        </is>
      </c>
      <c r="B356" s="46" t="inlineStr">
        <is>
          <t>R_0418</t>
        </is>
      </c>
      <c r="C356" s="46" t="inlineStr">
        <is>
          <t>Strategy 1 – Zero-Shot + Structured Template</t>
        </is>
      </c>
      <c r="D356" s="46" t="inlineStr">
        <is>
          <t>SC01</t>
        </is>
      </c>
      <c r="E356" s="46" t="inlineStr">
        <is>
          <t>Business Email Compromise</t>
        </is>
      </c>
      <c r="F356" s="47" t="n">
        <v>3</v>
      </c>
      <c r="G356" s="46" t="inlineStr">
        <is>
          <t>Gemma3:27b via Ollama</t>
        </is>
      </c>
      <c r="H356" s="48" t="n">
        <v>46163</v>
      </c>
      <c r="I356" s="46" t="inlineStr">
        <is>
          <t>9.110</t>
        </is>
      </c>
      <c r="J356" s="46" t="inlineStr">
        <is>
          <t>65.75</t>
        </is>
      </c>
      <c r="K356" s="46" t="inlineStr">
        <is>
          <t>Gemma3:27b</t>
        </is>
      </c>
      <c r="L356" s="46" t="inlineStr">
        <is>
          <t>0.3</t>
        </is>
      </c>
      <c r="M356" s="73" t="inlineStr">
        <is>
          <t>Complete</t>
        </is>
      </c>
    </row>
    <row r="357" ht="13.5" customHeight="1" s="38">
      <c r="A357" s="46" t="inlineStr">
        <is>
          <t>B_S1_SC01_I04</t>
        </is>
      </c>
      <c r="B357" s="46" t="inlineStr">
        <is>
          <t>R_0163</t>
        </is>
      </c>
      <c r="C357" s="46" t="inlineStr">
        <is>
          <t>Strategy 1 – Zero-Shot + Structured Template</t>
        </is>
      </c>
      <c r="D357" s="46" t="inlineStr">
        <is>
          <t>SC01</t>
        </is>
      </c>
      <c r="E357" s="46" t="inlineStr">
        <is>
          <t>Business Email Compromise</t>
        </is>
      </c>
      <c r="F357" s="47" t="n">
        <v>4</v>
      </c>
      <c r="G357" s="46" t="inlineStr">
        <is>
          <t>Gemma3:27b via Ollama</t>
        </is>
      </c>
      <c r="H357" s="48" t="n">
        <v>46163</v>
      </c>
      <c r="I357" s="46" t="inlineStr">
        <is>
          <t>7.907</t>
        </is>
      </c>
      <c r="J357" s="46" t="inlineStr">
        <is>
          <t>66.90</t>
        </is>
      </c>
      <c r="K357" s="46" t="inlineStr">
        <is>
          <t>Gemma3:27b</t>
        </is>
      </c>
      <c r="L357" s="46" t="inlineStr">
        <is>
          <t>0.3</t>
        </is>
      </c>
      <c r="M357" s="73" t="inlineStr">
        <is>
          <t>Complete</t>
        </is>
      </c>
    </row>
    <row r="358" ht="13.5" customHeight="1" s="38">
      <c r="A358" s="46" t="inlineStr">
        <is>
          <t>B_S1_SC01_I05</t>
        </is>
      </c>
      <c r="B358" s="46" t="inlineStr">
        <is>
          <t>R_0305</t>
        </is>
      </c>
      <c r="C358" s="46" t="inlineStr">
        <is>
          <t>Strategy 1 – Zero-Shot + Structured Template</t>
        </is>
      </c>
      <c r="D358" s="46" t="inlineStr">
        <is>
          <t>SC01</t>
        </is>
      </c>
      <c r="E358" s="46" t="inlineStr">
        <is>
          <t>Business Email Compromise</t>
        </is>
      </c>
      <c r="F358" s="47" t="n">
        <v>5</v>
      </c>
      <c r="G358" s="46" t="inlineStr">
        <is>
          <t>Gemma3:27b via Ollama</t>
        </is>
      </c>
      <c r="H358" s="48" t="n">
        <v>46163</v>
      </c>
      <c r="I358" s="46" t="inlineStr">
        <is>
          <t>9.141</t>
        </is>
      </c>
      <c r="J358" s="46" t="inlineStr">
        <is>
          <t>66.40</t>
        </is>
      </c>
      <c r="K358" s="46" t="inlineStr">
        <is>
          <t>Gemma3:27b</t>
        </is>
      </c>
      <c r="L358" s="46" t="inlineStr">
        <is>
          <t>0.3</t>
        </is>
      </c>
      <c r="M358" s="73" t="inlineStr">
        <is>
          <t>Complete</t>
        </is>
      </c>
    </row>
    <row r="359" ht="13.5" customHeight="1" s="38">
      <c r="A359" s="46" t="inlineStr">
        <is>
          <t>B_S1_SC01_I06</t>
        </is>
      </c>
      <c r="B359" s="46" t="inlineStr">
        <is>
          <t>R_0287</t>
        </is>
      </c>
      <c r="C359" s="46" t="inlineStr">
        <is>
          <t>Strategy 1 – Zero-Shot + Structured Template</t>
        </is>
      </c>
      <c r="D359" s="46" t="inlineStr">
        <is>
          <t>SC01</t>
        </is>
      </c>
      <c r="E359" s="46" t="inlineStr">
        <is>
          <t>Business Email Compromise</t>
        </is>
      </c>
      <c r="F359" s="47" t="n">
        <v>6</v>
      </c>
      <c r="G359" s="46" t="inlineStr">
        <is>
          <t>Gemma3:27b via Ollama</t>
        </is>
      </c>
      <c r="H359" s="48" t="n">
        <v>46163</v>
      </c>
      <c r="I359" s="46" t="inlineStr">
        <is>
          <t>9.369</t>
        </is>
      </c>
      <c r="J359" s="46" t="inlineStr">
        <is>
          <t>64.68</t>
        </is>
      </c>
      <c r="K359" s="46" t="inlineStr">
        <is>
          <t>Gemma3:27b</t>
        </is>
      </c>
      <c r="L359" s="46" t="inlineStr">
        <is>
          <t>0.3</t>
        </is>
      </c>
      <c r="M359" s="73" t="inlineStr">
        <is>
          <t>Complete</t>
        </is>
      </c>
    </row>
    <row r="360" ht="13.5" customHeight="1" s="38">
      <c r="A360" s="46" t="inlineStr">
        <is>
          <t>B_S1_SC01_I07</t>
        </is>
      </c>
      <c r="B360" s="46" t="inlineStr">
        <is>
          <t>R_0606</t>
        </is>
      </c>
      <c r="C360" s="46" t="inlineStr">
        <is>
          <t>Strategy 1 – Zero-Shot + Structured Template</t>
        </is>
      </c>
      <c r="D360" s="46" t="inlineStr">
        <is>
          <t>SC01</t>
        </is>
      </c>
      <c r="E360" s="46" t="inlineStr">
        <is>
          <t>Business Email Compromise</t>
        </is>
      </c>
      <c r="F360" s="47" t="n">
        <v>7</v>
      </c>
      <c r="G360" s="46" t="inlineStr">
        <is>
          <t>Gemma3:27b via Ollama</t>
        </is>
      </c>
      <c r="H360" s="48" t="n">
        <v>46163</v>
      </c>
      <c r="I360" s="46" t="inlineStr">
        <is>
          <t>9.226</t>
        </is>
      </c>
      <c r="J360" s="46" t="inlineStr">
        <is>
          <t>66.22</t>
        </is>
      </c>
      <c r="K360" s="46" t="inlineStr">
        <is>
          <t>Gemma3:27b</t>
        </is>
      </c>
      <c r="L360" s="46" t="inlineStr">
        <is>
          <t>0.3</t>
        </is>
      </c>
      <c r="M360" s="73" t="inlineStr">
        <is>
          <t>Complete</t>
        </is>
      </c>
    </row>
    <row r="361" ht="13.5" customHeight="1" s="38">
      <c r="A361" s="46" t="inlineStr">
        <is>
          <t>B_S1_SC01_I08</t>
        </is>
      </c>
      <c r="B361" s="46" t="inlineStr">
        <is>
          <t>R_0451</t>
        </is>
      </c>
      <c r="C361" s="46" t="inlineStr">
        <is>
          <t>Strategy 1 – Zero-Shot + Structured Template</t>
        </is>
      </c>
      <c r="D361" s="46" t="inlineStr">
        <is>
          <t>SC01</t>
        </is>
      </c>
      <c r="E361" s="46" t="inlineStr">
        <is>
          <t>Business Email Compromise</t>
        </is>
      </c>
      <c r="F361" s="47" t="n">
        <v>8</v>
      </c>
      <c r="G361" s="46" t="inlineStr">
        <is>
          <t>Gemma3:27b via Ollama</t>
        </is>
      </c>
      <c r="H361" s="48" t="n">
        <v>46163</v>
      </c>
      <c r="I361" s="46" t="inlineStr">
        <is>
          <t>9.286</t>
        </is>
      </c>
      <c r="J361" s="46" t="inlineStr">
        <is>
          <t>67.09</t>
        </is>
      </c>
      <c r="K361" s="46" t="inlineStr">
        <is>
          <t>Gemma3:27b</t>
        </is>
      </c>
      <c r="L361" s="46" t="inlineStr">
        <is>
          <t>0.3</t>
        </is>
      </c>
      <c r="M361" s="73" t="inlineStr">
        <is>
          <t>Complete</t>
        </is>
      </c>
    </row>
    <row r="362" ht="13.5" customHeight="1" s="38">
      <c r="A362" s="46" t="inlineStr">
        <is>
          <t>B_S1_SC01_I09</t>
        </is>
      </c>
      <c r="B362" s="46" t="inlineStr">
        <is>
          <t>R_0366</t>
        </is>
      </c>
      <c r="C362" s="46" t="inlineStr">
        <is>
          <t>Strategy 1 – Zero-Shot + Structured Template</t>
        </is>
      </c>
      <c r="D362" s="46" t="inlineStr">
        <is>
          <t>SC01</t>
        </is>
      </c>
      <c r="E362" s="46" t="inlineStr">
        <is>
          <t>Business Email Compromise</t>
        </is>
      </c>
      <c r="F362" s="47" t="n">
        <v>9</v>
      </c>
      <c r="G362" s="46" t="inlineStr">
        <is>
          <t>Gemma3:27b via Ollama</t>
        </is>
      </c>
      <c r="H362" s="48" t="n">
        <v>46163</v>
      </c>
      <c r="I362" s="46" t="inlineStr">
        <is>
          <t>8.901</t>
        </is>
      </c>
      <c r="J362" s="46" t="inlineStr">
        <is>
          <t>67.19</t>
        </is>
      </c>
      <c r="K362" s="46" t="inlineStr">
        <is>
          <t>Gemma3:27b</t>
        </is>
      </c>
      <c r="L362" s="46" t="inlineStr">
        <is>
          <t>0.3</t>
        </is>
      </c>
      <c r="M362" s="73" t="inlineStr">
        <is>
          <t>Complete</t>
        </is>
      </c>
    </row>
    <row r="363" ht="13.5" customHeight="1" s="38">
      <c r="A363" s="46" t="inlineStr">
        <is>
          <t>B_S1_SC01_I10</t>
        </is>
      </c>
      <c r="B363" s="46" t="inlineStr">
        <is>
          <t>R_0069</t>
        </is>
      </c>
      <c r="C363" s="46" t="inlineStr">
        <is>
          <t>Strategy 1 – Zero-Shot + Structured Template</t>
        </is>
      </c>
      <c r="D363" s="46" t="inlineStr">
        <is>
          <t>SC01</t>
        </is>
      </c>
      <c r="E363" s="46" t="inlineStr">
        <is>
          <t>Business Email Compromise</t>
        </is>
      </c>
      <c r="F363" s="47" t="n">
        <v>10</v>
      </c>
      <c r="G363" s="46" t="inlineStr">
        <is>
          <t>Gemma3:27b via Ollama</t>
        </is>
      </c>
      <c r="H363" s="48" t="n">
        <v>46163</v>
      </c>
      <c r="I363" s="46" t="inlineStr">
        <is>
          <t>9.014</t>
        </is>
      </c>
      <c r="J363" s="46" t="inlineStr">
        <is>
          <t>67.67</t>
        </is>
      </c>
      <c r="K363" s="46" t="inlineStr">
        <is>
          <t>Gemma3:27b</t>
        </is>
      </c>
      <c r="L363" s="46" t="inlineStr">
        <is>
          <t>0.3</t>
        </is>
      </c>
      <c r="M363" s="73" t="inlineStr">
        <is>
          <t>Complete</t>
        </is>
      </c>
    </row>
    <row r="364" ht="13.5" customHeight="1" s="38">
      <c r="A364" s="46" t="inlineStr">
        <is>
          <t>B_S1_SC02_I01</t>
        </is>
      </c>
      <c r="B364" s="46" t="inlineStr">
        <is>
          <t>R_0387</t>
        </is>
      </c>
      <c r="C364" s="46" t="inlineStr">
        <is>
          <t>Strategy 1 – Zero-Shot + Structured Template</t>
        </is>
      </c>
      <c r="D364" s="46" t="inlineStr">
        <is>
          <t>SC02</t>
        </is>
      </c>
      <c r="E364" s="46" t="inlineStr">
        <is>
          <t>Business Email Compromise</t>
        </is>
      </c>
      <c r="F364" s="47" t="n">
        <v>1</v>
      </c>
      <c r="G364" s="46" t="inlineStr">
        <is>
          <t>Gemma3:27b via Ollama</t>
        </is>
      </c>
      <c r="H364" s="48" t="n">
        <v>46163</v>
      </c>
      <c r="I364" s="46" t="inlineStr">
        <is>
          <t>9.578</t>
        </is>
      </c>
      <c r="J364" s="46" t="inlineStr">
        <is>
          <t>67.76</t>
        </is>
      </c>
      <c r="K364" s="46" t="inlineStr">
        <is>
          <t>Gemma3:27b</t>
        </is>
      </c>
      <c r="L364" s="46" t="inlineStr">
        <is>
          <t>0.3</t>
        </is>
      </c>
      <c r="M364" s="73" t="inlineStr">
        <is>
          <t>Complete</t>
        </is>
      </c>
    </row>
    <row r="365" ht="13.5" customHeight="1" s="38">
      <c r="A365" s="46" t="inlineStr">
        <is>
          <t>B_S1_SC02_I02</t>
        </is>
      </c>
      <c r="B365" s="46" t="inlineStr">
        <is>
          <t>R_0807</t>
        </is>
      </c>
      <c r="C365" s="46" t="inlineStr">
        <is>
          <t>Strategy 1 – Zero-Shot + Structured Template</t>
        </is>
      </c>
      <c r="D365" s="46" t="inlineStr">
        <is>
          <t>SC02</t>
        </is>
      </c>
      <c r="E365" s="46" t="inlineStr">
        <is>
          <t>Business Email Compromise</t>
        </is>
      </c>
      <c r="F365" s="47" t="n">
        <v>2</v>
      </c>
      <c r="G365" s="46" t="inlineStr">
        <is>
          <t>Gemma3:27b via Ollama</t>
        </is>
      </c>
      <c r="H365" s="48" t="n">
        <v>46163</v>
      </c>
      <c r="I365" s="46" t="inlineStr">
        <is>
          <t>9.532</t>
        </is>
      </c>
      <c r="J365" s="46" t="inlineStr">
        <is>
          <t>67.67</t>
        </is>
      </c>
      <c r="K365" s="46" t="inlineStr">
        <is>
          <t>Gemma3:27b</t>
        </is>
      </c>
      <c r="L365" s="46" t="inlineStr">
        <is>
          <t>0.3</t>
        </is>
      </c>
      <c r="M365" s="73" t="inlineStr">
        <is>
          <t>Complete</t>
        </is>
      </c>
    </row>
    <row r="366" ht="13.5" customHeight="1" s="38">
      <c r="A366" s="46" t="inlineStr">
        <is>
          <t>B_S1_SC02_I03</t>
        </is>
      </c>
      <c r="B366" s="46" t="inlineStr">
        <is>
          <t>R_0951</t>
        </is>
      </c>
      <c r="C366" s="46" t="inlineStr">
        <is>
          <t>Strategy 1 – Zero-Shot + Structured Template</t>
        </is>
      </c>
      <c r="D366" s="46" t="inlineStr">
        <is>
          <t>SC02</t>
        </is>
      </c>
      <c r="E366" s="46" t="inlineStr">
        <is>
          <t>Business Email Compromise</t>
        </is>
      </c>
      <c r="F366" s="47" t="n">
        <v>3</v>
      </c>
      <c r="G366" s="46" t="inlineStr">
        <is>
          <t>Gemma3:27b via Ollama</t>
        </is>
      </c>
      <c r="H366" s="48" t="n">
        <v>46163</v>
      </c>
      <c r="I366" s="46" t="inlineStr">
        <is>
          <t>10.184</t>
        </is>
      </c>
      <c r="J366" s="46" t="inlineStr">
        <is>
          <t>66.38</t>
        </is>
      </c>
      <c r="K366" s="46" t="inlineStr">
        <is>
          <t>Gemma3:27b</t>
        </is>
      </c>
      <c r="L366" s="46" t="inlineStr">
        <is>
          <t>0.3</t>
        </is>
      </c>
      <c r="M366" s="73" t="inlineStr">
        <is>
          <t>Complete</t>
        </is>
      </c>
    </row>
    <row r="367" ht="13.5" customHeight="1" s="38">
      <c r="A367" s="46" t="inlineStr">
        <is>
          <t>B_S1_SC02_I04</t>
        </is>
      </c>
      <c r="B367" s="46" t="inlineStr">
        <is>
          <t>R_0514</t>
        </is>
      </c>
      <c r="C367" s="46" t="inlineStr">
        <is>
          <t>Strategy 1 – Zero-Shot + Structured Template</t>
        </is>
      </c>
      <c r="D367" s="46" t="inlineStr">
        <is>
          <t>SC02</t>
        </is>
      </c>
      <c r="E367" s="46" t="inlineStr">
        <is>
          <t>Business Email Compromise</t>
        </is>
      </c>
      <c r="F367" s="47" t="n">
        <v>4</v>
      </c>
      <c r="G367" s="46" t="inlineStr">
        <is>
          <t>Gemma3:27b via Ollama</t>
        </is>
      </c>
      <c r="H367" s="48" t="n">
        <v>46163</v>
      </c>
      <c r="I367" s="46" t="inlineStr">
        <is>
          <t>9.446</t>
        </is>
      </c>
      <c r="J367" s="46" t="inlineStr">
        <is>
          <t>67.12</t>
        </is>
      </c>
      <c r="K367" s="46" t="inlineStr">
        <is>
          <t>Gemma3:27b</t>
        </is>
      </c>
      <c r="L367" s="46" t="inlineStr">
        <is>
          <t>0.3</t>
        </is>
      </c>
      <c r="M367" s="73" t="inlineStr">
        <is>
          <t>Complete</t>
        </is>
      </c>
    </row>
    <row r="368" ht="13.5" customHeight="1" s="38">
      <c r="A368" s="46" t="inlineStr">
        <is>
          <t>B_S1_SC02_I05</t>
        </is>
      </c>
      <c r="B368" s="46" t="inlineStr">
        <is>
          <t>R_0538</t>
        </is>
      </c>
      <c r="C368" s="46" t="inlineStr">
        <is>
          <t>Strategy 1 – Zero-Shot + Structured Template</t>
        </is>
      </c>
      <c r="D368" s="46" t="inlineStr">
        <is>
          <t>SC02</t>
        </is>
      </c>
      <c r="E368" s="46" t="inlineStr">
        <is>
          <t>Business Email Compromise</t>
        </is>
      </c>
      <c r="F368" s="47" t="n">
        <v>5</v>
      </c>
      <c r="G368" s="46" t="inlineStr">
        <is>
          <t>Gemma3:27b via Ollama</t>
        </is>
      </c>
      <c r="H368" s="48" t="n">
        <v>46163</v>
      </c>
      <c r="I368" s="46" t="inlineStr">
        <is>
          <t>9.610</t>
        </is>
      </c>
      <c r="J368" s="46" t="inlineStr">
        <is>
          <t>66.08</t>
        </is>
      </c>
      <c r="K368" s="46" t="inlineStr">
        <is>
          <t>Gemma3:27b</t>
        </is>
      </c>
      <c r="L368" s="46" t="inlineStr">
        <is>
          <t>0.3</t>
        </is>
      </c>
      <c r="M368" s="73" t="inlineStr">
        <is>
          <t>Complete</t>
        </is>
      </c>
    </row>
    <row r="369" ht="13.5" customHeight="1" s="38">
      <c r="A369" s="46" t="inlineStr">
        <is>
          <t>B_S1_SC02_I06</t>
        </is>
      </c>
      <c r="B369" s="46" t="inlineStr">
        <is>
          <t>R_0238</t>
        </is>
      </c>
      <c r="C369" s="46" t="inlineStr">
        <is>
          <t>Strategy 1 – Zero-Shot + Structured Template</t>
        </is>
      </c>
      <c r="D369" s="46" t="inlineStr">
        <is>
          <t>SC02</t>
        </is>
      </c>
      <c r="E369" s="46" t="inlineStr">
        <is>
          <t>Business Email Compromise</t>
        </is>
      </c>
      <c r="F369" s="47" t="n">
        <v>6</v>
      </c>
      <c r="G369" s="46" t="inlineStr">
        <is>
          <t>Gemma3:27b via Ollama</t>
        </is>
      </c>
      <c r="H369" s="48" t="n">
        <v>46163</v>
      </c>
      <c r="I369" s="46" t="inlineStr">
        <is>
          <t>9.345</t>
        </is>
      </c>
      <c r="J369" s="46" t="inlineStr">
        <is>
          <t>66.45</t>
        </is>
      </c>
      <c r="K369" s="46" t="inlineStr">
        <is>
          <t>Gemma3:27b</t>
        </is>
      </c>
      <c r="L369" s="46" t="inlineStr">
        <is>
          <t>0.3</t>
        </is>
      </c>
      <c r="M369" s="73" t="inlineStr">
        <is>
          <t>Complete</t>
        </is>
      </c>
    </row>
    <row r="370" ht="13.5" customHeight="1" s="38">
      <c r="A370" s="46" t="inlineStr">
        <is>
          <t>B_S1_SC02_I07</t>
        </is>
      </c>
      <c r="B370" s="46" t="inlineStr">
        <is>
          <t>R_0266</t>
        </is>
      </c>
      <c r="C370" s="46" t="inlineStr">
        <is>
          <t>Strategy 1 – Zero-Shot + Structured Template</t>
        </is>
      </c>
      <c r="D370" s="46" t="inlineStr">
        <is>
          <t>SC02</t>
        </is>
      </c>
      <c r="E370" s="46" t="inlineStr">
        <is>
          <t>Business Email Compromise</t>
        </is>
      </c>
      <c r="F370" s="47" t="n">
        <v>7</v>
      </c>
      <c r="G370" s="46" t="inlineStr">
        <is>
          <t>Gemma3:27b via Ollama</t>
        </is>
      </c>
      <c r="H370" s="48" t="n">
        <v>46163</v>
      </c>
      <c r="I370" s="46" t="inlineStr">
        <is>
          <t>9.177</t>
        </is>
      </c>
      <c r="J370" s="46" t="inlineStr">
        <is>
          <t>67.67</t>
        </is>
      </c>
      <c r="K370" s="46" t="inlineStr">
        <is>
          <t>Gemma3:27b</t>
        </is>
      </c>
      <c r="L370" s="46" t="inlineStr">
        <is>
          <t>0.3</t>
        </is>
      </c>
      <c r="M370" s="73" t="inlineStr">
        <is>
          <t>Complete</t>
        </is>
      </c>
    </row>
    <row r="371" ht="13.5" customHeight="1" s="38">
      <c r="A371" s="46" t="inlineStr">
        <is>
          <t>B_S1_SC02_I08</t>
        </is>
      </c>
      <c r="B371" s="46" t="inlineStr">
        <is>
          <t>R_0381</t>
        </is>
      </c>
      <c r="C371" s="46" t="inlineStr">
        <is>
          <t>Strategy 1 – Zero-Shot + Structured Template</t>
        </is>
      </c>
      <c r="D371" s="46" t="inlineStr">
        <is>
          <t>SC02</t>
        </is>
      </c>
      <c r="E371" s="46" t="inlineStr">
        <is>
          <t>Business Email Compromise</t>
        </is>
      </c>
      <c r="F371" s="47" t="n">
        <v>8</v>
      </c>
      <c r="G371" s="46" t="inlineStr">
        <is>
          <t>Gemma3:27b via Ollama</t>
        </is>
      </c>
      <c r="H371" s="48" t="n">
        <v>46163</v>
      </c>
      <c r="I371" s="46" t="inlineStr">
        <is>
          <t>9.046</t>
        </is>
      </c>
      <c r="J371" s="46" t="inlineStr">
        <is>
          <t>66.88</t>
        </is>
      </c>
      <c r="K371" s="46" t="inlineStr">
        <is>
          <t>Gemma3:27b</t>
        </is>
      </c>
      <c r="L371" s="46" t="inlineStr">
        <is>
          <t>0.3</t>
        </is>
      </c>
      <c r="M371" s="73" t="inlineStr">
        <is>
          <t>Complete</t>
        </is>
      </c>
    </row>
    <row r="372" ht="13.5" customHeight="1" s="38">
      <c r="A372" s="46" t="inlineStr">
        <is>
          <t>B_S1_SC02_I09</t>
        </is>
      </c>
      <c r="B372" s="46" t="inlineStr">
        <is>
          <t>R_0091</t>
        </is>
      </c>
      <c r="C372" s="46" t="inlineStr">
        <is>
          <t>Strategy 1 – Zero-Shot + Structured Template</t>
        </is>
      </c>
      <c r="D372" s="46" t="inlineStr">
        <is>
          <t>SC02</t>
        </is>
      </c>
      <c r="E372" s="46" t="inlineStr">
        <is>
          <t>Business Email Compromise</t>
        </is>
      </c>
      <c r="F372" s="47" t="n">
        <v>9</v>
      </c>
      <c r="G372" s="46" t="inlineStr">
        <is>
          <t>Gemma3:27b via Ollama</t>
        </is>
      </c>
      <c r="H372" s="48" t="n">
        <v>46163</v>
      </c>
      <c r="I372" s="46" t="inlineStr">
        <is>
          <t>9.698</t>
        </is>
      </c>
      <c r="J372" s="46" t="inlineStr">
        <is>
          <t>66.82</t>
        </is>
      </c>
      <c r="K372" s="46" t="inlineStr">
        <is>
          <t>Gemma3:27b</t>
        </is>
      </c>
      <c r="L372" s="46" t="inlineStr">
        <is>
          <t>0.3</t>
        </is>
      </c>
      <c r="M372" s="73" t="inlineStr">
        <is>
          <t>Complete</t>
        </is>
      </c>
    </row>
    <row r="373" ht="13.5" customHeight="1" s="38">
      <c r="A373" s="46" t="inlineStr">
        <is>
          <t>B_S1_SC02_I10</t>
        </is>
      </c>
      <c r="B373" s="46" t="inlineStr">
        <is>
          <t>R_0950</t>
        </is>
      </c>
      <c r="C373" s="46" t="inlineStr">
        <is>
          <t>Strategy 1 – Zero-Shot + Structured Template</t>
        </is>
      </c>
      <c r="D373" s="46" t="inlineStr">
        <is>
          <t>SC02</t>
        </is>
      </c>
      <c r="E373" s="46" t="inlineStr">
        <is>
          <t>Business Email Compromise</t>
        </is>
      </c>
      <c r="F373" s="47" t="n">
        <v>10</v>
      </c>
      <c r="G373" s="46" t="inlineStr">
        <is>
          <t>Gemma3:27b via Ollama</t>
        </is>
      </c>
      <c r="H373" s="48" t="n">
        <v>46163</v>
      </c>
      <c r="I373" s="46" t="inlineStr">
        <is>
          <t>10.319</t>
        </is>
      </c>
      <c r="J373" s="46" t="inlineStr">
        <is>
          <t>66.19</t>
        </is>
      </c>
      <c r="K373" s="46" t="inlineStr">
        <is>
          <t>Gemma3:27b</t>
        </is>
      </c>
      <c r="L373" s="46" t="inlineStr">
        <is>
          <t>0.3</t>
        </is>
      </c>
      <c r="M373" s="73" t="inlineStr">
        <is>
          <t>Complete</t>
        </is>
      </c>
    </row>
    <row r="374" ht="13.5" customHeight="1" s="38">
      <c r="A374" s="46" t="inlineStr">
        <is>
          <t>B_S1_SC03_I01</t>
        </is>
      </c>
      <c r="B374" s="46" t="inlineStr">
        <is>
          <t>R_0877</t>
        </is>
      </c>
      <c r="C374" s="46" t="inlineStr">
        <is>
          <t>Strategy 1 – Zero-Shot + Structured Template</t>
        </is>
      </c>
      <c r="D374" s="46" t="inlineStr">
        <is>
          <t>SC03</t>
        </is>
      </c>
      <c r="E374" s="46" t="inlineStr">
        <is>
          <t>Business Email Compromise</t>
        </is>
      </c>
      <c r="F374" s="47" t="n">
        <v>1</v>
      </c>
      <c r="G374" s="46" t="inlineStr">
        <is>
          <t>Gemma3:27b via Ollama</t>
        </is>
      </c>
      <c r="H374" s="48" t="n">
        <v>46163</v>
      </c>
      <c r="I374" s="46" t="inlineStr">
        <is>
          <t>9.757</t>
        </is>
      </c>
      <c r="J374" s="46" t="inlineStr">
        <is>
          <t>67.03</t>
        </is>
      </c>
      <c r="K374" s="46" t="inlineStr">
        <is>
          <t>Gemma3:27b</t>
        </is>
      </c>
      <c r="L374" s="46" t="inlineStr">
        <is>
          <t>0.3</t>
        </is>
      </c>
      <c r="M374" s="73" t="inlineStr">
        <is>
          <t>Complete</t>
        </is>
      </c>
    </row>
    <row r="375" ht="13.5" customHeight="1" s="38">
      <c r="A375" s="46" t="inlineStr">
        <is>
          <t>B_S1_SC03_I02</t>
        </is>
      </c>
      <c r="B375" s="46" t="inlineStr">
        <is>
          <t>R_0055</t>
        </is>
      </c>
      <c r="C375" s="46" t="inlineStr">
        <is>
          <t>Strategy 1 – Zero-Shot + Structured Template</t>
        </is>
      </c>
      <c r="D375" s="46" t="inlineStr">
        <is>
          <t>SC03</t>
        </is>
      </c>
      <c r="E375" s="46" t="inlineStr">
        <is>
          <t>Business Email Compromise</t>
        </is>
      </c>
      <c r="F375" s="47" t="n">
        <v>2</v>
      </c>
      <c r="G375" s="46" t="inlineStr">
        <is>
          <t>Gemma3:27b via Ollama</t>
        </is>
      </c>
      <c r="H375" s="48" t="n">
        <v>46163</v>
      </c>
      <c r="I375" s="46" t="inlineStr">
        <is>
          <t>9.927</t>
        </is>
      </c>
      <c r="J375" s="46" t="inlineStr">
        <is>
          <t>66.28</t>
        </is>
      </c>
      <c r="K375" s="46" t="inlineStr">
        <is>
          <t>Gemma3:27b</t>
        </is>
      </c>
      <c r="L375" s="46" t="inlineStr">
        <is>
          <t>0.3</t>
        </is>
      </c>
      <c r="M375" s="73" t="inlineStr">
        <is>
          <t>Complete</t>
        </is>
      </c>
    </row>
    <row r="376" ht="13.5" customHeight="1" s="38">
      <c r="A376" s="46" t="inlineStr">
        <is>
          <t>B_S1_SC03_I03</t>
        </is>
      </c>
      <c r="B376" s="46" t="inlineStr">
        <is>
          <t>R_0764</t>
        </is>
      </c>
      <c r="C376" s="46" t="inlineStr">
        <is>
          <t>Strategy 1 – Zero-Shot + Structured Template</t>
        </is>
      </c>
      <c r="D376" s="46" t="inlineStr">
        <is>
          <t>SC03</t>
        </is>
      </c>
      <c r="E376" s="46" t="inlineStr">
        <is>
          <t>Business Email Compromise</t>
        </is>
      </c>
      <c r="F376" s="47" t="n">
        <v>3</v>
      </c>
      <c r="G376" s="46" t="inlineStr">
        <is>
          <t>Gemma3:27b via Ollama</t>
        </is>
      </c>
      <c r="H376" s="48" t="n">
        <v>46163</v>
      </c>
      <c r="I376" s="46" t="inlineStr">
        <is>
          <t>9.841</t>
        </is>
      </c>
      <c r="J376" s="46" t="inlineStr">
        <is>
          <t>66.97</t>
        </is>
      </c>
      <c r="K376" s="46" t="inlineStr">
        <is>
          <t>Gemma3:27b</t>
        </is>
      </c>
      <c r="L376" s="46" t="inlineStr">
        <is>
          <t>0.3</t>
        </is>
      </c>
      <c r="M376" s="73" t="inlineStr">
        <is>
          <t>Complete</t>
        </is>
      </c>
    </row>
    <row r="377" ht="13.5" customHeight="1" s="38">
      <c r="A377" s="46" t="inlineStr">
        <is>
          <t>B_S1_SC03_I04</t>
        </is>
      </c>
      <c r="B377" s="46" t="inlineStr">
        <is>
          <t>R_0959</t>
        </is>
      </c>
      <c r="C377" s="46" t="inlineStr">
        <is>
          <t>Strategy 1 – Zero-Shot + Structured Template</t>
        </is>
      </c>
      <c r="D377" s="46" t="inlineStr">
        <is>
          <t>SC03</t>
        </is>
      </c>
      <c r="E377" s="46" t="inlineStr">
        <is>
          <t>Business Email Compromise</t>
        </is>
      </c>
      <c r="F377" s="47" t="n">
        <v>4</v>
      </c>
      <c r="G377" s="46" t="inlineStr">
        <is>
          <t>Gemma3:27b via Ollama</t>
        </is>
      </c>
      <c r="H377" s="48" t="n">
        <v>46163</v>
      </c>
      <c r="I377" s="46" t="inlineStr">
        <is>
          <t>9.867</t>
        </is>
      </c>
      <c r="J377" s="46" t="inlineStr">
        <is>
          <t>67.39</t>
        </is>
      </c>
      <c r="K377" s="46" t="inlineStr">
        <is>
          <t>Gemma3:27b</t>
        </is>
      </c>
      <c r="L377" s="46" t="inlineStr">
        <is>
          <t>0.3</t>
        </is>
      </c>
      <c r="M377" s="73" t="inlineStr">
        <is>
          <t>Complete</t>
        </is>
      </c>
    </row>
    <row r="378" ht="13.5" customHeight="1" s="38">
      <c r="A378" s="46" t="inlineStr">
        <is>
          <t>B_S1_SC03_I05</t>
        </is>
      </c>
      <c r="B378" s="46" t="inlineStr">
        <is>
          <t>R_0535</t>
        </is>
      </c>
      <c r="C378" s="46" t="inlineStr">
        <is>
          <t>Strategy 1 – Zero-Shot + Structured Template</t>
        </is>
      </c>
      <c r="D378" s="46" t="inlineStr">
        <is>
          <t>SC03</t>
        </is>
      </c>
      <c r="E378" s="46" t="inlineStr">
        <is>
          <t>Business Email Compromise</t>
        </is>
      </c>
      <c r="F378" s="47" t="n">
        <v>5</v>
      </c>
      <c r="G378" s="46" t="inlineStr">
        <is>
          <t>Gemma3:27b via Ollama</t>
        </is>
      </c>
      <c r="H378" s="48" t="n">
        <v>46163</v>
      </c>
      <c r="I378" s="46" t="inlineStr">
        <is>
          <t>9.972</t>
        </is>
      </c>
      <c r="J378" s="46" t="inlineStr">
        <is>
          <t>66.89</t>
        </is>
      </c>
      <c r="K378" s="46" t="inlineStr">
        <is>
          <t>Gemma3:27b</t>
        </is>
      </c>
      <c r="L378" s="46" t="inlineStr">
        <is>
          <t>0.3</t>
        </is>
      </c>
      <c r="M378" s="73" t="inlineStr">
        <is>
          <t>Complete</t>
        </is>
      </c>
    </row>
    <row r="379" ht="13.5" customHeight="1" s="38">
      <c r="A379" s="46" t="inlineStr">
        <is>
          <t>B_S1_SC03_I06</t>
        </is>
      </c>
      <c r="B379" s="46" t="inlineStr">
        <is>
          <t>R_0394</t>
        </is>
      </c>
      <c r="C379" s="46" t="inlineStr">
        <is>
          <t>Strategy 1 – Zero-Shot + Structured Template</t>
        </is>
      </c>
      <c r="D379" s="46" t="inlineStr">
        <is>
          <t>SC03</t>
        </is>
      </c>
      <c r="E379" s="46" t="inlineStr">
        <is>
          <t>Business Email Compromise</t>
        </is>
      </c>
      <c r="F379" s="47" t="n">
        <v>6</v>
      </c>
      <c r="G379" s="46" t="inlineStr">
        <is>
          <t>Gemma3:27b via Ollama</t>
        </is>
      </c>
      <c r="H379" s="48" t="n">
        <v>46163</v>
      </c>
      <c r="I379" s="46" t="inlineStr">
        <is>
          <t>10.468</t>
        </is>
      </c>
      <c r="J379" s="46" t="inlineStr">
        <is>
          <t>66.20</t>
        </is>
      </c>
      <c r="K379" s="46" t="inlineStr">
        <is>
          <t>Gemma3:27b</t>
        </is>
      </c>
      <c r="L379" s="46" t="inlineStr">
        <is>
          <t>0.3</t>
        </is>
      </c>
      <c r="M379" s="73" t="inlineStr">
        <is>
          <t>Complete</t>
        </is>
      </c>
    </row>
    <row r="380" ht="13.5" customHeight="1" s="38">
      <c r="A380" s="46" t="inlineStr">
        <is>
          <t>B_S1_SC03_I07</t>
        </is>
      </c>
      <c r="B380" s="46" t="inlineStr">
        <is>
          <t>R_0125</t>
        </is>
      </c>
      <c r="C380" s="46" t="inlineStr">
        <is>
          <t>Strategy 1 – Zero-Shot + Structured Template</t>
        </is>
      </c>
      <c r="D380" s="46" t="inlineStr">
        <is>
          <t>SC03</t>
        </is>
      </c>
      <c r="E380" s="46" t="inlineStr">
        <is>
          <t>Business Email Compromise</t>
        </is>
      </c>
      <c r="F380" s="47" t="n">
        <v>7</v>
      </c>
      <c r="G380" s="46" t="inlineStr">
        <is>
          <t>Gemma3:27b via Ollama</t>
        </is>
      </c>
      <c r="H380" s="48" t="n">
        <v>46163</v>
      </c>
      <c r="I380" s="46" t="inlineStr">
        <is>
          <t>10.046</t>
        </is>
      </c>
      <c r="J380" s="46" t="inlineStr">
        <is>
          <t>66.59</t>
        </is>
      </c>
      <c r="K380" s="46" t="inlineStr">
        <is>
          <t>Gemma3:27b</t>
        </is>
      </c>
      <c r="L380" s="46" t="inlineStr">
        <is>
          <t>0.3</t>
        </is>
      </c>
      <c r="M380" s="73" t="inlineStr">
        <is>
          <t>Complete</t>
        </is>
      </c>
    </row>
    <row r="381" ht="13.5" customHeight="1" s="38">
      <c r="A381" s="46" t="inlineStr">
        <is>
          <t>B_S1_SC03_I08</t>
        </is>
      </c>
      <c r="B381" s="46" t="inlineStr">
        <is>
          <t>R_0526</t>
        </is>
      </c>
      <c r="C381" s="46" t="inlineStr">
        <is>
          <t>Strategy 1 – Zero-Shot + Structured Template</t>
        </is>
      </c>
      <c r="D381" s="46" t="inlineStr">
        <is>
          <t>SC03</t>
        </is>
      </c>
      <c r="E381" s="46" t="inlineStr">
        <is>
          <t>Business Email Compromise</t>
        </is>
      </c>
      <c r="F381" s="47" t="n">
        <v>8</v>
      </c>
      <c r="G381" s="46" t="inlineStr">
        <is>
          <t>Gemma3:27b via Ollama</t>
        </is>
      </c>
      <c r="H381" s="48" t="n">
        <v>46163</v>
      </c>
      <c r="I381" s="46" t="inlineStr">
        <is>
          <t>9.759</t>
        </is>
      </c>
      <c r="J381" s="46" t="inlineStr">
        <is>
          <t>67.12</t>
        </is>
      </c>
      <c r="K381" s="46" t="inlineStr">
        <is>
          <t>Gemma3:27b</t>
        </is>
      </c>
      <c r="L381" s="46" t="inlineStr">
        <is>
          <t>0.3</t>
        </is>
      </c>
      <c r="M381" s="73" t="inlineStr">
        <is>
          <t>Complete</t>
        </is>
      </c>
    </row>
    <row r="382" ht="13.5" customHeight="1" s="38">
      <c r="A382" s="46" t="inlineStr">
        <is>
          <t>B_S1_SC03_I09</t>
        </is>
      </c>
      <c r="B382" s="46" t="inlineStr">
        <is>
          <t>R_0752</t>
        </is>
      </c>
      <c r="C382" s="46" t="inlineStr">
        <is>
          <t>Strategy 1 – Zero-Shot + Structured Template</t>
        </is>
      </c>
      <c r="D382" s="46" t="inlineStr">
        <is>
          <t>SC03</t>
        </is>
      </c>
      <c r="E382" s="46" t="inlineStr">
        <is>
          <t>Business Email Compromise</t>
        </is>
      </c>
      <c r="F382" s="47" t="n">
        <v>9</v>
      </c>
      <c r="G382" s="46" t="inlineStr">
        <is>
          <t>Gemma3:27b via Ollama</t>
        </is>
      </c>
      <c r="H382" s="48" t="n">
        <v>46163</v>
      </c>
      <c r="I382" s="46" t="inlineStr">
        <is>
          <t>9.180</t>
        </is>
      </c>
      <c r="J382" s="46" t="inlineStr">
        <is>
          <t>66.34</t>
        </is>
      </c>
      <c r="K382" s="46" t="inlineStr">
        <is>
          <t>Gemma3:27b</t>
        </is>
      </c>
      <c r="L382" s="46" t="inlineStr">
        <is>
          <t>0.3</t>
        </is>
      </c>
      <c r="M382" s="73" t="inlineStr">
        <is>
          <t>Complete</t>
        </is>
      </c>
    </row>
    <row r="383" ht="13.5" customHeight="1" s="38">
      <c r="A383" s="46" t="inlineStr">
        <is>
          <t>B_S1_SC03_I10</t>
        </is>
      </c>
      <c r="B383" s="46" t="inlineStr">
        <is>
          <t>R_0830</t>
        </is>
      </c>
      <c r="C383" s="46" t="inlineStr">
        <is>
          <t>Strategy 1 – Zero-Shot + Structured Template</t>
        </is>
      </c>
      <c r="D383" s="46" t="inlineStr">
        <is>
          <t>SC03</t>
        </is>
      </c>
      <c r="E383" s="46" t="inlineStr">
        <is>
          <t>Business Email Compromise</t>
        </is>
      </c>
      <c r="F383" s="47" t="n">
        <v>10</v>
      </c>
      <c r="G383" s="46" t="inlineStr">
        <is>
          <t>Gemma3:27b via Ollama</t>
        </is>
      </c>
      <c r="H383" s="48" t="n">
        <v>46163</v>
      </c>
      <c r="I383" s="46" t="inlineStr">
        <is>
          <t>10.179</t>
        </is>
      </c>
      <c r="J383" s="46" t="inlineStr">
        <is>
          <t>67.59</t>
        </is>
      </c>
      <c r="K383" s="46" t="inlineStr">
        <is>
          <t>Gemma3:27b</t>
        </is>
      </c>
      <c r="L383" s="46" t="inlineStr">
        <is>
          <t>0.3</t>
        </is>
      </c>
      <c r="M383" s="73" t="inlineStr">
        <is>
          <t>Complete</t>
        </is>
      </c>
    </row>
    <row r="384" ht="13.5" customHeight="1" s="38">
      <c r="A384" s="46" t="inlineStr">
        <is>
          <t>B_S1_SC04_I01</t>
        </is>
      </c>
      <c r="B384" s="46" t="inlineStr">
        <is>
          <t>R_0447</t>
        </is>
      </c>
      <c r="C384" s="46" t="inlineStr">
        <is>
          <t>Strategy 1 – Zero-Shot + Structured Template</t>
        </is>
      </c>
      <c r="D384" s="46" t="inlineStr">
        <is>
          <t>SC04</t>
        </is>
      </c>
      <c r="E384" s="46" t="inlineStr">
        <is>
          <t>Business Email Compromise</t>
        </is>
      </c>
      <c r="F384" s="47" t="n">
        <v>1</v>
      </c>
      <c r="G384" s="46" t="inlineStr">
        <is>
          <t>Gemma3:27b via Ollama</t>
        </is>
      </c>
      <c r="H384" s="48" t="n">
        <v>46166</v>
      </c>
      <c r="I384" s="46" t="inlineStr">
        <is>
          <t>9.467</t>
        </is>
      </c>
      <c r="J384" s="46" t="inlineStr">
        <is>
          <t>67.92</t>
        </is>
      </c>
      <c r="K384" s="46" t="inlineStr">
        <is>
          <t>Gemma3:27b</t>
        </is>
      </c>
      <c r="L384" s="46" t="inlineStr">
        <is>
          <t>0.3</t>
        </is>
      </c>
      <c r="M384" s="73" t="inlineStr">
        <is>
          <t>Complete</t>
        </is>
      </c>
    </row>
    <row r="385" ht="13.5" customHeight="1" s="38">
      <c r="A385" s="46" t="inlineStr">
        <is>
          <t>B_S1_SC04_I02</t>
        </is>
      </c>
      <c r="B385" s="46" t="inlineStr">
        <is>
          <t>R_0961</t>
        </is>
      </c>
      <c r="C385" s="46" t="inlineStr">
        <is>
          <t>Strategy 1 – Zero-Shot + Structured Template</t>
        </is>
      </c>
      <c r="D385" s="46" t="inlineStr">
        <is>
          <t>SC04</t>
        </is>
      </c>
      <c r="E385" s="46" t="inlineStr">
        <is>
          <t>Business Email Compromise</t>
        </is>
      </c>
      <c r="F385" s="47" t="n">
        <v>2</v>
      </c>
      <c r="G385" s="46" t="inlineStr">
        <is>
          <t>Gemma3:27b via Ollama</t>
        </is>
      </c>
      <c r="H385" s="48" t="n">
        <v>46166</v>
      </c>
      <c r="I385" s="46" t="inlineStr">
        <is>
          <t>9.513</t>
        </is>
      </c>
      <c r="J385" s="46" t="inlineStr">
        <is>
          <t>67.49</t>
        </is>
      </c>
      <c r="K385" s="46" t="inlineStr">
        <is>
          <t>Gemma3:27b</t>
        </is>
      </c>
      <c r="L385" s="46" t="inlineStr">
        <is>
          <t>0.3</t>
        </is>
      </c>
      <c r="M385" s="73" t="inlineStr">
        <is>
          <t>Complete</t>
        </is>
      </c>
    </row>
    <row r="386" ht="13.5" customHeight="1" s="38">
      <c r="A386" s="46" t="inlineStr">
        <is>
          <t>B_S1_SC04_I03</t>
        </is>
      </c>
      <c r="B386" s="46" t="inlineStr">
        <is>
          <t>R_0716</t>
        </is>
      </c>
      <c r="C386" s="46" t="inlineStr">
        <is>
          <t>Strategy 1 – Zero-Shot + Structured Template</t>
        </is>
      </c>
      <c r="D386" s="46" t="inlineStr">
        <is>
          <t>SC04</t>
        </is>
      </c>
      <c r="E386" s="46" t="inlineStr">
        <is>
          <t>Business Email Compromise</t>
        </is>
      </c>
      <c r="F386" s="47" t="n">
        <v>3</v>
      </c>
      <c r="G386" s="46" t="inlineStr">
        <is>
          <t>Gemma3:27b via Ollama</t>
        </is>
      </c>
      <c r="H386" s="48" t="n">
        <v>46166</v>
      </c>
      <c r="I386" s="46" t="inlineStr">
        <is>
          <t>9.645</t>
        </is>
      </c>
      <c r="J386" s="46" t="inlineStr">
        <is>
          <t>66.46</t>
        </is>
      </c>
      <c r="K386" s="46" t="inlineStr">
        <is>
          <t>Gemma3:27b</t>
        </is>
      </c>
      <c r="L386" s="46" t="inlineStr">
        <is>
          <t>0.3</t>
        </is>
      </c>
      <c r="M386" s="73" t="inlineStr">
        <is>
          <t>Complete</t>
        </is>
      </c>
    </row>
    <row r="387" ht="13.5" customHeight="1" s="38">
      <c r="A387" s="46" t="inlineStr">
        <is>
          <t>B_S1_SC04_I04</t>
        </is>
      </c>
      <c r="B387" s="46" t="inlineStr">
        <is>
          <t>R_0295</t>
        </is>
      </c>
      <c r="C387" s="46" t="inlineStr">
        <is>
          <t>Strategy 1 – Zero-Shot + Structured Template</t>
        </is>
      </c>
      <c r="D387" s="46" t="inlineStr">
        <is>
          <t>SC04</t>
        </is>
      </c>
      <c r="E387" s="46" t="inlineStr">
        <is>
          <t>Business Email Compromise</t>
        </is>
      </c>
      <c r="F387" s="47" t="n">
        <v>4</v>
      </c>
      <c r="G387" s="46" t="inlineStr">
        <is>
          <t>Gemma3:27b via Ollama</t>
        </is>
      </c>
      <c r="H387" s="48" t="n">
        <v>46166</v>
      </c>
      <c r="I387" s="46" t="inlineStr">
        <is>
          <t>9.432</t>
        </is>
      </c>
      <c r="J387" s="46" t="inlineStr">
        <is>
          <t>67.32</t>
        </is>
      </c>
      <c r="K387" s="46" t="inlineStr">
        <is>
          <t>Gemma3:27b</t>
        </is>
      </c>
      <c r="L387" s="46" t="inlineStr">
        <is>
          <t>0.3</t>
        </is>
      </c>
      <c r="M387" s="73" t="inlineStr">
        <is>
          <t>Complete</t>
        </is>
      </c>
    </row>
    <row r="388" ht="13.5" customHeight="1" s="38">
      <c r="A388" s="46" t="inlineStr">
        <is>
          <t>B_S1_SC04_I05</t>
        </is>
      </c>
      <c r="B388" s="46" t="inlineStr">
        <is>
          <t>R_0878</t>
        </is>
      </c>
      <c r="C388" s="46" t="inlineStr">
        <is>
          <t>Strategy 1 – Zero-Shot + Structured Template</t>
        </is>
      </c>
      <c r="D388" s="46" t="inlineStr">
        <is>
          <t>SC04</t>
        </is>
      </c>
      <c r="E388" s="46" t="inlineStr">
        <is>
          <t>Business Email Compromise</t>
        </is>
      </c>
      <c r="F388" s="47" t="n">
        <v>5</v>
      </c>
      <c r="G388" s="46" t="inlineStr">
        <is>
          <t>Gemma3:27b via Ollama</t>
        </is>
      </c>
      <c r="H388" s="48" t="n">
        <v>46166</v>
      </c>
      <c r="I388" s="46" t="inlineStr">
        <is>
          <t>9.389</t>
        </is>
      </c>
      <c r="J388" s="46" t="inlineStr">
        <is>
          <t>67.21</t>
        </is>
      </c>
      <c r="K388" s="46" t="inlineStr">
        <is>
          <t>Gemma3:27b</t>
        </is>
      </c>
      <c r="L388" s="46" t="inlineStr">
        <is>
          <t>0.3</t>
        </is>
      </c>
      <c r="M388" s="73" t="inlineStr">
        <is>
          <t>Complete</t>
        </is>
      </c>
    </row>
    <row r="389" ht="13.5" customHeight="1" s="38">
      <c r="A389" s="46" t="inlineStr">
        <is>
          <t>B_S1_SC04_I06</t>
        </is>
      </c>
      <c r="B389" s="46" t="inlineStr">
        <is>
          <t>R_0213</t>
        </is>
      </c>
      <c r="C389" s="46" t="inlineStr">
        <is>
          <t>Strategy 1 – Zero-Shot + Structured Template</t>
        </is>
      </c>
      <c r="D389" s="46" t="inlineStr">
        <is>
          <t>SC04</t>
        </is>
      </c>
      <c r="E389" s="46" t="inlineStr">
        <is>
          <t>Business Email Compromise</t>
        </is>
      </c>
      <c r="F389" s="47" t="n">
        <v>6</v>
      </c>
      <c r="G389" s="46" t="inlineStr">
        <is>
          <t>Gemma3:27b via Ollama</t>
        </is>
      </c>
      <c r="H389" s="48" t="n">
        <v>46166</v>
      </c>
      <c r="I389" s="46" t="inlineStr">
        <is>
          <t>9.568</t>
        </is>
      </c>
      <c r="J389" s="46" t="inlineStr">
        <is>
          <t>65.32</t>
        </is>
      </c>
      <c r="K389" s="46" t="inlineStr">
        <is>
          <t>Gemma3:27b</t>
        </is>
      </c>
      <c r="L389" s="46" t="inlineStr">
        <is>
          <t>0.3</t>
        </is>
      </c>
      <c r="M389" s="73" t="inlineStr">
        <is>
          <t>Complete</t>
        </is>
      </c>
    </row>
    <row r="390" ht="13.5" customHeight="1" s="38">
      <c r="A390" s="46" t="inlineStr">
        <is>
          <t>B_S1_SC04_I07</t>
        </is>
      </c>
      <c r="B390" s="46" t="inlineStr">
        <is>
          <t>R_0921</t>
        </is>
      </c>
      <c r="C390" s="46" t="inlineStr">
        <is>
          <t>Strategy 1 – Zero-Shot + Structured Template</t>
        </is>
      </c>
      <c r="D390" s="46" t="inlineStr">
        <is>
          <t>SC04</t>
        </is>
      </c>
      <c r="E390" s="46" t="inlineStr">
        <is>
          <t>Business Email Compromise</t>
        </is>
      </c>
      <c r="F390" s="47" t="n">
        <v>7</v>
      </c>
      <c r="G390" s="46" t="inlineStr">
        <is>
          <t>Gemma3:27b via Ollama</t>
        </is>
      </c>
      <c r="H390" s="48" t="n">
        <v>46166</v>
      </c>
      <c r="I390" s="46" t="inlineStr">
        <is>
          <t>9.382</t>
        </is>
      </c>
      <c r="J390" s="46" t="inlineStr">
        <is>
          <t>67.15</t>
        </is>
      </c>
      <c r="K390" s="46" t="inlineStr">
        <is>
          <t>Gemma3:27b</t>
        </is>
      </c>
      <c r="L390" s="46" t="inlineStr">
        <is>
          <t>0.3</t>
        </is>
      </c>
      <c r="M390" s="73" t="inlineStr">
        <is>
          <t>Complete</t>
        </is>
      </c>
    </row>
    <row r="391" ht="13.5" customHeight="1" s="38">
      <c r="A391" s="46" t="inlineStr">
        <is>
          <t>B_S1_SC04_I08</t>
        </is>
      </c>
      <c r="B391" s="46" t="inlineStr">
        <is>
          <t>R_0038</t>
        </is>
      </c>
      <c r="C391" s="46" t="inlineStr">
        <is>
          <t>Strategy 1 – Zero-Shot + Structured Template</t>
        </is>
      </c>
      <c r="D391" s="46" t="inlineStr">
        <is>
          <t>SC04</t>
        </is>
      </c>
      <c r="E391" s="46" t="inlineStr">
        <is>
          <t>Business Email Compromise</t>
        </is>
      </c>
      <c r="F391" s="47" t="n">
        <v>8</v>
      </c>
      <c r="G391" s="46" t="inlineStr">
        <is>
          <t>Gemma3:27b via Ollama</t>
        </is>
      </c>
      <c r="H391" s="48" t="n">
        <v>46166</v>
      </c>
      <c r="I391" s="46" t="inlineStr">
        <is>
          <t>9.183</t>
        </is>
      </c>
      <c r="J391" s="46" t="inlineStr">
        <is>
          <t>66.432</t>
        </is>
      </c>
      <c r="K391" s="46" t="inlineStr">
        <is>
          <t>Gemma3:27b</t>
        </is>
      </c>
      <c r="L391" s="46" t="inlineStr">
        <is>
          <t>0.3</t>
        </is>
      </c>
      <c r="M391" s="73" t="inlineStr">
        <is>
          <t>Complete</t>
        </is>
      </c>
    </row>
    <row r="392" ht="13.5" customHeight="1" s="38">
      <c r="A392" s="46" t="inlineStr">
        <is>
          <t>B_S1_SC04_I09</t>
        </is>
      </c>
      <c r="B392" s="46" t="inlineStr">
        <is>
          <t>R_0523</t>
        </is>
      </c>
      <c r="C392" s="46" t="inlineStr">
        <is>
          <t>Strategy 1 – Zero-Shot + Structured Template</t>
        </is>
      </c>
      <c r="D392" s="46" t="inlineStr">
        <is>
          <t>SC04</t>
        </is>
      </c>
      <c r="E392" s="46" t="inlineStr">
        <is>
          <t>Business Email Compromise</t>
        </is>
      </c>
      <c r="F392" s="47" t="n">
        <v>9</v>
      </c>
      <c r="G392" s="46" t="inlineStr">
        <is>
          <t>Gemma3:27b via Ollama</t>
        </is>
      </c>
      <c r="H392" s="48" t="n">
        <v>46166</v>
      </c>
      <c r="I392" s="46" t="inlineStr">
        <is>
          <t>9.606</t>
        </is>
      </c>
      <c r="J392" s="46" t="inlineStr">
        <is>
          <t>66.52</t>
        </is>
      </c>
      <c r="K392" s="46" t="inlineStr">
        <is>
          <t>Gemma3:27b</t>
        </is>
      </c>
      <c r="L392" s="46" t="inlineStr">
        <is>
          <t>0.3</t>
        </is>
      </c>
      <c r="M392" s="73" t="inlineStr">
        <is>
          <t>Complete</t>
        </is>
      </c>
    </row>
    <row r="393" ht="13.5" customHeight="1" s="38">
      <c r="A393" s="46" t="inlineStr">
        <is>
          <t>B_S1_SC04_I10</t>
        </is>
      </c>
      <c r="B393" s="46" t="inlineStr">
        <is>
          <t>R_0762</t>
        </is>
      </c>
      <c r="C393" s="46" t="inlineStr">
        <is>
          <t>Strategy 1 – Zero-Shot + Structured Template</t>
        </is>
      </c>
      <c r="D393" s="46" t="inlineStr">
        <is>
          <t>SC04</t>
        </is>
      </c>
      <c r="E393" s="46" t="inlineStr">
        <is>
          <t>Business Email Compromise</t>
        </is>
      </c>
      <c r="F393" s="47" t="n">
        <v>10</v>
      </c>
      <c r="G393" s="46" t="inlineStr">
        <is>
          <t>Gemma3:27b via Ollama</t>
        </is>
      </c>
      <c r="H393" s="48" t="n">
        <v>46166</v>
      </c>
      <c r="I393" s="46" t="inlineStr">
        <is>
          <t>9.449</t>
        </is>
      </c>
      <c r="J393" s="46" t="inlineStr">
        <is>
          <t>67.94</t>
        </is>
      </c>
      <c r="K393" s="46" t="inlineStr">
        <is>
          <t>Gemma3:27b</t>
        </is>
      </c>
      <c r="L393" s="46" t="inlineStr">
        <is>
          <t>0.3</t>
        </is>
      </c>
      <c r="M393" s="73" t="inlineStr">
        <is>
          <t>Complete</t>
        </is>
      </c>
    </row>
    <row r="394" ht="13.5" customHeight="1" s="38">
      <c r="A394" s="46" t="inlineStr">
        <is>
          <t>B_S1_SC05_I01</t>
        </is>
      </c>
      <c r="B394" s="46" t="inlineStr">
        <is>
          <t>R_0126</t>
        </is>
      </c>
      <c r="C394" s="46" t="inlineStr">
        <is>
          <t>Strategy 1 – Zero-Shot + Structured Template</t>
        </is>
      </c>
      <c r="D394" s="46" t="inlineStr">
        <is>
          <t>SC05</t>
        </is>
      </c>
      <c r="E394" s="46" t="inlineStr">
        <is>
          <t>Business Email Compromise</t>
        </is>
      </c>
      <c r="F394" s="47" t="n">
        <v>1</v>
      </c>
      <c r="G394" s="46" t="inlineStr">
        <is>
          <t>Gemma3:27b via Ollama</t>
        </is>
      </c>
      <c r="H394" s="48" t="n">
        <v>46166</v>
      </c>
      <c r="I394" s="46" t="inlineStr">
        <is>
          <t>9.464</t>
        </is>
      </c>
      <c r="J394" s="46" t="inlineStr">
        <is>
          <t>68.36</t>
        </is>
      </c>
      <c r="K394" s="46" t="inlineStr">
        <is>
          <t>Gemma3:27b</t>
        </is>
      </c>
      <c r="L394" s="46" t="inlineStr">
        <is>
          <t>0.3</t>
        </is>
      </c>
      <c r="M394" s="73" t="inlineStr">
        <is>
          <t>Complete</t>
        </is>
      </c>
    </row>
    <row r="395" ht="13.5" customHeight="1" s="38">
      <c r="A395" s="46" t="inlineStr">
        <is>
          <t>B_S1_SC05_I02</t>
        </is>
      </c>
      <c r="B395" s="46" t="inlineStr">
        <is>
          <t>R_0024</t>
        </is>
      </c>
      <c r="C395" s="46" t="inlineStr">
        <is>
          <t>Strategy 1 – Zero-Shot + Structured Template</t>
        </is>
      </c>
      <c r="D395" s="46" t="inlineStr">
        <is>
          <t>SC05</t>
        </is>
      </c>
      <c r="E395" s="46" t="inlineStr">
        <is>
          <t>Business Email Compromise</t>
        </is>
      </c>
      <c r="F395" s="47" t="n">
        <v>2</v>
      </c>
      <c r="G395" s="46" t="inlineStr">
        <is>
          <t>Gemma3:27b via Ollama</t>
        </is>
      </c>
      <c r="H395" s="48" t="n">
        <v>46166</v>
      </c>
      <c r="I395" s="46" t="inlineStr">
        <is>
          <t>10.230</t>
        </is>
      </c>
      <c r="J395" s="46" t="inlineStr">
        <is>
          <t>66.86</t>
        </is>
      </c>
      <c r="K395" s="46" t="inlineStr">
        <is>
          <t>Gemma3:27b</t>
        </is>
      </c>
      <c r="L395" s="46" t="inlineStr">
        <is>
          <t>0.3</t>
        </is>
      </c>
      <c r="M395" s="73" t="inlineStr">
        <is>
          <t>Complete</t>
        </is>
      </c>
    </row>
    <row r="396" ht="13.5" customHeight="1" s="38">
      <c r="A396" s="46" t="inlineStr">
        <is>
          <t>B_S1_SC05_I03</t>
        </is>
      </c>
      <c r="B396" s="46" t="inlineStr">
        <is>
          <t>R_0013</t>
        </is>
      </c>
      <c r="C396" s="46" t="inlineStr">
        <is>
          <t>Strategy 1 – Zero-Shot + Structured Template</t>
        </is>
      </c>
      <c r="D396" s="46" t="inlineStr">
        <is>
          <t>SC05</t>
        </is>
      </c>
      <c r="E396" s="46" t="inlineStr">
        <is>
          <t>Business Email Compromise</t>
        </is>
      </c>
      <c r="F396" s="47" t="n">
        <v>3</v>
      </c>
      <c r="G396" s="46" t="inlineStr">
        <is>
          <t>Gemma3:27b via Ollama</t>
        </is>
      </c>
      <c r="H396" s="48" t="n">
        <v>46166</v>
      </c>
      <c r="I396" s="46" t="inlineStr">
        <is>
          <t>10.575</t>
        </is>
      </c>
      <c r="J396" s="46" t="inlineStr">
        <is>
          <t>66.67</t>
        </is>
      </c>
      <c r="K396" s="46" t="inlineStr">
        <is>
          <t>Gemma3:27b</t>
        </is>
      </c>
      <c r="L396" s="46" t="inlineStr">
        <is>
          <t>0.3</t>
        </is>
      </c>
      <c r="M396" s="73" t="inlineStr">
        <is>
          <t>Complete</t>
        </is>
      </c>
    </row>
    <row r="397" ht="13.5" customHeight="1" s="38">
      <c r="A397" s="46" t="inlineStr">
        <is>
          <t>B_S1_SC05_I04</t>
        </is>
      </c>
      <c r="B397" s="46" t="inlineStr">
        <is>
          <t>R_0809</t>
        </is>
      </c>
      <c r="C397" s="46" t="inlineStr">
        <is>
          <t>Strategy 1 – Zero-Shot + Structured Template</t>
        </is>
      </c>
      <c r="D397" s="46" t="inlineStr">
        <is>
          <t>SC05</t>
        </is>
      </c>
      <c r="E397" s="46" t="inlineStr">
        <is>
          <t>Business Email Compromise</t>
        </is>
      </c>
      <c r="F397" s="47" t="n">
        <v>4</v>
      </c>
      <c r="G397" s="46" t="inlineStr">
        <is>
          <t>Gemma3:27b via Ollama</t>
        </is>
      </c>
      <c r="H397" s="48" t="n">
        <v>46166</v>
      </c>
      <c r="I397" s="46" t="inlineStr">
        <is>
          <t>10.273</t>
        </is>
      </c>
      <c r="J397" s="46" t="inlineStr">
        <is>
          <t>67.94</t>
        </is>
      </c>
      <c r="K397" s="46" t="inlineStr">
        <is>
          <t>Gemma3:27b</t>
        </is>
      </c>
      <c r="L397" s="46" t="inlineStr">
        <is>
          <t>0.3</t>
        </is>
      </c>
      <c r="M397" s="73" t="inlineStr">
        <is>
          <t>Complete</t>
        </is>
      </c>
    </row>
    <row r="398" ht="13.5" customHeight="1" s="38">
      <c r="A398" s="46" t="inlineStr">
        <is>
          <t>B_S1_SC05_I05</t>
        </is>
      </c>
      <c r="B398" s="46" t="inlineStr">
        <is>
          <t>R_0102</t>
        </is>
      </c>
      <c r="C398" s="46" t="inlineStr">
        <is>
          <t>Strategy 1 – Zero-Shot + Structured Template</t>
        </is>
      </c>
      <c r="D398" s="46" t="inlineStr">
        <is>
          <t>SC05</t>
        </is>
      </c>
      <c r="E398" s="46" t="inlineStr">
        <is>
          <t>Business Email Compromise</t>
        </is>
      </c>
      <c r="F398" s="47" t="n">
        <v>5</v>
      </c>
      <c r="G398" s="46" t="inlineStr">
        <is>
          <t>Gemma3:27b via Ollama</t>
        </is>
      </c>
      <c r="H398" s="48" t="n">
        <v>46166</v>
      </c>
      <c r="I398" s="46" t="inlineStr">
        <is>
          <t>10.700</t>
        </is>
      </c>
      <c r="J398" s="46" t="inlineStr">
        <is>
          <t>67.95</t>
        </is>
      </c>
      <c r="K398" s="46" t="inlineStr">
        <is>
          <t>Gemma3:27b</t>
        </is>
      </c>
      <c r="L398" s="46" t="inlineStr">
        <is>
          <t>0.3</t>
        </is>
      </c>
      <c r="M398" s="73" t="inlineStr">
        <is>
          <t>Complete</t>
        </is>
      </c>
    </row>
    <row r="399" ht="13.5" customHeight="1" s="38">
      <c r="A399" s="46" t="inlineStr">
        <is>
          <t>B_S1_SC05_I06</t>
        </is>
      </c>
      <c r="B399" s="46" t="inlineStr">
        <is>
          <t>R_0116</t>
        </is>
      </c>
      <c r="C399" s="46" t="inlineStr">
        <is>
          <t>Strategy 1 – Zero-Shot + Structured Template</t>
        </is>
      </c>
      <c r="D399" s="46" t="inlineStr">
        <is>
          <t>SC05</t>
        </is>
      </c>
      <c r="E399" s="46" t="inlineStr">
        <is>
          <t>Business Email Compromise</t>
        </is>
      </c>
      <c r="F399" s="47" t="n">
        <v>6</v>
      </c>
      <c r="G399" s="46" t="inlineStr">
        <is>
          <t>Gemma3:27b via Ollama</t>
        </is>
      </c>
      <c r="H399" s="48" t="n">
        <v>46166</v>
      </c>
      <c r="I399" s="46" t="inlineStr">
        <is>
          <t>10.354</t>
        </is>
      </c>
      <c r="J399" s="46" t="inlineStr">
        <is>
          <t>67.51</t>
        </is>
      </c>
      <c r="K399" s="46" t="inlineStr">
        <is>
          <t>Gemma3:27b</t>
        </is>
      </c>
      <c r="L399" s="46" t="inlineStr">
        <is>
          <t>0.3</t>
        </is>
      </c>
      <c r="M399" s="73" t="inlineStr">
        <is>
          <t>Complete</t>
        </is>
      </c>
    </row>
    <row r="400" ht="13.5" customHeight="1" s="38">
      <c r="A400" s="46" t="inlineStr">
        <is>
          <t>B_S1_SC05_I07</t>
        </is>
      </c>
      <c r="B400" s="46" t="inlineStr">
        <is>
          <t>R_0452</t>
        </is>
      </c>
      <c r="C400" s="46" t="inlineStr">
        <is>
          <t>Strategy 1 – Zero-Shot + Structured Template</t>
        </is>
      </c>
      <c r="D400" s="46" t="inlineStr">
        <is>
          <t>SC05</t>
        </is>
      </c>
      <c r="E400" s="46" t="inlineStr">
        <is>
          <t>Business Email Compromise</t>
        </is>
      </c>
      <c r="F400" s="47" t="n">
        <v>7</v>
      </c>
      <c r="G400" s="46" t="inlineStr">
        <is>
          <t>Gemma3:27b via Ollama</t>
        </is>
      </c>
      <c r="H400" s="48" t="n">
        <v>46166</v>
      </c>
      <c r="I400" s="46" t="inlineStr">
        <is>
          <t>10.094</t>
        </is>
      </c>
      <c r="J400" s="46" t="inlineStr">
        <is>
          <t>67.07</t>
        </is>
      </c>
      <c r="K400" s="46" t="inlineStr">
        <is>
          <t>Gemma3:27b</t>
        </is>
      </c>
      <c r="L400" s="46" t="inlineStr">
        <is>
          <t>0.3</t>
        </is>
      </c>
      <c r="M400" s="73" t="inlineStr">
        <is>
          <t>Complete</t>
        </is>
      </c>
    </row>
    <row r="401" ht="13.5" customHeight="1" s="38">
      <c r="A401" s="46" t="inlineStr">
        <is>
          <t>B_S1_SC05_I08</t>
        </is>
      </c>
      <c r="B401" s="46" t="inlineStr">
        <is>
          <t>R_0966</t>
        </is>
      </c>
      <c r="C401" s="46" t="inlineStr">
        <is>
          <t>Strategy 1 – Zero-Shot + Structured Template</t>
        </is>
      </c>
      <c r="D401" s="46" t="inlineStr">
        <is>
          <t>SC05</t>
        </is>
      </c>
      <c r="E401" s="46" t="inlineStr">
        <is>
          <t>Business Email Compromise</t>
        </is>
      </c>
      <c r="F401" s="47" t="n">
        <v>8</v>
      </c>
      <c r="G401" s="46" t="inlineStr">
        <is>
          <t>Gemma3:27b via Ollama</t>
        </is>
      </c>
      <c r="H401" s="48" t="n">
        <v>46166</v>
      </c>
      <c r="I401" s="46" t="inlineStr">
        <is>
          <t>10.074</t>
        </is>
      </c>
      <c r="J401" s="46" t="inlineStr">
        <is>
          <t>67.80</t>
        </is>
      </c>
      <c r="K401" s="46" t="inlineStr">
        <is>
          <t>Gemma3:27b</t>
        </is>
      </c>
      <c r="L401" s="46" t="inlineStr">
        <is>
          <t>0.3</t>
        </is>
      </c>
      <c r="M401" s="73" t="inlineStr">
        <is>
          <t>Complete</t>
        </is>
      </c>
    </row>
    <row r="402" ht="13.5" customHeight="1" s="38">
      <c r="A402" s="46" t="inlineStr">
        <is>
          <t>B_S1_SC05_I09</t>
        </is>
      </c>
      <c r="B402" s="46" t="inlineStr">
        <is>
          <t>R_0121</t>
        </is>
      </c>
      <c r="C402" s="46" t="inlineStr">
        <is>
          <t>Strategy 1 – Zero-Shot + Structured Template</t>
        </is>
      </c>
      <c r="D402" s="46" t="inlineStr">
        <is>
          <t>SC05</t>
        </is>
      </c>
      <c r="E402" s="46" t="inlineStr">
        <is>
          <t>Business Email Compromise</t>
        </is>
      </c>
      <c r="F402" s="47" t="n">
        <v>9</v>
      </c>
      <c r="G402" s="46" t="inlineStr">
        <is>
          <t>Gemma3:27b via Ollama</t>
        </is>
      </c>
      <c r="H402" s="48" t="n">
        <v>46166</v>
      </c>
      <c r="I402" s="46" t="inlineStr">
        <is>
          <t>9.923</t>
        </is>
      </c>
      <c r="J402" s="46" t="inlineStr">
        <is>
          <t>67.12</t>
        </is>
      </c>
      <c r="K402" s="46" t="inlineStr">
        <is>
          <t>Gemma3:27b</t>
        </is>
      </c>
      <c r="L402" s="46" t="inlineStr">
        <is>
          <t>0.3</t>
        </is>
      </c>
      <c r="M402" s="73" t="inlineStr">
        <is>
          <t>Complete</t>
        </is>
      </c>
    </row>
    <row r="403" ht="13.5" customHeight="1" s="38">
      <c r="A403" s="46" t="inlineStr">
        <is>
          <t>B_S1_SC05_I10</t>
        </is>
      </c>
      <c r="B403" s="46" t="inlineStr">
        <is>
          <t>R_0385</t>
        </is>
      </c>
      <c r="C403" s="46" t="inlineStr">
        <is>
          <t>Strategy 1 – Zero-Shot + Structured Template</t>
        </is>
      </c>
      <c r="D403" s="46" t="inlineStr">
        <is>
          <t>SC05</t>
        </is>
      </c>
      <c r="E403" s="46" t="inlineStr">
        <is>
          <t>Business Email Compromise</t>
        </is>
      </c>
      <c r="F403" s="47" t="n">
        <v>10</v>
      </c>
      <c r="G403" s="46" t="inlineStr">
        <is>
          <t>Gemma3:27b via Ollama</t>
        </is>
      </c>
      <c r="H403" s="48" t="n">
        <v>46166</v>
      </c>
      <c r="I403" s="46" t="inlineStr">
        <is>
          <t>10.421</t>
        </is>
      </c>
      <c r="J403" s="46" t="inlineStr">
        <is>
          <t>66.50</t>
        </is>
      </c>
      <c r="K403" s="46" t="inlineStr">
        <is>
          <t>Gemma3:27b</t>
        </is>
      </c>
      <c r="L403" s="46" t="inlineStr">
        <is>
          <t>0.3</t>
        </is>
      </c>
      <c r="M403" s="73" t="inlineStr">
        <is>
          <t>Complete</t>
        </is>
      </c>
    </row>
    <row r="404" ht="13.5" customHeight="1" s="38">
      <c r="A404" s="46" t="inlineStr">
        <is>
          <t>R_S2_SC01_I01</t>
        </is>
      </c>
      <c r="B404" s="46" t="inlineStr">
        <is>
          <t>R_0048</t>
        </is>
      </c>
      <c r="C404" s="46" t="inlineStr">
        <is>
          <t>Strategy 2 – Zero-Shot + Template + BLUF</t>
        </is>
      </c>
      <c r="D404" s="46" t="inlineStr">
        <is>
          <t>SC01</t>
        </is>
      </c>
      <c r="E404" s="46" t="inlineStr">
        <is>
          <t>Ransomware</t>
        </is>
      </c>
      <c r="F404" s="47" t="n">
        <v>1</v>
      </c>
      <c r="G404" s="46" t="inlineStr">
        <is>
          <t>Gemma3:27b via Ollama</t>
        </is>
      </c>
      <c r="H404" s="48" t="n">
        <v>46163</v>
      </c>
      <c r="I404" s="46" t="inlineStr">
        <is>
          <t>8.382</t>
        </is>
      </c>
      <c r="J404" s="46" t="inlineStr">
        <is>
          <t>67.64</t>
        </is>
      </c>
      <c r="K404" s="46" t="inlineStr">
        <is>
          <t>Gemma3:27b</t>
        </is>
      </c>
      <c r="L404" s="46" t="inlineStr">
        <is>
          <t>0.3</t>
        </is>
      </c>
      <c r="M404" s="73" t="inlineStr">
        <is>
          <t>Complete</t>
        </is>
      </c>
    </row>
    <row r="405" ht="13.5" customHeight="1" s="38">
      <c r="A405" s="46" t="inlineStr">
        <is>
          <t>R_S2_SC01_I02</t>
        </is>
      </c>
      <c r="B405" s="46" t="inlineStr">
        <is>
          <t>R_0172</t>
        </is>
      </c>
      <c r="C405" s="46" t="inlineStr">
        <is>
          <t>Strategy 2 – Zero-Shot + Template + BLUF</t>
        </is>
      </c>
      <c r="D405" s="46" t="inlineStr">
        <is>
          <t>SC01</t>
        </is>
      </c>
      <c r="E405" s="46" t="inlineStr">
        <is>
          <t>Ransomware</t>
        </is>
      </c>
      <c r="F405" s="47" t="n">
        <v>2</v>
      </c>
      <c r="G405" s="46" t="inlineStr">
        <is>
          <t>Gemma3:27b via Ollama</t>
        </is>
      </c>
      <c r="H405" s="48" t="n">
        <v>46163</v>
      </c>
      <c r="I405" s="46" t="inlineStr">
        <is>
          <t>8.511</t>
        </is>
      </c>
      <c r="J405" s="46" t="inlineStr">
        <is>
          <t>66.85</t>
        </is>
      </c>
      <c r="K405" s="46" t="inlineStr">
        <is>
          <t>Gemma3:27b</t>
        </is>
      </c>
      <c r="L405" s="46" t="inlineStr">
        <is>
          <t>0.3</t>
        </is>
      </c>
      <c r="M405" s="73" t="inlineStr">
        <is>
          <t>Complete</t>
        </is>
      </c>
    </row>
    <row r="406" ht="13.5" customHeight="1" s="38">
      <c r="A406" s="46" t="inlineStr">
        <is>
          <t>R_S2_SC01_I03</t>
        </is>
      </c>
      <c r="B406" s="46" t="inlineStr">
        <is>
          <t>R_0318</t>
        </is>
      </c>
      <c r="C406" s="46" t="inlineStr">
        <is>
          <t>Strategy 2 – Zero-Shot + Template + BLUF</t>
        </is>
      </c>
      <c r="D406" s="46" t="inlineStr">
        <is>
          <t>SC01</t>
        </is>
      </c>
      <c r="E406" s="46" t="inlineStr">
        <is>
          <t>Ransomware</t>
        </is>
      </c>
      <c r="F406" s="47" t="n">
        <v>3</v>
      </c>
      <c r="G406" s="46" t="inlineStr">
        <is>
          <t>Gemma3:27b via Ollama</t>
        </is>
      </c>
      <c r="H406" s="48" t="n">
        <v>46163</v>
      </c>
      <c r="I406" s="46" t="inlineStr">
        <is>
          <t>8.457</t>
        </is>
      </c>
      <c r="J406" s="46" t="inlineStr">
        <is>
          <t>66.93</t>
        </is>
      </c>
      <c r="K406" s="46" t="inlineStr">
        <is>
          <t>Gemma3:27b</t>
        </is>
      </c>
      <c r="L406" s="46" t="inlineStr">
        <is>
          <t>0.3</t>
        </is>
      </c>
      <c r="M406" s="73" t="inlineStr">
        <is>
          <t>Complete</t>
        </is>
      </c>
    </row>
    <row r="407" ht="13.5" customHeight="1" s="38">
      <c r="A407" s="46" t="inlineStr">
        <is>
          <t>R_S2_SC01_I04</t>
        </is>
      </c>
      <c r="B407" s="46" t="inlineStr">
        <is>
          <t>R_0325</t>
        </is>
      </c>
      <c r="C407" s="46" t="inlineStr">
        <is>
          <t>Strategy 2 – Zero-Shot + Template + BLUF</t>
        </is>
      </c>
      <c r="D407" s="46" t="inlineStr">
        <is>
          <t>SC01</t>
        </is>
      </c>
      <c r="E407" s="46" t="inlineStr">
        <is>
          <t>Ransomware</t>
        </is>
      </c>
      <c r="F407" s="47" t="n">
        <v>4</v>
      </c>
      <c r="G407" s="46" t="inlineStr">
        <is>
          <t>Gemma3:27b via Ollama</t>
        </is>
      </c>
      <c r="H407" s="48" t="n">
        <v>46163</v>
      </c>
      <c r="I407" s="46" t="inlineStr">
        <is>
          <t>8.900</t>
        </is>
      </c>
      <c r="J407" s="46" t="inlineStr">
        <is>
          <t>66.07</t>
        </is>
      </c>
      <c r="K407" s="46" t="inlineStr">
        <is>
          <t>Gemma3:27b</t>
        </is>
      </c>
      <c r="L407" s="46" t="inlineStr">
        <is>
          <t>0.3</t>
        </is>
      </c>
      <c r="M407" s="73" t="inlineStr">
        <is>
          <t>Complete</t>
        </is>
      </c>
    </row>
    <row r="408" ht="13.5" customHeight="1" s="38">
      <c r="A408" s="46" t="inlineStr">
        <is>
          <t>R_S2_SC01_I05</t>
        </is>
      </c>
      <c r="B408" s="46" t="inlineStr">
        <is>
          <t>R_0458</t>
        </is>
      </c>
      <c r="C408" s="46" t="inlineStr">
        <is>
          <t>Strategy 2 – Zero-Shot + Template + BLUF</t>
        </is>
      </c>
      <c r="D408" s="46" t="inlineStr">
        <is>
          <t>SC01</t>
        </is>
      </c>
      <c r="E408" s="46" t="inlineStr">
        <is>
          <t>Ransomware</t>
        </is>
      </c>
      <c r="F408" s="47" t="n">
        <v>5</v>
      </c>
      <c r="G408" s="46" t="inlineStr">
        <is>
          <t>Gemma3:27b via Ollama</t>
        </is>
      </c>
      <c r="H408" s="48" t="n">
        <v>46163</v>
      </c>
      <c r="I408" s="46" t="inlineStr">
        <is>
          <t>8.888</t>
        </is>
      </c>
      <c r="J408" s="46" t="inlineStr">
        <is>
          <t>67.62</t>
        </is>
      </c>
      <c r="K408" s="46" t="inlineStr">
        <is>
          <t>Gemma3:27b</t>
        </is>
      </c>
      <c r="L408" s="46" t="inlineStr">
        <is>
          <t>0.3</t>
        </is>
      </c>
      <c r="M408" s="73" t="inlineStr">
        <is>
          <t>Complete</t>
        </is>
      </c>
    </row>
    <row r="409" ht="13.5" customHeight="1" s="38">
      <c r="A409" s="46" t="inlineStr">
        <is>
          <t>R_S2_SC01_I06</t>
        </is>
      </c>
      <c r="B409" s="46" t="inlineStr">
        <is>
          <t>R_0264</t>
        </is>
      </c>
      <c r="C409" s="46" t="inlineStr">
        <is>
          <t>Strategy 2 – Zero-Shot + Template + BLUF</t>
        </is>
      </c>
      <c r="D409" s="46" t="inlineStr">
        <is>
          <t>SC01</t>
        </is>
      </c>
      <c r="E409" s="46" t="inlineStr">
        <is>
          <t>Ransomware</t>
        </is>
      </c>
      <c r="F409" s="47" t="n">
        <v>6</v>
      </c>
      <c r="G409" s="46" t="inlineStr">
        <is>
          <t>Gemma3:27b via Ollama</t>
        </is>
      </c>
      <c r="H409" s="48" t="n">
        <v>46163</v>
      </c>
      <c r="I409" s="46" t="inlineStr">
        <is>
          <t>8.190</t>
        </is>
      </c>
      <c r="J409" s="46" t="inlineStr">
        <is>
          <t>67.40</t>
        </is>
      </c>
      <c r="K409" s="46" t="inlineStr">
        <is>
          <t>Gemma3:27b</t>
        </is>
      </c>
      <c r="L409" s="46" t="inlineStr">
        <is>
          <t>0.3</t>
        </is>
      </c>
      <c r="M409" s="73" t="inlineStr">
        <is>
          <t>Complete</t>
        </is>
      </c>
    </row>
    <row r="410" ht="13.5" customHeight="1" s="38">
      <c r="A410" s="46" t="inlineStr">
        <is>
          <t>R_S2_SC01_I07</t>
        </is>
      </c>
      <c r="B410" s="46" t="inlineStr">
        <is>
          <t>R_0146</t>
        </is>
      </c>
      <c r="C410" s="46" t="inlineStr">
        <is>
          <t>Strategy 2 – Zero-Shot + Template + BLUF</t>
        </is>
      </c>
      <c r="D410" s="46" t="inlineStr">
        <is>
          <t>SC01</t>
        </is>
      </c>
      <c r="E410" s="46" t="inlineStr">
        <is>
          <t>Ransomware</t>
        </is>
      </c>
      <c r="F410" s="47" t="n">
        <v>7</v>
      </c>
      <c r="G410" s="46" t="inlineStr">
        <is>
          <t>Gemma3:27b via Ollama</t>
        </is>
      </c>
      <c r="H410" s="48" t="n">
        <v>46163</v>
      </c>
      <c r="I410" s="46" t="inlineStr">
        <is>
          <t>8.431</t>
        </is>
      </c>
      <c r="J410" s="46" t="inlineStr">
        <is>
          <t>67.49</t>
        </is>
      </c>
      <c r="K410" s="46" t="inlineStr">
        <is>
          <t>Gemma3:27b</t>
        </is>
      </c>
      <c r="L410" s="46" t="inlineStr">
        <is>
          <t>0.3</t>
        </is>
      </c>
      <c r="M410" s="73" t="inlineStr">
        <is>
          <t>Complete</t>
        </is>
      </c>
    </row>
    <row r="411" ht="13.5" customHeight="1" s="38">
      <c r="A411" s="46" t="inlineStr">
        <is>
          <t>R_S2_SC01_I08</t>
        </is>
      </c>
      <c r="B411" s="46" t="inlineStr">
        <is>
          <t>R_0044</t>
        </is>
      </c>
      <c r="C411" s="46" t="inlineStr">
        <is>
          <t>Strategy 2 – Zero-Shot + Template + BLUF</t>
        </is>
      </c>
      <c r="D411" s="46" t="inlineStr">
        <is>
          <t>SC01</t>
        </is>
      </c>
      <c r="E411" s="46" t="inlineStr">
        <is>
          <t>Ransomware</t>
        </is>
      </c>
      <c r="F411" s="47" t="n">
        <v>8</v>
      </c>
      <c r="G411" s="46" t="inlineStr">
        <is>
          <t>Gemma3:27b via Ollama</t>
        </is>
      </c>
      <c r="H411" s="48" t="n">
        <v>46163</v>
      </c>
      <c r="I411" s="46" t="inlineStr">
        <is>
          <t>8.759</t>
        </is>
      </c>
      <c r="J411" s="46" t="inlineStr">
        <is>
          <t>67.59</t>
        </is>
      </c>
      <c r="K411" s="46" t="inlineStr">
        <is>
          <t>Gemma3:27b</t>
        </is>
      </c>
      <c r="L411" s="46" t="inlineStr">
        <is>
          <t>0.3</t>
        </is>
      </c>
      <c r="M411" s="73" t="inlineStr">
        <is>
          <t>Complete</t>
        </is>
      </c>
    </row>
    <row r="412" ht="13.5" customHeight="1" s="38">
      <c r="A412" s="46" t="inlineStr">
        <is>
          <t>R_S2_SC01_I09</t>
        </is>
      </c>
      <c r="B412" s="46" t="inlineStr">
        <is>
          <t>R_0338</t>
        </is>
      </c>
      <c r="C412" s="46" t="inlineStr">
        <is>
          <t>Strategy 2 – Zero-Shot + Template + BLUF</t>
        </is>
      </c>
      <c r="D412" s="46" t="inlineStr">
        <is>
          <t>SC01</t>
        </is>
      </c>
      <c r="E412" s="46" t="inlineStr">
        <is>
          <t>Ransomware</t>
        </is>
      </c>
      <c r="F412" s="47" t="n">
        <v>9</v>
      </c>
      <c r="G412" s="46" t="inlineStr">
        <is>
          <t>Gemma3:27b via Ollama</t>
        </is>
      </c>
      <c r="H412" s="48" t="n">
        <v>46163</v>
      </c>
      <c r="I412" s="46" t="inlineStr">
        <is>
          <t>8.209</t>
        </is>
      </c>
      <c r="J412" s="46" t="inlineStr">
        <is>
          <t>67.12</t>
        </is>
      </c>
      <c r="K412" s="46" t="inlineStr">
        <is>
          <t>Gemma3:27b</t>
        </is>
      </c>
      <c r="L412" s="46" t="inlineStr">
        <is>
          <t>0.3</t>
        </is>
      </c>
      <c r="M412" s="73" t="inlineStr">
        <is>
          <t>Complete</t>
        </is>
      </c>
    </row>
    <row r="413" ht="13.5" customHeight="1" s="38">
      <c r="A413" s="46" t="inlineStr">
        <is>
          <t>R_S2_SC01_I10</t>
        </is>
      </c>
      <c r="B413" s="46" t="inlineStr">
        <is>
          <t>R_0087</t>
        </is>
      </c>
      <c r="C413" s="46" t="inlineStr">
        <is>
          <t>Strategy 2 – Zero-Shot + Template + BLUF</t>
        </is>
      </c>
      <c r="D413" s="46" t="inlineStr">
        <is>
          <t>SC01</t>
        </is>
      </c>
      <c r="E413" s="46" t="inlineStr">
        <is>
          <t>Ransomware</t>
        </is>
      </c>
      <c r="F413" s="47" t="n">
        <v>10</v>
      </c>
      <c r="G413" s="46" t="inlineStr">
        <is>
          <t>Gemma3:27b via Ollama</t>
        </is>
      </c>
      <c r="H413" s="48" t="n">
        <v>46163</v>
      </c>
      <c r="I413" s="46" t="inlineStr">
        <is>
          <t>8.654</t>
        </is>
      </c>
      <c r="J413" s="46" t="inlineStr">
        <is>
          <t>67.37</t>
        </is>
      </c>
      <c r="K413" s="46" t="inlineStr">
        <is>
          <t>Gemma3:27b</t>
        </is>
      </c>
      <c r="L413" s="46" t="inlineStr">
        <is>
          <t>0.3</t>
        </is>
      </c>
      <c r="M413" s="73" t="inlineStr">
        <is>
          <t>Complete</t>
        </is>
      </c>
    </row>
    <row r="414" ht="13.5" customHeight="1" s="38">
      <c r="A414" s="46" t="inlineStr">
        <is>
          <t>R_S2_SC02_I01</t>
        </is>
      </c>
      <c r="B414" s="46" t="inlineStr">
        <is>
          <t>R_0377</t>
        </is>
      </c>
      <c r="C414" s="46" t="inlineStr">
        <is>
          <t>Strategy 2 – Zero-Shot + Template + BLUF</t>
        </is>
      </c>
      <c r="D414" s="46" t="inlineStr">
        <is>
          <t>SC02</t>
        </is>
      </c>
      <c r="E414" s="46" t="inlineStr">
        <is>
          <t>Ransomware</t>
        </is>
      </c>
      <c r="F414" s="47" t="n">
        <v>1</v>
      </c>
      <c r="G414" s="46" t="inlineStr">
        <is>
          <t>Gemma3:27b via Ollama</t>
        </is>
      </c>
      <c r="H414" s="48" t="n">
        <v>46163</v>
      </c>
      <c r="I414" s="46" t="inlineStr">
        <is>
          <t>8.541</t>
        </is>
      </c>
      <c r="J414" s="46" t="inlineStr">
        <is>
          <t>66.74</t>
        </is>
      </c>
      <c r="K414" s="46" t="inlineStr">
        <is>
          <t>Gemma3:27b</t>
        </is>
      </c>
      <c r="L414" s="46" t="inlineStr">
        <is>
          <t>0.3</t>
        </is>
      </c>
      <c r="M414" s="73" t="inlineStr">
        <is>
          <t>Complete</t>
        </is>
      </c>
    </row>
    <row r="415" ht="13.5" customHeight="1" s="38">
      <c r="A415" s="46" t="inlineStr">
        <is>
          <t>R_S2_SC02_I02</t>
        </is>
      </c>
      <c r="B415" s="46" t="inlineStr">
        <is>
          <t>R_0408</t>
        </is>
      </c>
      <c r="C415" s="46" t="inlineStr">
        <is>
          <t>Strategy 2 – Zero-Shot + Template + BLUF</t>
        </is>
      </c>
      <c r="D415" s="46" t="inlineStr">
        <is>
          <t>SC02</t>
        </is>
      </c>
      <c r="E415" s="46" t="inlineStr">
        <is>
          <t>Ransomware</t>
        </is>
      </c>
      <c r="F415" s="47" t="n">
        <v>2</v>
      </c>
      <c r="G415" s="46" t="inlineStr">
        <is>
          <t>Gemma3:27b via Ollama</t>
        </is>
      </c>
      <c r="H415" s="48" t="n">
        <v>46163</v>
      </c>
      <c r="I415" s="46" t="inlineStr">
        <is>
          <t>9.769</t>
        </is>
      </c>
      <c r="J415" s="46" t="inlineStr">
        <is>
          <t>66.94</t>
        </is>
      </c>
      <c r="K415" s="46" t="inlineStr">
        <is>
          <t>Gemma3:27b</t>
        </is>
      </c>
      <c r="L415" s="46" t="inlineStr">
        <is>
          <t>0.3</t>
        </is>
      </c>
      <c r="M415" s="73" t="inlineStr">
        <is>
          <t>Complete</t>
        </is>
      </c>
    </row>
    <row r="416" ht="13.5" customHeight="1" s="38">
      <c r="A416" s="46" t="inlineStr">
        <is>
          <t>R_S2_SC02_I03</t>
        </is>
      </c>
      <c r="B416" s="46" t="inlineStr">
        <is>
          <t>R_0407</t>
        </is>
      </c>
      <c r="C416" s="46" t="inlineStr">
        <is>
          <t>Strategy 2 – Zero-Shot + Template + BLUF</t>
        </is>
      </c>
      <c r="D416" s="46" t="inlineStr">
        <is>
          <t>SC02</t>
        </is>
      </c>
      <c r="E416" s="46" t="inlineStr">
        <is>
          <t>Ransomware</t>
        </is>
      </c>
      <c r="F416" s="47" t="n">
        <v>3</v>
      </c>
      <c r="G416" s="46" t="inlineStr">
        <is>
          <t>Gemma3:27b via Ollama</t>
        </is>
      </c>
      <c r="H416" s="48" t="n">
        <v>46163</v>
      </c>
      <c r="I416" s="46" t="inlineStr">
        <is>
          <t>8.309</t>
        </is>
      </c>
      <c r="J416" s="46" t="inlineStr">
        <is>
          <t>67.40</t>
        </is>
      </c>
      <c r="K416" s="46" t="inlineStr">
        <is>
          <t>Gemma3:27b</t>
        </is>
      </c>
      <c r="L416" s="46" t="inlineStr">
        <is>
          <t>0.3</t>
        </is>
      </c>
      <c r="M416" s="73" t="inlineStr">
        <is>
          <t>Complete</t>
        </is>
      </c>
    </row>
    <row r="417" ht="13.5" customHeight="1" s="38">
      <c r="A417" s="46" t="inlineStr">
        <is>
          <t>R_S2_SC02_I04</t>
        </is>
      </c>
      <c r="B417" s="46" t="inlineStr">
        <is>
          <t>R_0595</t>
        </is>
      </c>
      <c r="C417" s="46" t="inlineStr">
        <is>
          <t>Strategy 2 – Zero-Shot + Template + BLUF</t>
        </is>
      </c>
      <c r="D417" s="46" t="inlineStr">
        <is>
          <t>SC02</t>
        </is>
      </c>
      <c r="E417" s="46" t="inlineStr">
        <is>
          <t>Ransomware</t>
        </is>
      </c>
      <c r="F417" s="47" t="n">
        <v>4</v>
      </c>
      <c r="G417" s="46" t="inlineStr">
        <is>
          <t>Gemma3:27b via Ollama</t>
        </is>
      </c>
      <c r="H417" s="48" t="n">
        <v>46163</v>
      </c>
      <c r="I417" s="46" t="inlineStr">
        <is>
          <t>9.147</t>
        </is>
      </c>
      <c r="J417" s="46" t="inlineStr">
        <is>
          <t>67.34</t>
        </is>
      </c>
      <c r="K417" s="46" t="inlineStr">
        <is>
          <t>Gemma3:27b</t>
        </is>
      </c>
      <c r="L417" s="46" t="inlineStr">
        <is>
          <t>0.3</t>
        </is>
      </c>
      <c r="M417" s="73" t="inlineStr">
        <is>
          <t>Complete</t>
        </is>
      </c>
    </row>
    <row r="418" ht="13.5" customHeight="1" s="38">
      <c r="A418" s="46" t="inlineStr">
        <is>
          <t>R_S2_SC02_I05</t>
        </is>
      </c>
      <c r="B418" s="46" t="inlineStr">
        <is>
          <t>R_0486</t>
        </is>
      </c>
      <c r="C418" s="46" t="inlineStr">
        <is>
          <t>Strategy 2 – Zero-Shot + Template + BLUF</t>
        </is>
      </c>
      <c r="D418" s="46" t="inlineStr">
        <is>
          <t>SC02</t>
        </is>
      </c>
      <c r="E418" s="46" t="inlineStr">
        <is>
          <t>Ransomware</t>
        </is>
      </c>
      <c r="F418" s="47" t="n">
        <v>5</v>
      </c>
      <c r="G418" s="46" t="inlineStr">
        <is>
          <t>Gemma3:27b via Ollama</t>
        </is>
      </c>
      <c r="H418" s="48" t="n">
        <v>46163</v>
      </c>
      <c r="I418" s="46" t="inlineStr">
        <is>
          <t>8.488</t>
        </is>
      </c>
      <c r="J418" s="46" t="inlineStr">
        <is>
          <t>67.51</t>
        </is>
      </c>
      <c r="K418" s="46" t="inlineStr">
        <is>
          <t>Gemma3:27b</t>
        </is>
      </c>
      <c r="L418" s="46" t="inlineStr">
        <is>
          <t>0.3</t>
        </is>
      </c>
      <c r="M418" s="73" t="inlineStr">
        <is>
          <t>Complete</t>
        </is>
      </c>
    </row>
    <row r="419" ht="13.5" customHeight="1" s="38">
      <c r="A419" s="46" t="inlineStr">
        <is>
          <t>R_S2_SC02_I06</t>
        </is>
      </c>
      <c r="B419" s="46" t="inlineStr">
        <is>
          <t>R_0587</t>
        </is>
      </c>
      <c r="C419" s="46" t="inlineStr">
        <is>
          <t>Strategy 2 – Zero-Shot + Template + BLUF</t>
        </is>
      </c>
      <c r="D419" s="46" t="inlineStr">
        <is>
          <t>SC02</t>
        </is>
      </c>
      <c r="E419" s="46" t="inlineStr">
        <is>
          <t>Ransomware</t>
        </is>
      </c>
      <c r="F419" s="47" t="n">
        <v>6</v>
      </c>
      <c r="G419" s="46" t="inlineStr">
        <is>
          <t>Gemma3:27b via Ollama</t>
        </is>
      </c>
      <c r="H419" s="48" t="n">
        <v>46163</v>
      </c>
      <c r="I419" s="46" t="inlineStr">
        <is>
          <t>9.503</t>
        </is>
      </c>
      <c r="J419" s="46" t="inlineStr">
        <is>
          <t>66.71</t>
        </is>
      </c>
      <c r="K419" s="46" t="inlineStr">
        <is>
          <t>Gemma3:27b</t>
        </is>
      </c>
      <c r="L419" s="46" t="inlineStr">
        <is>
          <t>0.3</t>
        </is>
      </c>
      <c r="M419" s="73" t="inlineStr">
        <is>
          <t>Complete</t>
        </is>
      </c>
    </row>
    <row r="420" ht="13.5" customHeight="1" s="38">
      <c r="A420" s="46" t="inlineStr">
        <is>
          <t>R_S2_SC02_I07</t>
        </is>
      </c>
      <c r="B420" s="46" t="inlineStr">
        <is>
          <t>R_0346</t>
        </is>
      </c>
      <c r="C420" s="46" t="inlineStr">
        <is>
          <t>Strategy 2 – Zero-Shot + Template + BLUF</t>
        </is>
      </c>
      <c r="D420" s="46" t="inlineStr">
        <is>
          <t>SC02</t>
        </is>
      </c>
      <c r="E420" s="46" t="inlineStr">
        <is>
          <t>Ransomware</t>
        </is>
      </c>
      <c r="F420" s="47" t="n">
        <v>7</v>
      </c>
      <c r="G420" s="46" t="inlineStr">
        <is>
          <t>Gemma3:27b via Ollama</t>
        </is>
      </c>
      <c r="H420" s="48" t="n">
        <v>46163</v>
      </c>
      <c r="I420" s="46" t="inlineStr">
        <is>
          <t>9.433</t>
        </is>
      </c>
      <c r="J420" s="46" t="inlineStr">
        <is>
          <t>65.83</t>
        </is>
      </c>
      <c r="K420" s="46" t="inlineStr">
        <is>
          <t>Gemma3:27b</t>
        </is>
      </c>
      <c r="L420" s="46" t="inlineStr">
        <is>
          <t>0.3</t>
        </is>
      </c>
      <c r="M420" s="73" t="inlineStr">
        <is>
          <t>Complete</t>
        </is>
      </c>
    </row>
    <row r="421" ht="13.5" customHeight="1" s="38">
      <c r="A421" s="46" t="inlineStr">
        <is>
          <t>R_S2_SC02_I08</t>
        </is>
      </c>
      <c r="B421" s="46" t="inlineStr">
        <is>
          <t>R_0419</t>
        </is>
      </c>
      <c r="C421" s="46" t="inlineStr">
        <is>
          <t>Strategy 2 – Zero-Shot + Template + BLUF</t>
        </is>
      </c>
      <c r="D421" s="46" t="inlineStr">
        <is>
          <t>SC02</t>
        </is>
      </c>
      <c r="E421" s="46" t="inlineStr">
        <is>
          <t>Ransomware</t>
        </is>
      </c>
      <c r="F421" s="47" t="n">
        <v>8</v>
      </c>
      <c r="G421" s="46" t="inlineStr">
        <is>
          <t>Gemma3:27b via Ollama</t>
        </is>
      </c>
      <c r="H421" s="48" t="n">
        <v>46163</v>
      </c>
      <c r="I421" s="46" t="inlineStr">
        <is>
          <t>9.079</t>
        </is>
      </c>
      <c r="J421" s="46" t="inlineStr">
        <is>
          <t>67.41</t>
        </is>
      </c>
      <c r="K421" s="46" t="inlineStr">
        <is>
          <t>Gemma3:27b</t>
        </is>
      </c>
      <c r="L421" s="46" t="inlineStr">
        <is>
          <t>0.3</t>
        </is>
      </c>
      <c r="M421" s="73" t="inlineStr">
        <is>
          <t>Complete</t>
        </is>
      </c>
    </row>
    <row r="422" ht="13.5" customHeight="1" s="38">
      <c r="A422" s="46" t="inlineStr">
        <is>
          <t>R_S2_SC02_I09</t>
        </is>
      </c>
      <c r="B422" s="46" t="inlineStr">
        <is>
          <t>R_0227</t>
        </is>
      </c>
      <c r="C422" s="46" t="inlineStr">
        <is>
          <t>Strategy 2 – Zero-Shot + Template + BLUF</t>
        </is>
      </c>
      <c r="D422" s="46" t="inlineStr">
        <is>
          <t>SC02</t>
        </is>
      </c>
      <c r="E422" s="46" t="inlineStr">
        <is>
          <t>Ransomware</t>
        </is>
      </c>
      <c r="F422" s="47" t="n">
        <v>9</v>
      </c>
      <c r="G422" s="46" t="inlineStr">
        <is>
          <t>Gemma3:27b via Ollama</t>
        </is>
      </c>
      <c r="H422" s="48" t="n">
        <v>46163</v>
      </c>
      <c r="I422" s="46" t="inlineStr">
        <is>
          <t>10.530</t>
        </is>
      </c>
      <c r="J422" s="46" t="inlineStr">
        <is>
          <t>65.91</t>
        </is>
      </c>
      <c r="K422" s="46" t="inlineStr">
        <is>
          <t>Gemma3:27b</t>
        </is>
      </c>
      <c r="L422" s="46" t="inlineStr">
        <is>
          <t>0.3</t>
        </is>
      </c>
      <c r="M422" s="73" t="inlineStr">
        <is>
          <t>Complete</t>
        </is>
      </c>
    </row>
    <row r="423" ht="13.5" customHeight="1" s="38">
      <c r="A423" s="46" t="inlineStr">
        <is>
          <t>R_S2_SC02_I10</t>
        </is>
      </c>
      <c r="B423" s="46" t="inlineStr">
        <is>
          <t>R_0928</t>
        </is>
      </c>
      <c r="C423" s="46" t="inlineStr">
        <is>
          <t>Strategy 2 – Zero-Shot + Template + BLUF</t>
        </is>
      </c>
      <c r="D423" s="46" t="inlineStr">
        <is>
          <t>SC02</t>
        </is>
      </c>
      <c r="E423" s="46" t="inlineStr">
        <is>
          <t>Ransomware</t>
        </is>
      </c>
      <c r="F423" s="47" t="n">
        <v>10</v>
      </c>
      <c r="G423" s="46" t="inlineStr">
        <is>
          <t>Gemma3:27b via Ollama</t>
        </is>
      </c>
      <c r="H423" s="48" t="n">
        <v>46163</v>
      </c>
      <c r="I423" s="46" t="inlineStr">
        <is>
          <t>9.895</t>
        </is>
      </c>
      <c r="J423" s="46" t="inlineStr">
        <is>
          <t>66.40</t>
        </is>
      </c>
      <c r="K423" s="46" t="inlineStr">
        <is>
          <t>Gemma3:27b</t>
        </is>
      </c>
      <c r="L423" s="46" t="inlineStr">
        <is>
          <t>0.3</t>
        </is>
      </c>
      <c r="M423" s="73" t="inlineStr">
        <is>
          <t>Complete</t>
        </is>
      </c>
    </row>
    <row r="424" ht="13.5" customHeight="1" s="38">
      <c r="A424" s="46" t="inlineStr">
        <is>
          <t>R_S2_SC03_I01</t>
        </is>
      </c>
      <c r="B424" s="46" t="inlineStr">
        <is>
          <t>R_0165</t>
        </is>
      </c>
      <c r="C424" s="46" t="inlineStr">
        <is>
          <t>Strategy 2 – Zero-Shot + Template + BLUF</t>
        </is>
      </c>
      <c r="D424" s="46" t="inlineStr">
        <is>
          <t>SC03</t>
        </is>
      </c>
      <c r="E424" s="46" t="inlineStr">
        <is>
          <t>Ransomware</t>
        </is>
      </c>
      <c r="F424" s="47" t="n">
        <v>1</v>
      </c>
      <c r="G424" s="46" t="inlineStr">
        <is>
          <t>Gemma3:27b via Ollama</t>
        </is>
      </c>
      <c r="H424" s="48" t="n">
        <v>46163</v>
      </c>
      <c r="I424" s="46" t="inlineStr">
        <is>
          <t>8.196</t>
        </is>
      </c>
      <c r="J424" s="46" t="inlineStr">
        <is>
          <t>67.353</t>
        </is>
      </c>
      <c r="K424" s="46" t="inlineStr">
        <is>
          <t>Gemma3:27b</t>
        </is>
      </c>
      <c r="L424" s="46" t="inlineStr">
        <is>
          <t>0.3</t>
        </is>
      </c>
      <c r="M424" s="73" t="inlineStr">
        <is>
          <t>Complete</t>
        </is>
      </c>
    </row>
    <row r="425" ht="13.5" customHeight="1" s="38">
      <c r="A425" s="46" t="inlineStr">
        <is>
          <t>R_S2_SC03_I02</t>
        </is>
      </c>
      <c r="B425" s="46" t="inlineStr">
        <is>
          <t>R_0336</t>
        </is>
      </c>
      <c r="C425" s="46" t="inlineStr">
        <is>
          <t>Strategy 2 – Zero-Shot + Template + BLUF</t>
        </is>
      </c>
      <c r="D425" s="46" t="inlineStr">
        <is>
          <t>SC03</t>
        </is>
      </c>
      <c r="E425" s="46" t="inlineStr">
        <is>
          <t>Ransomware</t>
        </is>
      </c>
      <c r="F425" s="47" t="n">
        <v>2</v>
      </c>
      <c r="G425" s="46" t="inlineStr">
        <is>
          <t>Gemma3:27b via Ollama</t>
        </is>
      </c>
      <c r="H425" s="48" t="n">
        <v>46163</v>
      </c>
      <c r="I425" s="46" t="inlineStr">
        <is>
          <t>8.152</t>
        </is>
      </c>
      <c r="J425" s="46" t="inlineStr">
        <is>
          <t>66.25</t>
        </is>
      </c>
      <c r="K425" s="46" t="inlineStr">
        <is>
          <t>Gemma3:27b</t>
        </is>
      </c>
      <c r="L425" s="46" t="inlineStr">
        <is>
          <t>0.3</t>
        </is>
      </c>
      <c r="M425" s="73" t="inlineStr">
        <is>
          <t>Complete</t>
        </is>
      </c>
    </row>
    <row r="426" ht="13.5" customHeight="1" s="38">
      <c r="A426" s="46" t="inlineStr">
        <is>
          <t>R_S2_SC03_I03</t>
        </is>
      </c>
      <c r="B426" s="46" t="inlineStr">
        <is>
          <t>R_0852</t>
        </is>
      </c>
      <c r="C426" s="46" t="inlineStr">
        <is>
          <t>Strategy 2 – Zero-Shot + Template + BLUF</t>
        </is>
      </c>
      <c r="D426" s="46" t="inlineStr">
        <is>
          <t>SC03</t>
        </is>
      </c>
      <c r="E426" s="46" t="inlineStr">
        <is>
          <t>Ransomware</t>
        </is>
      </c>
      <c r="F426" s="47" t="n">
        <v>3</v>
      </c>
      <c r="G426" s="46" t="inlineStr">
        <is>
          <t>Gemma3:27b via Ollama</t>
        </is>
      </c>
      <c r="H426" s="48" t="n">
        <v>46163</v>
      </c>
      <c r="I426" s="46" t="inlineStr">
        <is>
          <t>7.921</t>
        </is>
      </c>
      <c r="J426" s="46" t="inlineStr">
        <is>
          <t>67.42</t>
        </is>
      </c>
      <c r="K426" s="46" t="inlineStr">
        <is>
          <t>Gemma3:27b</t>
        </is>
      </c>
      <c r="L426" s="46" t="inlineStr">
        <is>
          <t>0.3</t>
        </is>
      </c>
      <c r="M426" s="73" t="inlineStr">
        <is>
          <t>Complete</t>
        </is>
      </c>
    </row>
    <row r="427" ht="13.5" customHeight="1" s="38">
      <c r="A427" s="46" t="inlineStr">
        <is>
          <t>R_S2_SC03_I04</t>
        </is>
      </c>
      <c r="B427" s="46" t="inlineStr">
        <is>
          <t>R_0931</t>
        </is>
      </c>
      <c r="C427" s="46" t="inlineStr">
        <is>
          <t>Strategy 2 – Zero-Shot + Template + BLUF</t>
        </is>
      </c>
      <c r="D427" s="46" t="inlineStr">
        <is>
          <t>SC03</t>
        </is>
      </c>
      <c r="E427" s="46" t="inlineStr">
        <is>
          <t>Ransomware</t>
        </is>
      </c>
      <c r="F427" s="47" t="n">
        <v>4</v>
      </c>
      <c r="G427" s="46" t="inlineStr">
        <is>
          <t>Gemma3:27b via Ollama</t>
        </is>
      </c>
      <c r="H427" s="48" t="n">
        <v>46163</v>
      </c>
      <c r="I427" s="46" t="inlineStr">
        <is>
          <t>7.701</t>
        </is>
      </c>
      <c r="J427" s="46" t="inlineStr">
        <is>
          <t>66.62</t>
        </is>
      </c>
      <c r="K427" s="46" t="inlineStr">
        <is>
          <t>Gemma3:27b</t>
        </is>
      </c>
      <c r="L427" s="46" t="inlineStr">
        <is>
          <t>0.3</t>
        </is>
      </c>
      <c r="M427" s="73" t="inlineStr">
        <is>
          <t>Complete</t>
        </is>
      </c>
    </row>
    <row r="428" ht="13.5" customHeight="1" s="38">
      <c r="A428" s="46" t="inlineStr">
        <is>
          <t>R_S2_SC03_I05</t>
        </is>
      </c>
      <c r="B428" s="46" t="inlineStr">
        <is>
          <t>R_0490</t>
        </is>
      </c>
      <c r="C428" s="46" t="inlineStr">
        <is>
          <t>Strategy 2 – Zero-Shot + Template + BLUF</t>
        </is>
      </c>
      <c r="D428" s="46" t="inlineStr">
        <is>
          <t>SC03</t>
        </is>
      </c>
      <c r="E428" s="46" t="inlineStr">
        <is>
          <t>Ransomware</t>
        </is>
      </c>
      <c r="F428" s="47" t="n">
        <v>5</v>
      </c>
      <c r="G428" s="46" t="inlineStr">
        <is>
          <t>Gemma3:27b via Ollama</t>
        </is>
      </c>
      <c r="H428" s="48" t="n">
        <v>46163</v>
      </c>
      <c r="I428" s="46" t="inlineStr">
        <is>
          <t>8.55</t>
        </is>
      </c>
      <c r="J428" s="46" t="inlineStr">
        <is>
          <t>67.38</t>
        </is>
      </c>
      <c r="K428" s="46" t="inlineStr">
        <is>
          <t>Gemma3:27b</t>
        </is>
      </c>
      <c r="L428" s="46" t="inlineStr">
        <is>
          <t>0.3</t>
        </is>
      </c>
      <c r="M428" s="73" t="inlineStr">
        <is>
          <t>Complete</t>
        </is>
      </c>
    </row>
    <row r="429" ht="13.5" customHeight="1" s="38">
      <c r="A429" s="46" t="inlineStr">
        <is>
          <t>R_S2_SC03_I06</t>
        </is>
      </c>
      <c r="B429" s="46" t="inlineStr">
        <is>
          <t>R_0464</t>
        </is>
      </c>
      <c r="C429" s="46" t="inlineStr">
        <is>
          <t>Strategy 2 – Zero-Shot + Template + BLUF</t>
        </is>
      </c>
      <c r="D429" s="46" t="inlineStr">
        <is>
          <t>SC03</t>
        </is>
      </c>
      <c r="E429" s="46" t="inlineStr">
        <is>
          <t>Ransomware</t>
        </is>
      </c>
      <c r="F429" s="47" t="n">
        <v>6</v>
      </c>
      <c r="G429" s="46" t="inlineStr">
        <is>
          <t>Gemma3:27b via Ollama</t>
        </is>
      </c>
      <c r="H429" s="48" t="n">
        <v>46163</v>
      </c>
      <c r="I429" s="46" t="inlineStr">
        <is>
          <t>7.391</t>
        </is>
      </c>
      <c r="J429" s="46" t="inlineStr">
        <is>
          <t>66.97</t>
        </is>
      </c>
      <c r="K429" s="46" t="inlineStr">
        <is>
          <t>Gemma3:27b</t>
        </is>
      </c>
      <c r="L429" s="46" t="inlineStr">
        <is>
          <t>0.3</t>
        </is>
      </c>
      <c r="M429" s="73" t="inlineStr">
        <is>
          <t>Complete</t>
        </is>
      </c>
    </row>
    <row r="430" ht="13.5" customHeight="1" s="38">
      <c r="A430" s="46" t="inlineStr">
        <is>
          <t>R_S2_SC03_I07</t>
        </is>
      </c>
      <c r="B430" s="46" t="inlineStr">
        <is>
          <t>R_0108</t>
        </is>
      </c>
      <c r="C430" s="46" t="inlineStr">
        <is>
          <t>Strategy 2 – Zero-Shot + Template + BLUF</t>
        </is>
      </c>
      <c r="D430" s="46" t="inlineStr">
        <is>
          <t>SC03</t>
        </is>
      </c>
      <c r="E430" s="46" t="inlineStr">
        <is>
          <t>Ransomware</t>
        </is>
      </c>
      <c r="F430" s="47" t="n">
        <v>7</v>
      </c>
      <c r="G430" s="46" t="inlineStr">
        <is>
          <t>Gemma3:27b via Ollama</t>
        </is>
      </c>
      <c r="H430" s="48" t="n">
        <v>46163</v>
      </c>
      <c r="I430" s="46" t="inlineStr">
        <is>
          <t>7.589</t>
        </is>
      </c>
      <c r="J430" s="46" t="inlineStr">
        <is>
          <t>66.67</t>
        </is>
      </c>
      <c r="K430" s="46" t="inlineStr">
        <is>
          <t>Gemma3:27b</t>
        </is>
      </c>
      <c r="L430" s="46" t="inlineStr">
        <is>
          <t>0.3</t>
        </is>
      </c>
      <c r="M430" s="73" t="inlineStr">
        <is>
          <t>Complete</t>
        </is>
      </c>
    </row>
    <row r="431" ht="13.5" customHeight="1" s="38">
      <c r="A431" s="46" t="inlineStr">
        <is>
          <t>R_S2_SC03_I08</t>
        </is>
      </c>
      <c r="B431" s="46" t="inlineStr">
        <is>
          <t>R_0871</t>
        </is>
      </c>
      <c r="C431" s="46" t="inlineStr">
        <is>
          <t>Strategy 2 – Zero-Shot + Template + BLUF</t>
        </is>
      </c>
      <c r="D431" s="46" t="inlineStr">
        <is>
          <t>SC03</t>
        </is>
      </c>
      <c r="E431" s="46" t="inlineStr">
        <is>
          <t>Ransomware</t>
        </is>
      </c>
      <c r="F431" s="47" t="n">
        <v>8</v>
      </c>
      <c r="G431" s="46" t="inlineStr">
        <is>
          <t>Gemma3:27b via Ollama</t>
        </is>
      </c>
      <c r="H431" s="48" t="n">
        <v>46163</v>
      </c>
      <c r="I431" s="46" t="inlineStr">
        <is>
          <t>7.979</t>
        </is>
      </c>
      <c r="J431" s="46" t="inlineStr">
        <is>
          <t>67.05</t>
        </is>
      </c>
      <c r="K431" s="46" t="inlineStr">
        <is>
          <t>Gemma3:27b</t>
        </is>
      </c>
      <c r="L431" s="46" t="inlineStr">
        <is>
          <t>0.3</t>
        </is>
      </c>
      <c r="M431" s="73" t="inlineStr">
        <is>
          <t>Complete</t>
        </is>
      </c>
    </row>
    <row r="432" ht="13.5" customHeight="1" s="38">
      <c r="A432" s="46" t="inlineStr">
        <is>
          <t>R_S2_SC03_I09</t>
        </is>
      </c>
      <c r="B432" s="46" t="inlineStr">
        <is>
          <t>R_0156</t>
        </is>
      </c>
      <c r="C432" s="46" t="inlineStr">
        <is>
          <t>Strategy 2 – Zero-Shot + Template + BLUF</t>
        </is>
      </c>
      <c r="D432" s="46" t="inlineStr">
        <is>
          <t>SC03</t>
        </is>
      </c>
      <c r="E432" s="46" t="inlineStr">
        <is>
          <t>Ransomware</t>
        </is>
      </c>
      <c r="F432" s="47" t="n">
        <v>9</v>
      </c>
      <c r="G432" s="46" t="inlineStr">
        <is>
          <t>Gemma3:27b via Ollama</t>
        </is>
      </c>
      <c r="H432" s="48" t="n">
        <v>46163</v>
      </c>
      <c r="I432" s="46" t="inlineStr">
        <is>
          <t>8.070</t>
        </is>
      </c>
      <c r="J432" s="46" t="inlineStr">
        <is>
          <t>65.30</t>
        </is>
      </c>
      <c r="K432" s="46" t="inlineStr">
        <is>
          <t>Gemma3:27b</t>
        </is>
      </c>
      <c r="L432" s="46" t="inlineStr">
        <is>
          <t>0.3</t>
        </is>
      </c>
      <c r="M432" s="73" t="inlineStr">
        <is>
          <t>Complete</t>
        </is>
      </c>
    </row>
    <row r="433" ht="13.5" customHeight="1" s="38">
      <c r="A433" s="46" t="inlineStr">
        <is>
          <t>R_S2_SC03_I10</t>
        </is>
      </c>
      <c r="B433" s="46" t="inlineStr">
        <is>
          <t>R_0476</t>
        </is>
      </c>
      <c r="C433" s="46" t="inlineStr">
        <is>
          <t>Strategy 2 – Zero-Shot + Template + BLUF</t>
        </is>
      </c>
      <c r="D433" s="46" t="inlineStr">
        <is>
          <t>SC03</t>
        </is>
      </c>
      <c r="E433" s="46" t="inlineStr">
        <is>
          <t>Ransomware</t>
        </is>
      </c>
      <c r="F433" s="47" t="n">
        <v>10</v>
      </c>
      <c r="G433" s="46" t="inlineStr">
        <is>
          <t>Gemma3:27b via Ollama</t>
        </is>
      </c>
      <c r="H433" s="48" t="n">
        <v>46163</v>
      </c>
      <c r="I433" s="46" t="inlineStr">
        <is>
          <t>7.858</t>
        </is>
      </c>
      <c r="J433" s="46" t="inlineStr">
        <is>
          <t>67.32</t>
        </is>
      </c>
      <c r="K433" s="46" t="inlineStr">
        <is>
          <t>Gemma3:27b</t>
        </is>
      </c>
      <c r="L433" s="46" t="inlineStr">
        <is>
          <t>0.3</t>
        </is>
      </c>
      <c r="M433" s="73" t="inlineStr">
        <is>
          <t>Complete</t>
        </is>
      </c>
    </row>
    <row r="434" ht="13.5" customHeight="1" s="38">
      <c r="A434" s="46" t="inlineStr">
        <is>
          <t>R_S2_SC04_I01</t>
        </is>
      </c>
      <c r="B434" s="46" t="inlineStr">
        <is>
          <t>R_0427</t>
        </is>
      </c>
      <c r="C434" s="46" t="inlineStr">
        <is>
          <t>Strategy 2 – Zero-Shot + Template + BLUF</t>
        </is>
      </c>
      <c r="D434" s="46" t="inlineStr">
        <is>
          <t>SC04</t>
        </is>
      </c>
      <c r="E434" s="46" t="inlineStr">
        <is>
          <t>Ransomware</t>
        </is>
      </c>
      <c r="F434" s="47" t="n">
        <v>1</v>
      </c>
      <c r="G434" s="46" t="inlineStr">
        <is>
          <t>Gemma3:27b via Ollama</t>
        </is>
      </c>
      <c r="H434" s="48" t="n">
        <v>46166</v>
      </c>
      <c r="I434" s="46" t="inlineStr">
        <is>
          <t>9.386</t>
        </is>
      </c>
      <c r="J434" s="46" t="inlineStr">
        <is>
          <t>67.01</t>
        </is>
      </c>
      <c r="K434" s="46" t="inlineStr">
        <is>
          <t>Gemma3:27b</t>
        </is>
      </c>
      <c r="L434" s="46" t="inlineStr">
        <is>
          <t>0.3</t>
        </is>
      </c>
      <c r="M434" s="73" t="inlineStr">
        <is>
          <t>Complete</t>
        </is>
      </c>
    </row>
    <row r="435" ht="13.5" customHeight="1" s="38">
      <c r="A435" s="46" t="inlineStr">
        <is>
          <t>R_S2_SC04_I02</t>
        </is>
      </c>
      <c r="B435" s="46" t="inlineStr">
        <is>
          <t>R_0281</t>
        </is>
      </c>
      <c r="C435" s="46" t="inlineStr">
        <is>
          <t>Strategy 2 – Zero-Shot + Template + BLUF</t>
        </is>
      </c>
      <c r="D435" s="46" t="inlineStr">
        <is>
          <t>SC04</t>
        </is>
      </c>
      <c r="E435" s="46" t="inlineStr">
        <is>
          <t>Ransomware</t>
        </is>
      </c>
      <c r="F435" s="47" t="n">
        <v>2</v>
      </c>
      <c r="G435" s="46" t="inlineStr">
        <is>
          <t>Gemma3:27b via Ollama</t>
        </is>
      </c>
      <c r="H435" s="48" t="n">
        <v>46166</v>
      </c>
      <c r="I435" s="46" t="inlineStr">
        <is>
          <t>8.605</t>
        </is>
      </c>
      <c r="J435" s="46" t="inlineStr">
        <is>
          <t>67.17</t>
        </is>
      </c>
      <c r="K435" s="46" t="inlineStr">
        <is>
          <t>Gemma3:27b</t>
        </is>
      </c>
      <c r="L435" s="46" t="inlineStr">
        <is>
          <t>0.3</t>
        </is>
      </c>
      <c r="M435" s="73" t="inlineStr">
        <is>
          <t>Complete</t>
        </is>
      </c>
    </row>
    <row r="436" ht="13.5" customHeight="1" s="38">
      <c r="A436" s="46" t="inlineStr">
        <is>
          <t>R_S2_SC04_I03</t>
        </is>
      </c>
      <c r="B436" s="46" t="inlineStr">
        <is>
          <t>R_0208</t>
        </is>
      </c>
      <c r="C436" s="46" t="inlineStr">
        <is>
          <t>Strategy 2 – Zero-Shot + Template + BLUF</t>
        </is>
      </c>
      <c r="D436" s="46" t="inlineStr">
        <is>
          <t>SC04</t>
        </is>
      </c>
      <c r="E436" s="46" t="inlineStr">
        <is>
          <t>Ransomware</t>
        </is>
      </c>
      <c r="F436" s="47" t="n">
        <v>3</v>
      </c>
      <c r="G436" s="46" t="inlineStr">
        <is>
          <t>Gemma3:27b via Ollama</t>
        </is>
      </c>
      <c r="H436" s="48" t="n">
        <v>46166</v>
      </c>
      <c r="I436" s="46" t="inlineStr">
        <is>
          <t>8.034</t>
        </is>
      </c>
      <c r="J436" s="46" t="inlineStr">
        <is>
          <t>67.59</t>
        </is>
      </c>
      <c r="K436" s="46" t="inlineStr">
        <is>
          <t>Gemma3:27b</t>
        </is>
      </c>
      <c r="L436" s="46" t="inlineStr">
        <is>
          <t>0.3</t>
        </is>
      </c>
      <c r="M436" s="73" t="inlineStr">
        <is>
          <t>Complete</t>
        </is>
      </c>
    </row>
    <row r="437" ht="13.5" customHeight="1" s="38">
      <c r="A437" s="46" t="inlineStr">
        <is>
          <t>R_S2_SC04_I04</t>
        </is>
      </c>
      <c r="B437" s="46" t="inlineStr">
        <is>
          <t>R_0155</t>
        </is>
      </c>
      <c r="C437" s="46" t="inlineStr">
        <is>
          <t>Strategy 2 – Zero-Shot + Template + BLUF</t>
        </is>
      </c>
      <c r="D437" s="46" t="inlineStr">
        <is>
          <t>SC04</t>
        </is>
      </c>
      <c r="E437" s="46" t="inlineStr">
        <is>
          <t>Ransomware</t>
        </is>
      </c>
      <c r="F437" s="47" t="n">
        <v>4</v>
      </c>
      <c r="G437" s="46" t="inlineStr">
        <is>
          <t>Gemma3:27b via Ollama</t>
        </is>
      </c>
      <c r="H437" s="48" t="n">
        <v>46166</v>
      </c>
      <c r="I437" s="46" t="inlineStr">
        <is>
          <t>9.553</t>
        </is>
      </c>
      <c r="J437" s="46" t="inlineStr">
        <is>
          <t>67.62</t>
        </is>
      </c>
      <c r="K437" s="46" t="inlineStr">
        <is>
          <t>Gemma3:27b</t>
        </is>
      </c>
      <c r="L437" s="46" t="inlineStr">
        <is>
          <t>0.3</t>
        </is>
      </c>
      <c r="M437" s="73" t="inlineStr">
        <is>
          <t>Complete</t>
        </is>
      </c>
    </row>
    <row r="438" ht="13.5" customHeight="1" s="38">
      <c r="A438" s="46" t="inlineStr">
        <is>
          <t>R_S2_SC04_I05</t>
        </is>
      </c>
      <c r="B438" s="46" t="inlineStr">
        <is>
          <t>R_0600</t>
        </is>
      </c>
      <c r="C438" s="46" t="inlineStr">
        <is>
          <t>Strategy 2 – Zero-Shot + Template + BLUF</t>
        </is>
      </c>
      <c r="D438" s="46" t="inlineStr">
        <is>
          <t>SC04</t>
        </is>
      </c>
      <c r="E438" s="46" t="inlineStr">
        <is>
          <t>Ransomware</t>
        </is>
      </c>
      <c r="F438" s="47" t="n">
        <v>5</v>
      </c>
      <c r="G438" s="46" t="inlineStr">
        <is>
          <t>Gemma3:27b via Ollama</t>
        </is>
      </c>
      <c r="H438" s="48" t="n">
        <v>46166</v>
      </c>
      <c r="I438" s="46" t="inlineStr">
        <is>
          <t>8.742</t>
        </is>
      </c>
      <c r="J438" s="46" t="inlineStr">
        <is>
          <t>67.94</t>
        </is>
      </c>
      <c r="K438" s="46" t="inlineStr">
        <is>
          <t>Gemma3:27b</t>
        </is>
      </c>
      <c r="L438" s="46" t="inlineStr">
        <is>
          <t>0.3</t>
        </is>
      </c>
      <c r="M438" s="73" t="inlineStr">
        <is>
          <t>Complete</t>
        </is>
      </c>
    </row>
    <row r="439" ht="13.5" customHeight="1" s="38">
      <c r="A439" s="46" t="inlineStr">
        <is>
          <t>R_S2_SC04_I06</t>
        </is>
      </c>
      <c r="B439" s="46" t="inlineStr">
        <is>
          <t>R_0865</t>
        </is>
      </c>
      <c r="C439" s="46" t="inlineStr">
        <is>
          <t>Strategy 2 – Zero-Shot + Template + BLUF</t>
        </is>
      </c>
      <c r="D439" s="46" t="inlineStr">
        <is>
          <t>SC04</t>
        </is>
      </c>
      <c r="E439" s="46" t="inlineStr">
        <is>
          <t>Ransomware</t>
        </is>
      </c>
      <c r="F439" s="47" t="n">
        <v>6</v>
      </c>
      <c r="G439" s="46" t="inlineStr">
        <is>
          <t>Gemma3:27b via Ollama</t>
        </is>
      </c>
      <c r="H439" s="48" t="n">
        <v>46166</v>
      </c>
      <c r="I439" s="46" t="inlineStr">
        <is>
          <t>8.586</t>
        </is>
      </c>
      <c r="J439" s="46" t="inlineStr">
        <is>
          <t>65.92</t>
        </is>
      </c>
      <c r="K439" s="46" t="inlineStr">
        <is>
          <t>Gemma3:27b</t>
        </is>
      </c>
      <c r="L439" s="46" t="inlineStr">
        <is>
          <t>0.3</t>
        </is>
      </c>
      <c r="M439" s="73" t="inlineStr">
        <is>
          <t>Complete</t>
        </is>
      </c>
    </row>
    <row r="440" ht="13.5" customHeight="1" s="38">
      <c r="A440" s="46" t="inlineStr">
        <is>
          <t>R_S2_SC04_I07</t>
        </is>
      </c>
      <c r="B440" s="46" t="inlineStr">
        <is>
          <t>R_0090</t>
        </is>
      </c>
      <c r="C440" s="46" t="inlineStr">
        <is>
          <t>Strategy 2 – Zero-Shot + Template + BLUF</t>
        </is>
      </c>
      <c r="D440" s="46" t="inlineStr">
        <is>
          <t>SC04</t>
        </is>
      </c>
      <c r="E440" s="46" t="inlineStr">
        <is>
          <t>Ransomware</t>
        </is>
      </c>
      <c r="F440" s="47" t="n">
        <v>7</v>
      </c>
      <c r="G440" s="46" t="inlineStr">
        <is>
          <t>Gemma3:27b via Ollama</t>
        </is>
      </c>
      <c r="H440" s="48" t="n">
        <v>46166</v>
      </c>
      <c r="I440" s="46" t="inlineStr">
        <is>
          <t>9.380</t>
        </is>
      </c>
      <c r="J440" s="46" t="inlineStr">
        <is>
          <t>67.27</t>
        </is>
      </c>
      <c r="K440" s="46" t="inlineStr">
        <is>
          <t>Gemma3:27b</t>
        </is>
      </c>
      <c r="L440" s="46" t="inlineStr">
        <is>
          <t>0.3</t>
        </is>
      </c>
      <c r="M440" s="73" t="inlineStr">
        <is>
          <t>Complete</t>
        </is>
      </c>
    </row>
    <row r="441" ht="13.5" customHeight="1" s="38">
      <c r="A441" s="46" t="inlineStr">
        <is>
          <t>R_S2_SC04_I08</t>
        </is>
      </c>
      <c r="B441" s="46" t="inlineStr">
        <is>
          <t>R_0384</t>
        </is>
      </c>
      <c r="C441" s="46" t="inlineStr">
        <is>
          <t>Strategy 2 – Zero-Shot + Template + BLUF</t>
        </is>
      </c>
      <c r="D441" s="46" t="inlineStr">
        <is>
          <t>SC04</t>
        </is>
      </c>
      <c r="E441" s="46" t="inlineStr">
        <is>
          <t>Ransomware</t>
        </is>
      </c>
      <c r="F441" s="47" t="n">
        <v>8</v>
      </c>
      <c r="G441" s="46" t="inlineStr">
        <is>
          <t>Gemma3:27b via Ollama</t>
        </is>
      </c>
      <c r="H441" s="48" t="n">
        <v>46166</v>
      </c>
      <c r="I441" s="46" t="inlineStr">
        <is>
          <t>9.299</t>
        </is>
      </c>
      <c r="J441" s="46" t="inlineStr">
        <is>
          <t>66.03</t>
        </is>
      </c>
      <c r="K441" s="46" t="inlineStr">
        <is>
          <t>Gemma3:27b</t>
        </is>
      </c>
      <c r="L441" s="46" t="inlineStr">
        <is>
          <t>0.3</t>
        </is>
      </c>
      <c r="M441" s="73" t="inlineStr">
        <is>
          <t>Complete</t>
        </is>
      </c>
    </row>
    <row r="442" ht="13.5" customHeight="1" s="38">
      <c r="A442" s="46" t="inlineStr">
        <is>
          <t>R_S2_SC04_I09</t>
        </is>
      </c>
      <c r="B442" s="46" t="inlineStr">
        <is>
          <t>R_0749</t>
        </is>
      </c>
      <c r="C442" s="46" t="inlineStr">
        <is>
          <t>Strategy 2 – Zero-Shot + Template + BLUF</t>
        </is>
      </c>
      <c r="D442" s="46" t="inlineStr">
        <is>
          <t>SC04</t>
        </is>
      </c>
      <c r="E442" s="46" t="inlineStr">
        <is>
          <t>Ransomware</t>
        </is>
      </c>
      <c r="F442" s="47" t="n">
        <v>9</v>
      </c>
      <c r="G442" s="46" t="inlineStr">
        <is>
          <t>Gemma3:27b via Ollama</t>
        </is>
      </c>
      <c r="H442" s="48" t="n">
        <v>46166</v>
      </c>
      <c r="I442" s="46" t="inlineStr">
        <is>
          <t>8.687</t>
        </is>
      </c>
      <c r="J442" s="46" t="inlineStr">
        <is>
          <t>66.88</t>
        </is>
      </c>
      <c r="K442" s="46" t="inlineStr">
        <is>
          <t>Gemma3:27b</t>
        </is>
      </c>
      <c r="L442" s="46" t="inlineStr">
        <is>
          <t>0.3</t>
        </is>
      </c>
      <c r="M442" s="73" t="inlineStr">
        <is>
          <t>Complete</t>
        </is>
      </c>
    </row>
    <row r="443" ht="13.5" customHeight="1" s="38">
      <c r="A443" s="46" t="inlineStr">
        <is>
          <t>R_S2_SC04_I10</t>
        </is>
      </c>
      <c r="B443" s="46" t="inlineStr">
        <is>
          <t>R_0661</t>
        </is>
      </c>
      <c r="C443" s="46" t="inlineStr">
        <is>
          <t>Strategy 2 – Zero-Shot + Template + BLUF</t>
        </is>
      </c>
      <c r="D443" s="46" t="inlineStr">
        <is>
          <t>SC04</t>
        </is>
      </c>
      <c r="E443" s="46" t="inlineStr">
        <is>
          <t>Ransomware</t>
        </is>
      </c>
      <c r="F443" s="47" t="n">
        <v>10</v>
      </c>
      <c r="G443" s="46" t="inlineStr">
        <is>
          <t>Gemma3:27b via Ollama</t>
        </is>
      </c>
      <c r="H443" s="48" t="n">
        <v>46166</v>
      </c>
      <c r="I443" s="46" t="inlineStr">
        <is>
          <t>9.307</t>
        </is>
      </c>
      <c r="J443" s="46" t="inlineStr">
        <is>
          <t>66.94</t>
        </is>
      </c>
      <c r="K443" s="46" t="inlineStr">
        <is>
          <t>Gemma3:27b</t>
        </is>
      </c>
      <c r="L443" s="46" t="inlineStr">
        <is>
          <t>0.3</t>
        </is>
      </c>
      <c r="M443" s="73" t="inlineStr">
        <is>
          <t>Complete</t>
        </is>
      </c>
    </row>
    <row r="444" ht="13.5" customHeight="1" s="38">
      <c r="A444" s="46" t="inlineStr">
        <is>
          <t>R_S2_SC05_I01</t>
        </is>
      </c>
      <c r="B444" s="46" t="inlineStr">
        <is>
          <t>R_0462</t>
        </is>
      </c>
      <c r="C444" s="46" t="inlineStr">
        <is>
          <t>Strategy 2 – Zero-Shot + Template + BLUF</t>
        </is>
      </c>
      <c r="D444" s="46" t="inlineStr">
        <is>
          <t>SC05</t>
        </is>
      </c>
      <c r="E444" s="46" t="inlineStr">
        <is>
          <t>Ransomware</t>
        </is>
      </c>
      <c r="F444" s="47" t="n">
        <v>1</v>
      </c>
      <c r="G444" s="46" t="inlineStr">
        <is>
          <t>Gemma3:27b via Ollama</t>
        </is>
      </c>
      <c r="H444" s="48" t="n">
        <v>46166</v>
      </c>
      <c r="I444" s="46" t="inlineStr">
        <is>
          <t>8.153</t>
        </is>
      </c>
      <c r="J444" s="46" t="inlineStr">
        <is>
          <t>67.71</t>
        </is>
      </c>
      <c r="K444" s="46" t="inlineStr">
        <is>
          <t>Gemma3:27b</t>
        </is>
      </c>
      <c r="L444" s="46" t="inlineStr">
        <is>
          <t>0.3</t>
        </is>
      </c>
      <c r="M444" s="73" t="inlineStr">
        <is>
          <t>Complete</t>
        </is>
      </c>
    </row>
    <row r="445" ht="13.5" customHeight="1" s="38">
      <c r="A445" s="46" t="inlineStr">
        <is>
          <t>R_S2_SC05_I02</t>
        </is>
      </c>
      <c r="B445" s="46" t="inlineStr">
        <is>
          <t>R_0548</t>
        </is>
      </c>
      <c r="C445" s="46" t="inlineStr">
        <is>
          <t>Strategy 2 – Zero-Shot + Template + BLUF</t>
        </is>
      </c>
      <c r="D445" s="46" t="inlineStr">
        <is>
          <t>SC05</t>
        </is>
      </c>
      <c r="E445" s="46" t="inlineStr">
        <is>
          <t>Ransomware</t>
        </is>
      </c>
      <c r="F445" s="47" t="n">
        <v>2</v>
      </c>
      <c r="G445" s="46" t="inlineStr">
        <is>
          <t>Gemma3:27b via Ollama</t>
        </is>
      </c>
      <c r="H445" s="48" t="n">
        <v>46166</v>
      </c>
      <c r="I445" s="46" t="inlineStr">
        <is>
          <t>8.768</t>
        </is>
      </c>
      <c r="J445" s="46" t="inlineStr">
        <is>
          <t>66.27</t>
        </is>
      </c>
      <c r="K445" s="46" t="inlineStr">
        <is>
          <t>Gemma3:27b</t>
        </is>
      </c>
      <c r="L445" s="46" t="inlineStr">
        <is>
          <t>0.3</t>
        </is>
      </c>
      <c r="M445" s="73" t="inlineStr">
        <is>
          <t>Complete</t>
        </is>
      </c>
    </row>
    <row r="446" ht="13.5" customHeight="1" s="38">
      <c r="A446" s="46" t="inlineStr">
        <is>
          <t>R_S2_SC05_I03</t>
        </is>
      </c>
      <c r="B446" s="46" t="inlineStr">
        <is>
          <t>R_0099</t>
        </is>
      </c>
      <c r="C446" s="46" t="inlineStr">
        <is>
          <t>Strategy 2 – Zero-Shot + Template + BLUF</t>
        </is>
      </c>
      <c r="D446" s="46" t="inlineStr">
        <is>
          <t>SC05</t>
        </is>
      </c>
      <c r="E446" s="46" t="inlineStr">
        <is>
          <t>Ransomware</t>
        </is>
      </c>
      <c r="F446" s="47" t="n">
        <v>3</v>
      </c>
      <c r="G446" s="46" t="inlineStr">
        <is>
          <t>Gemma3:27b via Ollama</t>
        </is>
      </c>
      <c r="H446" s="48" t="n">
        <v>46166</v>
      </c>
      <c r="I446" s="46" t="inlineStr">
        <is>
          <t>8.179</t>
        </is>
      </c>
      <c r="J446" s="46" t="inlineStr">
        <is>
          <t>67.37</t>
        </is>
      </c>
      <c r="K446" s="46" t="inlineStr">
        <is>
          <t>Gemma3:27b</t>
        </is>
      </c>
      <c r="L446" s="46" t="inlineStr">
        <is>
          <t>0.3</t>
        </is>
      </c>
      <c r="M446" s="73" t="inlineStr">
        <is>
          <t>Complete</t>
        </is>
      </c>
    </row>
    <row r="447" ht="13.5" customHeight="1" s="38">
      <c r="A447" s="46" t="inlineStr">
        <is>
          <t>R_S2_SC05_I04</t>
        </is>
      </c>
      <c r="B447" s="46" t="inlineStr">
        <is>
          <t>R_0967</t>
        </is>
      </c>
      <c r="C447" s="46" t="inlineStr">
        <is>
          <t>Strategy 2 – Zero-Shot + Template + BLUF</t>
        </is>
      </c>
      <c r="D447" s="46" t="inlineStr">
        <is>
          <t>SC05</t>
        </is>
      </c>
      <c r="E447" s="46" t="inlineStr">
        <is>
          <t>Ransomware</t>
        </is>
      </c>
      <c r="F447" s="47" t="n">
        <v>4</v>
      </c>
      <c r="G447" s="46" t="inlineStr">
        <is>
          <t>Gemma3:27b via Ollama</t>
        </is>
      </c>
      <c r="H447" s="48" t="n">
        <v>46166</v>
      </c>
      <c r="I447" s="46" t="inlineStr">
        <is>
          <t>9.302</t>
        </is>
      </c>
      <c r="J447" s="46" t="inlineStr">
        <is>
          <t>66.98</t>
        </is>
      </c>
      <c r="K447" s="46" t="inlineStr">
        <is>
          <t>Gemma3:27b</t>
        </is>
      </c>
      <c r="L447" s="46" t="inlineStr">
        <is>
          <t>0.3</t>
        </is>
      </c>
      <c r="M447" s="73" t="inlineStr">
        <is>
          <t>Complete</t>
        </is>
      </c>
    </row>
    <row r="448" ht="13.5" customHeight="1" s="38">
      <c r="A448" s="46" t="inlineStr">
        <is>
          <t>R_S2_SC05_I05</t>
        </is>
      </c>
      <c r="B448" s="46" t="inlineStr">
        <is>
          <t>R_0572</t>
        </is>
      </c>
      <c r="C448" s="46" t="inlineStr">
        <is>
          <t>Strategy 2 – Zero-Shot + Template + BLUF</t>
        </is>
      </c>
      <c r="D448" s="46" t="inlineStr">
        <is>
          <t>SC05</t>
        </is>
      </c>
      <c r="E448" s="46" t="inlineStr">
        <is>
          <t>Ransomware</t>
        </is>
      </c>
      <c r="F448" s="47" t="n">
        <v>5</v>
      </c>
      <c r="G448" s="46" t="inlineStr">
        <is>
          <t>Gemma3:27b via Ollama</t>
        </is>
      </c>
      <c r="H448" s="48" t="n">
        <v>46166</v>
      </c>
      <c r="I448" s="46" t="inlineStr">
        <is>
          <t>8.755</t>
        </is>
      </c>
      <c r="J448" s="46" t="inlineStr">
        <is>
          <t>65.90</t>
        </is>
      </c>
      <c r="K448" s="46" t="inlineStr">
        <is>
          <t>Gemma3:27b</t>
        </is>
      </c>
      <c r="L448" s="46" t="inlineStr">
        <is>
          <t>0.3</t>
        </is>
      </c>
      <c r="M448" s="73" t="inlineStr">
        <is>
          <t>Complete</t>
        </is>
      </c>
    </row>
    <row r="449" ht="13.5" customHeight="1" s="38">
      <c r="A449" s="46" t="inlineStr">
        <is>
          <t>R_S2_SC05_I06</t>
        </is>
      </c>
      <c r="B449" s="46" t="inlineStr">
        <is>
          <t>R_0899</t>
        </is>
      </c>
      <c r="C449" s="46" t="inlineStr">
        <is>
          <t>Strategy 2 – Zero-Shot + Template + BLUF</t>
        </is>
      </c>
      <c r="D449" s="46" t="inlineStr">
        <is>
          <t>SC05</t>
        </is>
      </c>
      <c r="E449" s="46" t="inlineStr">
        <is>
          <t>Ransomware</t>
        </is>
      </c>
      <c r="F449" s="47" t="n">
        <v>6</v>
      </c>
      <c r="G449" s="46" t="inlineStr">
        <is>
          <t>Gemma3:27b via Ollama</t>
        </is>
      </c>
      <c r="H449" s="48" t="n">
        <v>46166</v>
      </c>
      <c r="I449" s="46" t="inlineStr">
        <is>
          <t>9.317</t>
        </is>
      </c>
      <c r="J449" s="46" t="inlineStr">
        <is>
          <t>66.11</t>
        </is>
      </c>
      <c r="K449" s="46" t="inlineStr">
        <is>
          <t>Gemma3:27b</t>
        </is>
      </c>
      <c r="L449" s="46" t="inlineStr">
        <is>
          <t>0.3</t>
        </is>
      </c>
      <c r="M449" s="73" t="inlineStr">
        <is>
          <t>Complete</t>
        </is>
      </c>
    </row>
    <row r="450" ht="13.5" customHeight="1" s="38">
      <c r="A450" s="46" t="inlineStr">
        <is>
          <t>R_S2_SC05_I07</t>
        </is>
      </c>
      <c r="B450" s="46" t="inlineStr">
        <is>
          <t>R_0357</t>
        </is>
      </c>
      <c r="C450" s="46" t="inlineStr">
        <is>
          <t>Strategy 2 – Zero-Shot + Template + BLUF</t>
        </is>
      </c>
      <c r="D450" s="46" t="inlineStr">
        <is>
          <t>SC05</t>
        </is>
      </c>
      <c r="E450" s="46" t="inlineStr">
        <is>
          <t>Ransomware</t>
        </is>
      </c>
      <c r="F450" s="47" t="n">
        <v>7</v>
      </c>
      <c r="G450" s="46" t="inlineStr">
        <is>
          <t>Gemma3:27b via Ollama</t>
        </is>
      </c>
      <c r="H450" s="48" t="n">
        <v>46166</v>
      </c>
      <c r="I450" s="46" t="inlineStr">
        <is>
          <t>8.670</t>
        </is>
      </c>
      <c r="J450" s="46" t="inlineStr">
        <is>
          <t>67.24</t>
        </is>
      </c>
      <c r="K450" s="46" t="inlineStr">
        <is>
          <t>Gemma3:27b</t>
        </is>
      </c>
      <c r="L450" s="46" t="inlineStr">
        <is>
          <t>0.3</t>
        </is>
      </c>
      <c r="M450" s="73" t="inlineStr">
        <is>
          <t>Complete</t>
        </is>
      </c>
    </row>
    <row r="451" ht="13.5" customHeight="1" s="38">
      <c r="A451" s="46" t="inlineStr">
        <is>
          <t>R_S2_SC05_I08</t>
        </is>
      </c>
      <c r="B451" s="46" t="inlineStr">
        <is>
          <t>R_0207</t>
        </is>
      </c>
      <c r="C451" s="46" t="inlineStr">
        <is>
          <t>Strategy 2 – Zero-Shot + Template + BLUF</t>
        </is>
      </c>
      <c r="D451" s="46" t="inlineStr">
        <is>
          <t>SC05</t>
        </is>
      </c>
      <c r="E451" s="46" t="inlineStr">
        <is>
          <t>Ransomware</t>
        </is>
      </c>
      <c r="F451" s="47" t="n">
        <v>8</v>
      </c>
      <c r="G451" s="46" t="inlineStr">
        <is>
          <t>Gemma3:27b via Ollama</t>
        </is>
      </c>
      <c r="H451" s="48" t="n">
        <v>46166</v>
      </c>
      <c r="I451" s="46" t="inlineStr">
        <is>
          <t>8.455</t>
        </is>
      </c>
      <c r="J451" s="46" t="inlineStr">
        <is>
          <t>66.23</t>
        </is>
      </c>
      <c r="K451" s="46" t="inlineStr">
        <is>
          <t>Gemma3:27b</t>
        </is>
      </c>
      <c r="L451" s="46" t="inlineStr">
        <is>
          <t>0.3</t>
        </is>
      </c>
      <c r="M451" s="73" t="inlineStr">
        <is>
          <t>Complete</t>
        </is>
      </c>
    </row>
    <row r="452" ht="13.5" customHeight="1" s="38">
      <c r="A452" s="46" t="inlineStr">
        <is>
          <t>R_S2_SC05_I09</t>
        </is>
      </c>
      <c r="B452" s="46" t="inlineStr">
        <is>
          <t>R_0903</t>
        </is>
      </c>
      <c r="C452" s="46" t="inlineStr">
        <is>
          <t>Strategy 2 – Zero-Shot + Template + BLUF</t>
        </is>
      </c>
      <c r="D452" s="46" t="inlineStr">
        <is>
          <t>SC05</t>
        </is>
      </c>
      <c r="E452" s="46" t="inlineStr">
        <is>
          <t>Ransomware</t>
        </is>
      </c>
      <c r="F452" s="47" t="n">
        <v>9</v>
      </c>
      <c r="G452" s="46" t="inlineStr">
        <is>
          <t>Gemma3:27b via Ollama</t>
        </is>
      </c>
      <c r="H452" s="48" t="n">
        <v>46166</v>
      </c>
      <c r="I452" s="46" t="inlineStr">
        <is>
          <t>8.488</t>
        </is>
      </c>
      <c r="J452" s="46" t="inlineStr">
        <is>
          <t>67.27</t>
        </is>
      </c>
      <c r="K452" s="46" t="inlineStr">
        <is>
          <t>Gemma3:27b</t>
        </is>
      </c>
      <c r="L452" s="46" t="inlineStr">
        <is>
          <t>0.3</t>
        </is>
      </c>
      <c r="M452" s="73" t="inlineStr">
        <is>
          <t>Complete</t>
        </is>
      </c>
    </row>
    <row r="453" ht="13.5" customHeight="1" s="38">
      <c r="A453" s="46" t="inlineStr">
        <is>
          <t>R_S2_SC05_I10</t>
        </is>
      </c>
      <c r="B453" s="46" t="inlineStr">
        <is>
          <t>R_0805</t>
        </is>
      </c>
      <c r="C453" s="46" t="inlineStr">
        <is>
          <t>Strategy 2 – Zero-Shot + Template + BLUF</t>
        </is>
      </c>
      <c r="D453" s="46" t="inlineStr">
        <is>
          <t>SC05</t>
        </is>
      </c>
      <c r="E453" s="46" t="inlineStr">
        <is>
          <t>Ransomware</t>
        </is>
      </c>
      <c r="F453" s="47" t="n">
        <v>10</v>
      </c>
      <c r="G453" s="46" t="inlineStr">
        <is>
          <t>Gemma3:27b via Ollama</t>
        </is>
      </c>
      <c r="H453" s="48" t="n">
        <v>46166</v>
      </c>
      <c r="I453" s="46" t="inlineStr">
        <is>
          <t>8.706</t>
        </is>
      </c>
      <c r="J453" s="46" t="inlineStr">
        <is>
          <t>67.08</t>
        </is>
      </c>
      <c r="K453" s="46" t="inlineStr">
        <is>
          <t>Gemma3:27b</t>
        </is>
      </c>
      <c r="L453" s="46" t="inlineStr">
        <is>
          <t>0.3</t>
        </is>
      </c>
      <c r="M453" s="73" t="inlineStr">
        <is>
          <t>Complete</t>
        </is>
      </c>
    </row>
    <row r="454" ht="13.5" customHeight="1" s="38">
      <c r="A454" s="46" t="inlineStr">
        <is>
          <t>S_S2_SC01_I01</t>
        </is>
      </c>
      <c r="B454" s="46" t="inlineStr">
        <is>
          <t>R_0569</t>
        </is>
      </c>
      <c r="C454" s="46" t="inlineStr">
        <is>
          <t>Strategy 2 – Zero-Shot + Template + BLUF</t>
        </is>
      </c>
      <c r="D454" s="46" t="inlineStr">
        <is>
          <t>SC01</t>
        </is>
      </c>
      <c r="E454" s="46" t="inlineStr">
        <is>
          <t>Supply Chain</t>
        </is>
      </c>
      <c r="F454" s="47" t="n">
        <v>1</v>
      </c>
      <c r="G454" s="46" t="inlineStr">
        <is>
          <t>Gemma3:27b via Ollama</t>
        </is>
      </c>
      <c r="H454" s="48" t="n">
        <v>46163</v>
      </c>
      <c r="I454" s="46" t="inlineStr">
        <is>
          <t>7.856</t>
        </is>
      </c>
      <c r="J454" s="46" t="inlineStr">
        <is>
          <t>67.47</t>
        </is>
      </c>
      <c r="K454" s="46" t="inlineStr">
        <is>
          <t>Gemma3:27b</t>
        </is>
      </c>
      <c r="L454" s="46" t="inlineStr">
        <is>
          <t>0.3</t>
        </is>
      </c>
      <c r="M454" s="73" t="inlineStr">
        <is>
          <t>Complete</t>
        </is>
      </c>
    </row>
    <row r="455" ht="13.5" customHeight="1" s="38">
      <c r="A455" s="46" t="inlineStr">
        <is>
          <t>S_S2_SC01_I02</t>
        </is>
      </c>
      <c r="B455" s="46" t="inlineStr">
        <is>
          <t>R_0543</t>
        </is>
      </c>
      <c r="C455" s="46" t="inlineStr">
        <is>
          <t>Strategy 2 – Zero-Shot + Template + BLUF</t>
        </is>
      </c>
      <c r="D455" s="46" t="inlineStr">
        <is>
          <t>SC01</t>
        </is>
      </c>
      <c r="E455" s="46" t="inlineStr">
        <is>
          <t>Supply Chain</t>
        </is>
      </c>
      <c r="F455" s="47" t="n">
        <v>2</v>
      </c>
      <c r="G455" s="46" t="inlineStr">
        <is>
          <t>Gemma3:27b via Ollama</t>
        </is>
      </c>
      <c r="H455" s="48" t="n">
        <v>46163</v>
      </c>
      <c r="I455" s="46" t="inlineStr">
        <is>
          <t>8.175</t>
        </is>
      </c>
      <c r="J455" s="46" t="inlineStr">
        <is>
          <t>68.28</t>
        </is>
      </c>
      <c r="K455" s="46" t="inlineStr">
        <is>
          <t>Gemma3:27b</t>
        </is>
      </c>
      <c r="L455" s="46" t="inlineStr">
        <is>
          <t>0.3</t>
        </is>
      </c>
      <c r="M455" s="73" t="inlineStr">
        <is>
          <t>Complete</t>
        </is>
      </c>
    </row>
    <row r="456" ht="13.5" customHeight="1" s="38">
      <c r="A456" s="46" t="inlineStr">
        <is>
          <t>S_S2_SC01_I03</t>
        </is>
      </c>
      <c r="B456" s="46" t="inlineStr">
        <is>
          <t>R_0260</t>
        </is>
      </c>
      <c r="C456" s="46" t="inlineStr">
        <is>
          <t>Strategy 2 – Zero-Shot + Template + BLUF</t>
        </is>
      </c>
      <c r="D456" s="46" t="inlineStr">
        <is>
          <t>SC01</t>
        </is>
      </c>
      <c r="E456" s="46" t="inlineStr">
        <is>
          <t>Supply Chain</t>
        </is>
      </c>
      <c r="F456" s="47" t="n">
        <v>3</v>
      </c>
      <c r="G456" s="46" t="inlineStr">
        <is>
          <t>Gemma3:27b via Ollama</t>
        </is>
      </c>
      <c r="H456" s="48" t="n">
        <v>46163</v>
      </c>
      <c r="I456" s="46" t="inlineStr">
        <is>
          <t>7.745</t>
        </is>
      </c>
      <c r="J456" s="46" t="inlineStr">
        <is>
          <t>65.46</t>
        </is>
      </c>
      <c r="K456" s="46" t="inlineStr">
        <is>
          <t>Gemma3:27b</t>
        </is>
      </c>
      <c r="L456" s="46" t="inlineStr">
        <is>
          <t>0.3</t>
        </is>
      </c>
      <c r="M456" s="73" t="inlineStr">
        <is>
          <t>Complete</t>
        </is>
      </c>
    </row>
    <row r="457" ht="13.5" customHeight="1" s="38">
      <c r="A457" s="46" t="inlineStr">
        <is>
          <t>S_S2_SC01_I04</t>
        </is>
      </c>
      <c r="B457" s="46" t="inlineStr">
        <is>
          <t>R_0154</t>
        </is>
      </c>
      <c r="C457" s="46" t="inlineStr">
        <is>
          <t>Strategy 2 – Zero-Shot + Template + BLUF</t>
        </is>
      </c>
      <c r="D457" s="46" t="inlineStr">
        <is>
          <t>SC01</t>
        </is>
      </c>
      <c r="E457" s="46" t="inlineStr">
        <is>
          <t>Supply Chain</t>
        </is>
      </c>
      <c r="F457" s="47" t="n">
        <v>4</v>
      </c>
      <c r="G457" s="46" t="inlineStr">
        <is>
          <t>Gemma3:27b via Ollama</t>
        </is>
      </c>
      <c r="H457" s="48" t="n">
        <v>46163</v>
      </c>
      <c r="I457" s="46" t="inlineStr">
        <is>
          <t>8.088</t>
        </is>
      </c>
      <c r="J457" s="46" t="inlineStr">
        <is>
          <t>65.53</t>
        </is>
      </c>
      <c r="K457" s="46" t="inlineStr">
        <is>
          <t>Gemma3:27b</t>
        </is>
      </c>
      <c r="L457" s="46" t="inlineStr">
        <is>
          <t>0.3</t>
        </is>
      </c>
      <c r="M457" s="73" t="inlineStr">
        <is>
          <t>Complete</t>
        </is>
      </c>
    </row>
    <row r="458" ht="13.5" customHeight="1" s="38">
      <c r="A458" s="46" t="inlineStr">
        <is>
          <t>S_S2_SC01_I05</t>
        </is>
      </c>
      <c r="B458" s="46" t="inlineStr">
        <is>
          <t>R_0613</t>
        </is>
      </c>
      <c r="C458" s="46" t="inlineStr">
        <is>
          <t>Strategy 2 – Zero-Shot + Template + BLUF</t>
        </is>
      </c>
      <c r="D458" s="46" t="inlineStr">
        <is>
          <t>SC01</t>
        </is>
      </c>
      <c r="E458" s="46" t="inlineStr">
        <is>
          <t>Supply Chain</t>
        </is>
      </c>
      <c r="F458" s="47" t="n">
        <v>5</v>
      </c>
      <c r="G458" s="46" t="inlineStr">
        <is>
          <t>Gemma3:27b via Ollama</t>
        </is>
      </c>
      <c r="H458" s="48" t="n">
        <v>46163</v>
      </c>
      <c r="I458" s="46" t="inlineStr">
        <is>
          <t>8.757</t>
        </is>
      </c>
      <c r="J458" s="46" t="inlineStr">
        <is>
          <t>66.35</t>
        </is>
      </c>
      <c r="K458" s="46" t="inlineStr">
        <is>
          <t>Gemma3:27b</t>
        </is>
      </c>
      <c r="L458" s="46" t="inlineStr">
        <is>
          <t>0.3</t>
        </is>
      </c>
      <c r="M458" s="73" t="inlineStr">
        <is>
          <t>Complete</t>
        </is>
      </c>
    </row>
    <row r="459" ht="13.5" customHeight="1" s="38">
      <c r="A459" s="46" t="inlineStr">
        <is>
          <t>S_S2_SC01_I06</t>
        </is>
      </c>
      <c r="B459" s="46" t="inlineStr">
        <is>
          <t>R_0064</t>
        </is>
      </c>
      <c r="C459" s="46" t="inlineStr">
        <is>
          <t>Strategy 2 – Zero-Shot + Template + BLUF</t>
        </is>
      </c>
      <c r="D459" s="46" t="inlineStr">
        <is>
          <t>SC01</t>
        </is>
      </c>
      <c r="E459" s="46" t="inlineStr">
        <is>
          <t>Supply Chain</t>
        </is>
      </c>
      <c r="F459" s="47" t="n">
        <v>6</v>
      </c>
      <c r="G459" s="46" t="inlineStr">
        <is>
          <t>Gemma3:27b via Ollama</t>
        </is>
      </c>
      <c r="H459" s="48" t="n">
        <v>46163</v>
      </c>
      <c r="I459" s="46" t="inlineStr">
        <is>
          <t>7.805</t>
        </is>
      </c>
      <c r="J459" s="46" t="inlineStr">
        <is>
          <t>67.26</t>
        </is>
      </c>
      <c r="K459" s="46" t="inlineStr">
        <is>
          <t>Gemma3:27b</t>
        </is>
      </c>
      <c r="L459" s="46" t="inlineStr">
        <is>
          <t>0.3</t>
        </is>
      </c>
      <c r="M459" s="73" t="inlineStr">
        <is>
          <t>Complete</t>
        </is>
      </c>
    </row>
    <row r="460" ht="13.5" customHeight="1" s="38">
      <c r="A460" s="46" t="inlineStr">
        <is>
          <t>S_S2_SC01_I07</t>
        </is>
      </c>
      <c r="B460" s="46" t="inlineStr">
        <is>
          <t>R_0435</t>
        </is>
      </c>
      <c r="C460" s="46" t="inlineStr">
        <is>
          <t>Strategy 2 – Zero-Shot + Template + BLUF</t>
        </is>
      </c>
      <c r="D460" s="46" t="inlineStr">
        <is>
          <t>SC01</t>
        </is>
      </c>
      <c r="E460" s="46" t="inlineStr">
        <is>
          <t>Supply Chain</t>
        </is>
      </c>
      <c r="F460" s="47" t="n">
        <v>7</v>
      </c>
      <c r="G460" s="46" t="inlineStr">
        <is>
          <t>Gemma3:27b via Ollama</t>
        </is>
      </c>
      <c r="H460" s="48" t="n">
        <v>46163</v>
      </c>
      <c r="I460" s="46" t="inlineStr">
        <is>
          <t>8.291</t>
        </is>
      </c>
      <c r="J460" s="46" t="inlineStr">
        <is>
          <t>66.94</t>
        </is>
      </c>
      <c r="K460" s="46" t="inlineStr">
        <is>
          <t>Gemma3:27b</t>
        </is>
      </c>
      <c r="L460" s="46" t="inlineStr">
        <is>
          <t>0.3</t>
        </is>
      </c>
      <c r="M460" s="73" t="inlineStr">
        <is>
          <t>Complete</t>
        </is>
      </c>
    </row>
    <row r="461" ht="13.5" customHeight="1" s="38">
      <c r="A461" s="46" t="inlineStr">
        <is>
          <t>S_S2_SC01_I08</t>
        </is>
      </c>
      <c r="B461" s="46" t="inlineStr">
        <is>
          <t>R_0340</t>
        </is>
      </c>
      <c r="C461" s="46" t="inlineStr">
        <is>
          <t>Strategy 2 – Zero-Shot + Template + BLUF</t>
        </is>
      </c>
      <c r="D461" s="46" t="inlineStr">
        <is>
          <t>SC01</t>
        </is>
      </c>
      <c r="E461" s="46" t="inlineStr">
        <is>
          <t>Supply Chain</t>
        </is>
      </c>
      <c r="F461" s="47" t="n">
        <v>8</v>
      </c>
      <c r="G461" s="46" t="inlineStr">
        <is>
          <t>Gemma3:27b via Ollama</t>
        </is>
      </c>
      <c r="H461" s="48" t="n">
        <v>46163</v>
      </c>
      <c r="I461" s="46" t="inlineStr">
        <is>
          <t>8.279</t>
        </is>
      </c>
      <c r="J461" s="46" t="inlineStr">
        <is>
          <t>66.56</t>
        </is>
      </c>
      <c r="K461" s="46" t="inlineStr">
        <is>
          <t>Gemma3:27b</t>
        </is>
      </c>
      <c r="L461" s="46" t="inlineStr">
        <is>
          <t>0.3</t>
        </is>
      </c>
      <c r="M461" s="73" t="inlineStr">
        <is>
          <t>Complete</t>
        </is>
      </c>
    </row>
    <row r="462" ht="13.5" customHeight="1" s="38">
      <c r="A462" s="46" t="inlineStr">
        <is>
          <t>S_S2_SC01_I09</t>
        </is>
      </c>
      <c r="B462" s="46" t="inlineStr">
        <is>
          <t>R_0650</t>
        </is>
      </c>
      <c r="C462" s="46" t="inlineStr">
        <is>
          <t>Strategy 2 – Zero-Shot + Template + BLUF</t>
        </is>
      </c>
      <c r="D462" s="46" t="inlineStr">
        <is>
          <t>SC01</t>
        </is>
      </c>
      <c r="E462" s="46" t="inlineStr">
        <is>
          <t>Supply Chain</t>
        </is>
      </c>
      <c r="F462" s="47" t="n">
        <v>9</v>
      </c>
      <c r="G462" s="46" t="inlineStr">
        <is>
          <t>Gemma3:27b via Ollama</t>
        </is>
      </c>
      <c r="H462" s="48" t="n">
        <v>46163</v>
      </c>
      <c r="I462" s="46" t="inlineStr">
        <is>
          <t>7.813</t>
        </is>
      </c>
      <c r="J462" s="46" t="inlineStr">
        <is>
          <t>66.17</t>
        </is>
      </c>
      <c r="K462" s="46" t="inlineStr">
        <is>
          <t>Gemma3:27b</t>
        </is>
      </c>
      <c r="L462" s="46" t="inlineStr">
        <is>
          <t>0.3</t>
        </is>
      </c>
      <c r="M462" s="73" t="inlineStr">
        <is>
          <t>Complete</t>
        </is>
      </c>
    </row>
    <row r="463" ht="13.5" customHeight="1" s="38">
      <c r="A463" s="46" t="inlineStr">
        <is>
          <t>S_S2_SC01_I10</t>
        </is>
      </c>
      <c r="B463" s="46" t="inlineStr">
        <is>
          <t>R_0761</t>
        </is>
      </c>
      <c r="C463" s="46" t="inlineStr">
        <is>
          <t>Strategy 2 – Zero-Shot + Template + BLUF</t>
        </is>
      </c>
      <c r="D463" s="46" t="inlineStr">
        <is>
          <t>SC01</t>
        </is>
      </c>
      <c r="E463" s="46" t="inlineStr">
        <is>
          <t>Supply Chain</t>
        </is>
      </c>
      <c r="F463" s="47" t="n">
        <v>10</v>
      </c>
      <c r="G463" s="46" t="inlineStr">
        <is>
          <t>Gemma3:27b via Ollama</t>
        </is>
      </c>
      <c r="H463" s="48" t="n">
        <v>46163</v>
      </c>
      <c r="I463" s="46" t="inlineStr">
        <is>
          <t>7.780</t>
        </is>
      </c>
      <c r="J463" s="46" t="inlineStr">
        <is>
          <t>67.22</t>
        </is>
      </c>
      <c r="K463" s="46" t="inlineStr">
        <is>
          <t>Gemma3:27b</t>
        </is>
      </c>
      <c r="L463" s="46" t="inlineStr">
        <is>
          <t>0.3</t>
        </is>
      </c>
      <c r="M463" s="73" t="inlineStr">
        <is>
          <t>Complete</t>
        </is>
      </c>
    </row>
    <row r="464" ht="13.5" customHeight="1" s="38">
      <c r="A464" s="46" t="inlineStr">
        <is>
          <t>S_S2_SC02_I01</t>
        </is>
      </c>
      <c r="B464" s="46" t="inlineStr">
        <is>
          <t>R_0507</t>
        </is>
      </c>
      <c r="C464" s="46" t="inlineStr">
        <is>
          <t>Strategy 2 – Zero-Shot + Template + BLUF</t>
        </is>
      </c>
      <c r="D464" s="46" t="inlineStr">
        <is>
          <t>SC02</t>
        </is>
      </c>
      <c r="E464" s="46" t="inlineStr">
        <is>
          <t>Supply Chain</t>
        </is>
      </c>
      <c r="F464" s="47" t="n">
        <v>1</v>
      </c>
      <c r="G464" s="46" t="inlineStr">
        <is>
          <t>Gemma3:27b via Ollama</t>
        </is>
      </c>
      <c r="H464" s="48" t="n">
        <v>46163</v>
      </c>
      <c r="I464" s="46" t="inlineStr">
        <is>
          <t>7.716</t>
        </is>
      </c>
      <c r="J464" s="46" t="inlineStr">
        <is>
          <t>67.52</t>
        </is>
      </c>
      <c r="K464" s="46" t="inlineStr">
        <is>
          <t>Gemma3:27b</t>
        </is>
      </c>
      <c r="L464" s="46" t="inlineStr">
        <is>
          <t>0.3</t>
        </is>
      </c>
      <c r="M464" s="73" t="inlineStr">
        <is>
          <t>Complete</t>
        </is>
      </c>
    </row>
    <row r="465" ht="13.5" customHeight="1" s="38">
      <c r="A465" s="46" t="inlineStr">
        <is>
          <t>S_S2_SC02_I02</t>
        </is>
      </c>
      <c r="B465" s="46" t="inlineStr">
        <is>
          <t>R_0627</t>
        </is>
      </c>
      <c r="C465" s="46" t="inlineStr">
        <is>
          <t>Strategy 2 – Zero-Shot + Template + BLUF</t>
        </is>
      </c>
      <c r="D465" s="46" t="inlineStr">
        <is>
          <t>SC02</t>
        </is>
      </c>
      <c r="E465" s="46" t="inlineStr">
        <is>
          <t>Supply Chain</t>
        </is>
      </c>
      <c r="F465" s="47" t="n">
        <v>2</v>
      </c>
      <c r="G465" s="46" t="inlineStr">
        <is>
          <t>Gemma3:27b via Ollama</t>
        </is>
      </c>
      <c r="H465" s="48" t="n">
        <v>46163</v>
      </c>
      <c r="I465" s="46" t="inlineStr">
        <is>
          <t>7.734</t>
        </is>
      </c>
      <c r="J465" s="46" t="inlineStr">
        <is>
          <t>66.98</t>
        </is>
      </c>
      <c r="K465" s="46" t="inlineStr">
        <is>
          <t>Gemma3:27b</t>
        </is>
      </c>
      <c r="L465" s="46" t="inlineStr">
        <is>
          <t>0.3</t>
        </is>
      </c>
      <c r="M465" s="73" t="inlineStr">
        <is>
          <t>Complete</t>
        </is>
      </c>
    </row>
    <row r="466" ht="13.5" customHeight="1" s="38">
      <c r="A466" s="46" t="inlineStr">
        <is>
          <t>S_S2_SC02_I03</t>
        </is>
      </c>
      <c r="B466" s="46" t="inlineStr">
        <is>
          <t>R_0036</t>
        </is>
      </c>
      <c r="C466" s="46" t="inlineStr">
        <is>
          <t>Strategy 2 – Zero-Shot + Template + BLUF</t>
        </is>
      </c>
      <c r="D466" s="46" t="inlineStr">
        <is>
          <t>SC02</t>
        </is>
      </c>
      <c r="E466" s="46" t="inlineStr">
        <is>
          <t>Supply Chain</t>
        </is>
      </c>
      <c r="F466" s="47" t="n">
        <v>3</v>
      </c>
      <c r="G466" s="46" t="inlineStr">
        <is>
          <t>Gemma3:27b via Ollama</t>
        </is>
      </c>
      <c r="H466" s="48" t="n">
        <v>46163</v>
      </c>
      <c r="I466" s="46" t="inlineStr">
        <is>
          <t>8.096</t>
        </is>
      </c>
      <c r="J466" s="46" t="inlineStr">
        <is>
          <t>66.95</t>
        </is>
      </c>
      <c r="K466" s="46" t="inlineStr">
        <is>
          <t>Gemma3:27b</t>
        </is>
      </c>
      <c r="L466" s="46" t="inlineStr">
        <is>
          <t>0.3</t>
        </is>
      </c>
      <c r="M466" s="73" t="inlineStr">
        <is>
          <t>Complete</t>
        </is>
      </c>
    </row>
    <row r="467" ht="13.5" customHeight="1" s="38">
      <c r="A467" s="46" t="inlineStr">
        <is>
          <t>S_S2_SC02_I04</t>
        </is>
      </c>
      <c r="B467" s="46" t="inlineStr">
        <is>
          <t>R_0968</t>
        </is>
      </c>
      <c r="C467" s="46" t="inlineStr">
        <is>
          <t>Strategy 2 – Zero-Shot + Template + BLUF</t>
        </is>
      </c>
      <c r="D467" s="46" t="inlineStr">
        <is>
          <t>SC02</t>
        </is>
      </c>
      <c r="E467" s="46" t="inlineStr">
        <is>
          <t>Supply Chain</t>
        </is>
      </c>
      <c r="F467" s="47" t="n">
        <v>4</v>
      </c>
      <c r="G467" s="46" t="inlineStr">
        <is>
          <t>Gemma3:27b via Ollama</t>
        </is>
      </c>
      <c r="H467" s="48" t="n">
        <v>46163</v>
      </c>
      <c r="I467" s="46" t="inlineStr">
        <is>
          <t>8.294</t>
        </is>
      </c>
      <c r="J467" s="46" t="inlineStr">
        <is>
          <t>67.03</t>
        </is>
      </c>
      <c r="K467" s="46" t="inlineStr">
        <is>
          <t>Gemma3:27b</t>
        </is>
      </c>
      <c r="L467" s="46" t="inlineStr">
        <is>
          <t>0.3</t>
        </is>
      </c>
      <c r="M467" s="73" t="inlineStr">
        <is>
          <t>Complete</t>
        </is>
      </c>
    </row>
    <row r="468" ht="13.5" customHeight="1" s="38">
      <c r="A468" s="46" t="inlineStr">
        <is>
          <t>S_S2_SC02_I05</t>
        </is>
      </c>
      <c r="B468" s="46" t="inlineStr">
        <is>
          <t>R_0187</t>
        </is>
      </c>
      <c r="C468" s="46" t="inlineStr">
        <is>
          <t>Strategy 2 – Zero-Shot + Template + BLUF</t>
        </is>
      </c>
      <c r="D468" s="46" t="inlineStr">
        <is>
          <t>SC02</t>
        </is>
      </c>
      <c r="E468" s="46" t="inlineStr">
        <is>
          <t>Supply Chain</t>
        </is>
      </c>
      <c r="F468" s="47" t="n">
        <v>5</v>
      </c>
      <c r="G468" s="46" t="inlineStr">
        <is>
          <t>Gemma3:27b via Ollama</t>
        </is>
      </c>
      <c r="H468" s="48" t="n">
        <v>46163</v>
      </c>
      <c r="I468" s="46" t="inlineStr">
        <is>
          <t>7.862</t>
        </is>
      </c>
      <c r="J468" s="46" t="inlineStr">
        <is>
          <t>67.16</t>
        </is>
      </c>
      <c r="K468" s="46" t="inlineStr">
        <is>
          <t>Gemma3:27b</t>
        </is>
      </c>
      <c r="L468" s="46" t="inlineStr">
        <is>
          <t>0.3</t>
        </is>
      </c>
      <c r="M468" s="73" t="inlineStr">
        <is>
          <t>Complete</t>
        </is>
      </c>
    </row>
    <row r="469" ht="13.5" customHeight="1" s="38">
      <c r="A469" s="46" t="inlineStr">
        <is>
          <t>S_S2_SC02_I06</t>
        </is>
      </c>
      <c r="B469" s="46" t="inlineStr">
        <is>
          <t>R_0729</t>
        </is>
      </c>
      <c r="C469" s="46" t="inlineStr">
        <is>
          <t>Strategy 2 – Zero-Shot + Template + BLUF</t>
        </is>
      </c>
      <c r="D469" s="46" t="inlineStr">
        <is>
          <t>SC02</t>
        </is>
      </c>
      <c r="E469" s="46" t="inlineStr">
        <is>
          <t>Supply Chain</t>
        </is>
      </c>
      <c r="F469" s="47" t="n">
        <v>6</v>
      </c>
      <c r="G469" s="46" t="inlineStr">
        <is>
          <t>Gemma3:27b via Ollama</t>
        </is>
      </c>
      <c r="H469" s="48" t="n">
        <v>46163</v>
      </c>
      <c r="I469" s="46" t="inlineStr">
        <is>
          <t>7.801</t>
        </is>
      </c>
      <c r="J469" s="46" t="inlineStr">
        <is>
          <t>65.38</t>
        </is>
      </c>
      <c r="K469" s="46" t="inlineStr">
        <is>
          <t>Gemma3:27b</t>
        </is>
      </c>
      <c r="L469" s="46" t="inlineStr">
        <is>
          <t>0.3</t>
        </is>
      </c>
      <c r="M469" s="73" t="inlineStr">
        <is>
          <t>Complete</t>
        </is>
      </c>
    </row>
    <row r="470" ht="13.5" customHeight="1" s="38">
      <c r="A470" s="46" t="inlineStr">
        <is>
          <t>S_S2_SC02_I07</t>
        </is>
      </c>
      <c r="B470" s="46" t="inlineStr">
        <is>
          <t>R_0344</t>
        </is>
      </c>
      <c r="C470" s="46" t="inlineStr">
        <is>
          <t>Strategy 2 – Zero-Shot + Template + BLUF</t>
        </is>
      </c>
      <c r="D470" s="46" t="inlineStr">
        <is>
          <t>SC02</t>
        </is>
      </c>
      <c r="E470" s="46" t="inlineStr">
        <is>
          <t>Supply Chain</t>
        </is>
      </c>
      <c r="F470" s="47" t="n">
        <v>7</v>
      </c>
      <c r="G470" s="46" t="inlineStr">
        <is>
          <t>Gemma3:27b via Ollama</t>
        </is>
      </c>
      <c r="H470" s="48" t="n">
        <v>46163</v>
      </c>
      <c r="I470" s="46" t="inlineStr">
        <is>
          <t>8.099</t>
        </is>
      </c>
      <c r="J470" s="46" t="inlineStr">
        <is>
          <t>65.57</t>
        </is>
      </c>
      <c r="K470" s="46" t="inlineStr">
        <is>
          <t>Gemma3:27b</t>
        </is>
      </c>
      <c r="L470" s="46" t="inlineStr">
        <is>
          <t>0.3</t>
        </is>
      </c>
      <c r="M470" s="73" t="inlineStr">
        <is>
          <t>Complete</t>
        </is>
      </c>
    </row>
    <row r="471" ht="13.5" customHeight="1" s="38">
      <c r="A471" s="46" t="inlineStr">
        <is>
          <t>S_S2_SC02_I08</t>
        </is>
      </c>
      <c r="B471" s="46" t="inlineStr">
        <is>
          <t>R_0378</t>
        </is>
      </c>
      <c r="C471" s="46" t="inlineStr">
        <is>
          <t>Strategy 2 – Zero-Shot + Template + BLUF</t>
        </is>
      </c>
      <c r="D471" s="46" t="inlineStr">
        <is>
          <t>SC02</t>
        </is>
      </c>
      <c r="E471" s="46" t="inlineStr">
        <is>
          <t>Supply Chain</t>
        </is>
      </c>
      <c r="F471" s="47" t="n">
        <v>8</v>
      </c>
      <c r="G471" s="46" t="inlineStr">
        <is>
          <t>Gemma3:27b via Ollama</t>
        </is>
      </c>
      <c r="H471" s="48" t="n">
        <v>46163</v>
      </c>
      <c r="I471" s="46" t="inlineStr">
        <is>
          <t>7.823</t>
        </is>
      </c>
      <c r="J471" s="46" t="inlineStr">
        <is>
          <t>67.24</t>
        </is>
      </c>
      <c r="K471" s="46" t="inlineStr">
        <is>
          <t>Gemma3:27b</t>
        </is>
      </c>
      <c r="L471" s="46" t="inlineStr">
        <is>
          <t>0.3</t>
        </is>
      </c>
      <c r="M471" s="73" t="inlineStr">
        <is>
          <t>Complete</t>
        </is>
      </c>
    </row>
    <row r="472" ht="13.5" customHeight="1" s="38">
      <c r="A472" s="46" t="inlineStr">
        <is>
          <t>S_S2_SC02_I09</t>
        </is>
      </c>
      <c r="B472" s="46" t="inlineStr">
        <is>
          <t>R_0918</t>
        </is>
      </c>
      <c r="C472" s="46" t="inlineStr">
        <is>
          <t>Strategy 2 – Zero-Shot + Template + BLUF</t>
        </is>
      </c>
      <c r="D472" s="46" t="inlineStr">
        <is>
          <t>SC02</t>
        </is>
      </c>
      <c r="E472" s="46" t="inlineStr">
        <is>
          <t>Supply Chain</t>
        </is>
      </c>
      <c r="F472" s="47" t="n">
        <v>9</v>
      </c>
      <c r="G472" s="46" t="inlineStr">
        <is>
          <t>Gemma3:27b via Ollama</t>
        </is>
      </c>
      <c r="H472" s="48" t="n">
        <v>46163</v>
      </c>
      <c r="I472" s="46" t="inlineStr">
        <is>
          <t>7.437</t>
        </is>
      </c>
      <c r="J472" s="46" t="inlineStr">
        <is>
          <t>67.36</t>
        </is>
      </c>
      <c r="K472" s="46" t="inlineStr">
        <is>
          <t>Gemma3:27b</t>
        </is>
      </c>
      <c r="L472" s="46" t="inlineStr">
        <is>
          <t>0.3</t>
        </is>
      </c>
      <c r="M472" s="73" t="inlineStr">
        <is>
          <t>Complete</t>
        </is>
      </c>
    </row>
    <row r="473" ht="13.5" customHeight="1" s="38">
      <c r="A473" s="46" t="inlineStr">
        <is>
          <t>S_S2_SC02_I10</t>
        </is>
      </c>
      <c r="B473" s="46" t="inlineStr">
        <is>
          <t>R_0369</t>
        </is>
      </c>
      <c r="C473" s="46" t="inlineStr">
        <is>
          <t>Strategy 2 – Zero-Shot + Template + BLUF</t>
        </is>
      </c>
      <c r="D473" s="46" t="inlineStr">
        <is>
          <t>SC02</t>
        </is>
      </c>
      <c r="E473" s="46" t="inlineStr">
        <is>
          <t>Supply Chain</t>
        </is>
      </c>
      <c r="F473" s="47" t="n">
        <v>10</v>
      </c>
      <c r="G473" s="46" t="inlineStr">
        <is>
          <t>Gemma3:27b via Ollama</t>
        </is>
      </c>
      <c r="H473" s="48" t="n">
        <v>46163</v>
      </c>
      <c r="I473" s="46" t="inlineStr">
        <is>
          <t>8.715</t>
        </is>
      </c>
      <c r="J473" s="46" t="inlineStr">
        <is>
          <t>67.24</t>
        </is>
      </c>
      <c r="K473" s="46" t="inlineStr">
        <is>
          <t>Gemma3:27b</t>
        </is>
      </c>
      <c r="L473" s="46" t="inlineStr">
        <is>
          <t>0.3</t>
        </is>
      </c>
      <c r="M473" s="73" t="inlineStr">
        <is>
          <t>Complete</t>
        </is>
      </c>
    </row>
    <row r="474" ht="13.5" customHeight="1" s="38">
      <c r="A474" s="46" t="inlineStr">
        <is>
          <t>S_S2_SC03_I01</t>
        </is>
      </c>
      <c r="B474" s="46" t="inlineStr">
        <is>
          <t>R_0785</t>
        </is>
      </c>
      <c r="C474" s="46" t="inlineStr">
        <is>
          <t>Strategy 2 – Zero-Shot + Template + BLUF</t>
        </is>
      </c>
      <c r="D474" s="46" t="inlineStr">
        <is>
          <t>SC03</t>
        </is>
      </c>
      <c r="E474" s="46" t="inlineStr">
        <is>
          <t>Supply Chain</t>
        </is>
      </c>
      <c r="F474" s="47" t="n">
        <v>1</v>
      </c>
      <c r="G474" s="46" t="inlineStr">
        <is>
          <t>Gemma3:27b via Ollama</t>
        </is>
      </c>
      <c r="H474" s="48" t="n">
        <v>46163</v>
      </c>
      <c r="I474" s="46" t="inlineStr">
        <is>
          <t>8.151</t>
        </is>
      </c>
      <c r="J474" s="46" t="inlineStr">
        <is>
          <t>67.60</t>
        </is>
      </c>
      <c r="K474" s="46" t="inlineStr">
        <is>
          <t>Gemma3:27b</t>
        </is>
      </c>
      <c r="L474" s="46" t="inlineStr">
        <is>
          <t>0.3</t>
        </is>
      </c>
      <c r="M474" s="73" t="inlineStr">
        <is>
          <t>Complete</t>
        </is>
      </c>
    </row>
    <row r="475" ht="13.5" customHeight="1" s="38">
      <c r="A475" s="46" t="inlineStr">
        <is>
          <t>S_S2_SC03_I02</t>
        </is>
      </c>
      <c r="B475" s="46" t="inlineStr">
        <is>
          <t>R_0276</t>
        </is>
      </c>
      <c r="C475" s="46" t="inlineStr">
        <is>
          <t>Strategy 2 – Zero-Shot + Template + BLUF</t>
        </is>
      </c>
      <c r="D475" s="46" t="inlineStr">
        <is>
          <t>SC03</t>
        </is>
      </c>
      <c r="E475" s="46" t="inlineStr">
        <is>
          <t>Supply Chain</t>
        </is>
      </c>
      <c r="F475" s="47" t="n">
        <v>2</v>
      </c>
      <c r="G475" s="46" t="inlineStr">
        <is>
          <t>Gemma3:27b via Ollama</t>
        </is>
      </c>
      <c r="H475" s="48" t="n">
        <v>46163</v>
      </c>
      <c r="I475" s="46" t="inlineStr">
        <is>
          <t>8.110</t>
        </is>
      </c>
      <c r="J475" s="46" t="inlineStr">
        <is>
          <t>65.84</t>
        </is>
      </c>
      <c r="K475" s="46" t="inlineStr">
        <is>
          <t>Gemma3:27b</t>
        </is>
      </c>
      <c r="L475" s="46" t="inlineStr">
        <is>
          <t>0.3</t>
        </is>
      </c>
      <c r="M475" s="73" t="inlineStr">
        <is>
          <t>Complete</t>
        </is>
      </c>
    </row>
    <row r="476" ht="13.5" customHeight="1" s="38">
      <c r="A476" s="46" t="inlineStr">
        <is>
          <t>S_S2_SC03_I03</t>
        </is>
      </c>
      <c r="B476" s="46" t="inlineStr">
        <is>
          <t>R_0703</t>
        </is>
      </c>
      <c r="C476" s="46" t="inlineStr">
        <is>
          <t>Strategy 2 – Zero-Shot + Template + BLUF</t>
        </is>
      </c>
      <c r="D476" s="46" t="inlineStr">
        <is>
          <t>SC03</t>
        </is>
      </c>
      <c r="E476" s="46" t="inlineStr">
        <is>
          <t>Supply Chain</t>
        </is>
      </c>
      <c r="F476" s="47" t="n">
        <v>3</v>
      </c>
      <c r="G476" s="46" t="inlineStr">
        <is>
          <t>Gemma3:27b via Ollama</t>
        </is>
      </c>
      <c r="H476" s="48" t="n">
        <v>46163</v>
      </c>
      <c r="I476" s="46" t="inlineStr">
        <is>
          <t>8.185</t>
        </is>
      </c>
      <c r="J476" s="46" t="inlineStr">
        <is>
          <t>67.44</t>
        </is>
      </c>
      <c r="K476" s="46" t="inlineStr">
        <is>
          <t>Gemma3:27b</t>
        </is>
      </c>
      <c r="L476" s="46" t="inlineStr">
        <is>
          <t>0.3</t>
        </is>
      </c>
      <c r="M476" s="73" t="inlineStr">
        <is>
          <t>Complete</t>
        </is>
      </c>
    </row>
    <row r="477" ht="13.5" customHeight="1" s="38">
      <c r="A477" s="46" t="inlineStr">
        <is>
          <t>S_S2_SC03_I04</t>
        </is>
      </c>
      <c r="B477" s="46" t="inlineStr">
        <is>
          <t>R_0691</t>
        </is>
      </c>
      <c r="C477" s="46" t="inlineStr">
        <is>
          <t>Strategy 2 – Zero-Shot + Template + BLUF</t>
        </is>
      </c>
      <c r="D477" s="46" t="inlineStr">
        <is>
          <t>SC03</t>
        </is>
      </c>
      <c r="E477" s="46" t="inlineStr">
        <is>
          <t>Supply Chain</t>
        </is>
      </c>
      <c r="F477" s="47" t="n">
        <v>4</v>
      </c>
      <c r="G477" s="46" t="inlineStr">
        <is>
          <t>Gemma3:27b via Ollama</t>
        </is>
      </c>
      <c r="H477" s="48" t="n">
        <v>46163</v>
      </c>
      <c r="I477" s="46" t="inlineStr">
        <is>
          <t>8.444</t>
        </is>
      </c>
      <c r="J477" s="46" t="inlineStr">
        <is>
          <t>66.68</t>
        </is>
      </c>
      <c r="K477" s="46" t="inlineStr">
        <is>
          <t>Gemma3:27b</t>
        </is>
      </c>
      <c r="L477" s="46" t="inlineStr">
        <is>
          <t>0.3</t>
        </is>
      </c>
      <c r="M477" s="73" t="inlineStr">
        <is>
          <t>Complete</t>
        </is>
      </c>
    </row>
    <row r="478" ht="13.5" customHeight="1" s="38">
      <c r="A478" s="46" t="inlineStr">
        <is>
          <t>S_S2_SC03_I05</t>
        </is>
      </c>
      <c r="B478" s="46" t="inlineStr">
        <is>
          <t>R_0267</t>
        </is>
      </c>
      <c r="C478" s="46" t="inlineStr">
        <is>
          <t>Strategy 2 – Zero-Shot + Template + BLUF</t>
        </is>
      </c>
      <c r="D478" s="46" t="inlineStr">
        <is>
          <t>SC03</t>
        </is>
      </c>
      <c r="E478" s="46" t="inlineStr">
        <is>
          <t>Supply Chain</t>
        </is>
      </c>
      <c r="F478" s="47" t="n">
        <v>5</v>
      </c>
      <c r="G478" s="46" t="inlineStr">
        <is>
          <t>Gemma3:27b via Ollama</t>
        </is>
      </c>
      <c r="H478" s="48" t="n">
        <v>46163</v>
      </c>
      <c r="I478" s="46" t="inlineStr">
        <is>
          <t>8.270</t>
        </is>
      </c>
      <c r="J478" s="46" t="inlineStr">
        <is>
          <t>67.47</t>
        </is>
      </c>
      <c r="K478" s="46" t="inlineStr">
        <is>
          <t>Gemma3:27b</t>
        </is>
      </c>
      <c r="L478" s="46" t="inlineStr">
        <is>
          <t>0.3</t>
        </is>
      </c>
      <c r="M478" s="73" t="inlineStr">
        <is>
          <t>Complete</t>
        </is>
      </c>
    </row>
    <row r="479" ht="13.5" customHeight="1" s="38">
      <c r="A479" s="46" t="inlineStr">
        <is>
          <t>S_S2_SC03_I06</t>
        </is>
      </c>
      <c r="B479" s="46" t="inlineStr">
        <is>
          <t>R_0796</t>
        </is>
      </c>
      <c r="C479" s="46" t="inlineStr">
        <is>
          <t>Strategy 2 – Zero-Shot + Template + BLUF</t>
        </is>
      </c>
      <c r="D479" s="46" t="inlineStr">
        <is>
          <t>SC03</t>
        </is>
      </c>
      <c r="E479" s="46" t="inlineStr">
        <is>
          <t>Supply Chain</t>
        </is>
      </c>
      <c r="F479" s="47" t="n">
        <v>6</v>
      </c>
      <c r="G479" s="46" t="inlineStr">
        <is>
          <t>Gemma3:27b via Ollama</t>
        </is>
      </c>
      <c r="H479" s="48" t="n">
        <v>46163</v>
      </c>
      <c r="I479" s="46" t="inlineStr">
        <is>
          <t>8.321</t>
        </is>
      </c>
      <c r="J479" s="46" t="inlineStr">
        <is>
          <t>67.54</t>
        </is>
      </c>
      <c r="K479" s="46" t="inlineStr">
        <is>
          <t>Gemma3:27b</t>
        </is>
      </c>
      <c r="L479" s="46" t="inlineStr">
        <is>
          <t>0.3</t>
        </is>
      </c>
      <c r="M479" s="73" t="inlineStr">
        <is>
          <t>Complete</t>
        </is>
      </c>
    </row>
    <row r="480" ht="13.5" customHeight="1" s="38">
      <c r="A480" s="46" t="inlineStr">
        <is>
          <t>S_S2_SC03_I07</t>
        </is>
      </c>
      <c r="B480" s="46" t="inlineStr">
        <is>
          <t>R_0488</t>
        </is>
      </c>
      <c r="C480" s="46" t="inlineStr">
        <is>
          <t>Strategy 2 – Zero-Shot + Template + BLUF</t>
        </is>
      </c>
      <c r="D480" s="46" t="inlineStr">
        <is>
          <t>SC03</t>
        </is>
      </c>
      <c r="E480" s="46" t="inlineStr">
        <is>
          <t>Supply Chain</t>
        </is>
      </c>
      <c r="F480" s="47" t="n">
        <v>7</v>
      </c>
      <c r="G480" s="46" t="inlineStr">
        <is>
          <t>Gemma3:27b via Ollama</t>
        </is>
      </c>
      <c r="H480" s="48" t="n">
        <v>46163</v>
      </c>
      <c r="I480" s="46" t="inlineStr">
        <is>
          <t>9.002</t>
        </is>
      </c>
      <c r="J480" s="46" t="inlineStr">
        <is>
          <t>67.54</t>
        </is>
      </c>
      <c r="K480" s="46" t="inlineStr">
        <is>
          <t>Gemma3:27b</t>
        </is>
      </c>
      <c r="L480" s="46" t="inlineStr">
        <is>
          <t>0.3</t>
        </is>
      </c>
      <c r="M480" s="73" t="inlineStr">
        <is>
          <t>Complete</t>
        </is>
      </c>
    </row>
    <row r="481" ht="13.5" customHeight="1" s="38">
      <c r="A481" s="46" t="inlineStr">
        <is>
          <t>S_S2_SC03_I08</t>
        </is>
      </c>
      <c r="B481" s="46" t="inlineStr">
        <is>
          <t>R_0545</t>
        </is>
      </c>
      <c r="C481" s="46" t="inlineStr">
        <is>
          <t>Strategy 2 – Zero-Shot + Template + BLUF</t>
        </is>
      </c>
      <c r="D481" s="46" t="inlineStr">
        <is>
          <t>SC03</t>
        </is>
      </c>
      <c r="E481" s="46" t="inlineStr">
        <is>
          <t>Supply Chain</t>
        </is>
      </c>
      <c r="F481" s="47" t="n">
        <v>8</v>
      </c>
      <c r="G481" s="46" t="inlineStr">
        <is>
          <t>Gemma3:27b via Ollama</t>
        </is>
      </c>
      <c r="H481" s="48" t="n">
        <v>46163</v>
      </c>
      <c r="I481" s="46" t="inlineStr">
        <is>
          <t>8.910</t>
        </is>
      </c>
      <c r="J481" s="46" t="inlineStr">
        <is>
          <t>67.45</t>
        </is>
      </c>
      <c r="K481" s="46" t="inlineStr">
        <is>
          <t>Gemma3:27b</t>
        </is>
      </c>
      <c r="L481" s="46" t="inlineStr">
        <is>
          <t>0.3</t>
        </is>
      </c>
      <c r="M481" s="73" t="inlineStr">
        <is>
          <t>Complete</t>
        </is>
      </c>
    </row>
    <row r="482" ht="13.5" customHeight="1" s="38">
      <c r="A482" s="46" t="inlineStr">
        <is>
          <t>S_S2_SC03_I09</t>
        </is>
      </c>
      <c r="B482" s="46" t="inlineStr">
        <is>
          <t>R_0023</t>
        </is>
      </c>
      <c r="C482" s="46" t="inlineStr">
        <is>
          <t>Strategy 2 – Zero-Shot + Template + BLUF</t>
        </is>
      </c>
      <c r="D482" s="46" t="inlineStr">
        <is>
          <t>SC03</t>
        </is>
      </c>
      <c r="E482" s="46" t="inlineStr">
        <is>
          <t>Supply Chain</t>
        </is>
      </c>
      <c r="F482" s="47" t="n">
        <v>9</v>
      </c>
      <c r="G482" s="46" t="inlineStr">
        <is>
          <t>Gemma3:27b via Ollama</t>
        </is>
      </c>
      <c r="H482" s="48" t="n">
        <v>46163</v>
      </c>
      <c r="I482" s="46" t="inlineStr">
        <is>
          <t>8.386</t>
        </is>
      </c>
      <c r="J482" s="46" t="inlineStr">
        <is>
          <t>67.49</t>
        </is>
      </c>
      <c r="K482" s="46" t="inlineStr">
        <is>
          <t>Gemma3:27b</t>
        </is>
      </c>
      <c r="L482" s="46" t="inlineStr">
        <is>
          <t>0.3</t>
        </is>
      </c>
      <c r="M482" s="73" t="inlineStr">
        <is>
          <t>Complete</t>
        </is>
      </c>
    </row>
    <row r="483" ht="13.5" customHeight="1" s="38">
      <c r="A483" s="46" t="inlineStr">
        <is>
          <t>S_S2_SC03_I10</t>
        </is>
      </c>
      <c r="B483" s="46" t="inlineStr">
        <is>
          <t>R_0683</t>
        </is>
      </c>
      <c r="C483" s="46" t="inlineStr">
        <is>
          <t>Strategy 2 – Zero-Shot + Template + BLUF</t>
        </is>
      </c>
      <c r="D483" s="46" t="inlineStr">
        <is>
          <t>SC03</t>
        </is>
      </c>
      <c r="E483" s="46" t="inlineStr">
        <is>
          <t>Supply Chain</t>
        </is>
      </c>
      <c r="F483" s="47" t="n">
        <v>10</v>
      </c>
      <c r="G483" s="46" t="inlineStr">
        <is>
          <t>Gemma3:27b via Ollama</t>
        </is>
      </c>
      <c r="H483" s="48" t="n">
        <v>46163</v>
      </c>
      <c r="I483" s="46" t="inlineStr">
        <is>
          <t>8.111</t>
        </is>
      </c>
      <c r="J483" s="46" t="inlineStr">
        <is>
          <t>67.44</t>
        </is>
      </c>
      <c r="K483" s="46" t="inlineStr">
        <is>
          <t>Gemma3:27b</t>
        </is>
      </c>
      <c r="L483" s="46" t="inlineStr">
        <is>
          <t>0.3</t>
        </is>
      </c>
      <c r="M483" s="73" t="inlineStr">
        <is>
          <t>Complete</t>
        </is>
      </c>
    </row>
    <row r="484" ht="13.5" customHeight="1" s="38">
      <c r="A484" s="46" t="inlineStr">
        <is>
          <t>S_S2_SC04_I01</t>
        </is>
      </c>
      <c r="B484" s="46" t="inlineStr">
        <is>
          <t>R_0098</t>
        </is>
      </c>
      <c r="C484" s="46" t="inlineStr">
        <is>
          <t>Strategy 2 – Zero-Shot + Template + BLUF</t>
        </is>
      </c>
      <c r="D484" s="46" t="inlineStr">
        <is>
          <t>SC04</t>
        </is>
      </c>
      <c r="E484" s="46" t="inlineStr">
        <is>
          <t>Supply Chain</t>
        </is>
      </c>
      <c r="F484" s="47" t="n">
        <v>1</v>
      </c>
      <c r="G484" s="46" t="inlineStr">
        <is>
          <t>Gemma3:27b via Ollama</t>
        </is>
      </c>
      <c r="H484" s="48" t="n">
        <v>46166</v>
      </c>
      <c r="I484" s="46" t="inlineStr">
        <is>
          <t>8.597</t>
        </is>
      </c>
      <c r="J484" s="46" t="inlineStr">
        <is>
          <t>68.16</t>
        </is>
      </c>
      <c r="K484" s="46" t="inlineStr">
        <is>
          <t>Gemma3:27b</t>
        </is>
      </c>
      <c r="L484" s="46" t="inlineStr">
        <is>
          <t>0.3</t>
        </is>
      </c>
      <c r="M484" s="73" t="inlineStr">
        <is>
          <t>Complete</t>
        </is>
      </c>
    </row>
    <row r="485" ht="13.5" customHeight="1" s="38">
      <c r="A485" s="46" t="inlineStr">
        <is>
          <t>S_S2_SC04_I02</t>
        </is>
      </c>
      <c r="B485" s="46" t="inlineStr">
        <is>
          <t>R_0296</t>
        </is>
      </c>
      <c r="C485" s="46" t="inlineStr">
        <is>
          <t>Strategy 2 – Zero-Shot + Template + BLUF</t>
        </is>
      </c>
      <c r="D485" s="46" t="inlineStr">
        <is>
          <t>SC04</t>
        </is>
      </c>
      <c r="E485" s="46" t="inlineStr">
        <is>
          <t>Supply Chain</t>
        </is>
      </c>
      <c r="F485" s="47" t="n">
        <v>2</v>
      </c>
      <c r="G485" s="46" t="inlineStr">
        <is>
          <t>Gemma3:27b via Ollama</t>
        </is>
      </c>
      <c r="H485" s="48" t="n">
        <v>46166</v>
      </c>
      <c r="I485" s="46" t="inlineStr">
        <is>
          <t>8.615</t>
        </is>
      </c>
      <c r="J485" s="46" t="inlineStr">
        <is>
          <t>66.62</t>
        </is>
      </c>
      <c r="K485" s="46" t="inlineStr">
        <is>
          <t>Gemma3:27b</t>
        </is>
      </c>
      <c r="L485" s="46" t="inlineStr">
        <is>
          <t>0.3</t>
        </is>
      </c>
      <c r="M485" s="73" t="inlineStr">
        <is>
          <t>Complete</t>
        </is>
      </c>
    </row>
    <row r="486" ht="13.5" customHeight="1" s="38">
      <c r="A486" s="46" t="inlineStr">
        <is>
          <t>S_S2_SC04_I03</t>
        </is>
      </c>
      <c r="B486" s="46" t="inlineStr">
        <is>
          <t>R_0461</t>
        </is>
      </c>
      <c r="C486" s="46" t="inlineStr">
        <is>
          <t>Strategy 2 – Zero-Shot + Template + BLUF</t>
        </is>
      </c>
      <c r="D486" s="46" t="inlineStr">
        <is>
          <t>SC04</t>
        </is>
      </c>
      <c r="E486" s="46" t="inlineStr">
        <is>
          <t>Supply Chain</t>
        </is>
      </c>
      <c r="F486" s="47" t="n">
        <v>3</v>
      </c>
      <c r="G486" s="46" t="inlineStr">
        <is>
          <t>Gemma3:27b via Ollama</t>
        </is>
      </c>
      <c r="H486" s="48" t="n">
        <v>46166</v>
      </c>
      <c r="I486" s="46" t="inlineStr">
        <is>
          <t>8.329</t>
        </is>
      </c>
      <c r="J486" s="46" t="inlineStr">
        <is>
          <t>67.84</t>
        </is>
      </c>
      <c r="K486" s="46" t="inlineStr">
        <is>
          <t>Gemma3:27b</t>
        </is>
      </c>
      <c r="L486" s="46" t="inlineStr">
        <is>
          <t>0.3</t>
        </is>
      </c>
      <c r="M486" s="73" t="inlineStr">
        <is>
          <t>Complete</t>
        </is>
      </c>
    </row>
    <row r="487" ht="13.5" customHeight="1" s="38">
      <c r="A487" s="46" t="inlineStr">
        <is>
          <t>S_S2_SC04_I04</t>
        </is>
      </c>
      <c r="B487" s="46" t="inlineStr">
        <is>
          <t>R_0607</t>
        </is>
      </c>
      <c r="C487" s="46" t="inlineStr">
        <is>
          <t>Strategy 2 – Zero-Shot + Template + BLUF</t>
        </is>
      </c>
      <c r="D487" s="46" t="inlineStr">
        <is>
          <t>SC04</t>
        </is>
      </c>
      <c r="E487" s="46" t="inlineStr">
        <is>
          <t>Supply Chain</t>
        </is>
      </c>
      <c r="F487" s="47" t="n">
        <v>4</v>
      </c>
      <c r="G487" s="46" t="inlineStr">
        <is>
          <t>Gemma3:27b via Ollama</t>
        </is>
      </c>
      <c r="H487" s="48" t="n">
        <v>46166</v>
      </c>
      <c r="I487" s="46" t="inlineStr">
        <is>
          <t>8.740</t>
        </is>
      </c>
      <c r="J487" s="46" t="inlineStr">
        <is>
          <t>67.17</t>
        </is>
      </c>
      <c r="K487" s="46" t="inlineStr">
        <is>
          <t>Gemma3:27b</t>
        </is>
      </c>
      <c r="L487" s="46" t="inlineStr">
        <is>
          <t>0.3</t>
        </is>
      </c>
      <c r="M487" s="73" t="inlineStr">
        <is>
          <t>Complete</t>
        </is>
      </c>
    </row>
    <row r="488" ht="13.5" customHeight="1" s="38">
      <c r="A488" s="46" t="inlineStr">
        <is>
          <t>S_S2_SC04_I05</t>
        </is>
      </c>
      <c r="B488" s="46" t="inlineStr">
        <is>
          <t>R_0504</t>
        </is>
      </c>
      <c r="C488" s="46" t="inlineStr">
        <is>
          <t>Strategy 2 – Zero-Shot + Template + BLUF</t>
        </is>
      </c>
      <c r="D488" s="46" t="inlineStr">
        <is>
          <t>SC04</t>
        </is>
      </c>
      <c r="E488" s="46" t="inlineStr">
        <is>
          <t>Supply Chain</t>
        </is>
      </c>
      <c r="F488" s="47" t="n">
        <v>5</v>
      </c>
      <c r="G488" s="46" t="inlineStr">
        <is>
          <t>Gemma3:27b via Ollama</t>
        </is>
      </c>
      <c r="H488" s="48" t="n">
        <v>46166</v>
      </c>
      <c r="I488" s="46" t="inlineStr">
        <is>
          <t>8.601</t>
        </is>
      </c>
      <c r="J488" s="46" t="inlineStr">
        <is>
          <t>68.01</t>
        </is>
      </c>
      <c r="K488" s="46" t="inlineStr">
        <is>
          <t>Gemma3:27b</t>
        </is>
      </c>
      <c r="L488" s="46" t="inlineStr">
        <is>
          <t>0.3</t>
        </is>
      </c>
      <c r="M488" s="73" t="inlineStr">
        <is>
          <t>Complete</t>
        </is>
      </c>
    </row>
    <row r="489" ht="13.5" customHeight="1" s="38">
      <c r="A489" s="46" t="inlineStr">
        <is>
          <t>S_S2_SC04_I06</t>
        </is>
      </c>
      <c r="B489" s="46" t="inlineStr">
        <is>
          <t>R_0262</t>
        </is>
      </c>
      <c r="C489" s="46" t="inlineStr">
        <is>
          <t>Strategy 2 – Zero-Shot + Template + BLUF</t>
        </is>
      </c>
      <c r="D489" s="46" t="inlineStr">
        <is>
          <t>SC04</t>
        </is>
      </c>
      <c r="E489" s="46" t="inlineStr">
        <is>
          <t>Supply Chain</t>
        </is>
      </c>
      <c r="F489" s="47" t="n">
        <v>6</v>
      </c>
      <c r="G489" s="46" t="inlineStr">
        <is>
          <t>Gemma3:27b via Ollama</t>
        </is>
      </c>
      <c r="H489" s="48" t="n">
        <v>46166</v>
      </c>
      <c r="I489" s="46" t="inlineStr">
        <is>
          <t>8.645</t>
        </is>
      </c>
      <c r="J489" s="46" t="inlineStr">
        <is>
          <t>66.28</t>
        </is>
      </c>
      <c r="K489" s="46" t="inlineStr">
        <is>
          <t>Gemma3:27b</t>
        </is>
      </c>
      <c r="L489" s="46" t="inlineStr">
        <is>
          <t>0.3</t>
        </is>
      </c>
      <c r="M489" s="73" t="inlineStr">
        <is>
          <t>Complete</t>
        </is>
      </c>
    </row>
    <row r="490" ht="13.5" customHeight="1" s="38">
      <c r="A490" s="46" t="inlineStr">
        <is>
          <t>S_S2_SC04_I07</t>
        </is>
      </c>
      <c r="B490" s="46" t="inlineStr">
        <is>
          <t>R_0311</t>
        </is>
      </c>
      <c r="C490" s="46" t="inlineStr">
        <is>
          <t>Strategy 2 – Zero-Shot + Template + BLUF</t>
        </is>
      </c>
      <c r="D490" s="46" t="inlineStr">
        <is>
          <t>SC04</t>
        </is>
      </c>
      <c r="E490" s="46" t="inlineStr">
        <is>
          <t>Supply Chain</t>
        </is>
      </c>
      <c r="F490" s="47" t="n">
        <v>7</v>
      </c>
      <c r="G490" s="46" t="inlineStr">
        <is>
          <t>Gemma3:27b via Ollama</t>
        </is>
      </c>
      <c r="H490" s="48" t="n">
        <v>46166</v>
      </c>
      <c r="I490" s="46" t="inlineStr">
        <is>
          <t>8.835</t>
        </is>
      </c>
      <c r="J490" s="46" t="inlineStr">
        <is>
          <t>65.88</t>
        </is>
      </c>
      <c r="K490" s="46" t="inlineStr">
        <is>
          <t>Gemma3:27b</t>
        </is>
      </c>
      <c r="L490" s="46" t="inlineStr">
        <is>
          <t>0.3</t>
        </is>
      </c>
      <c r="M490" s="73" t="inlineStr">
        <is>
          <t>Complete</t>
        </is>
      </c>
    </row>
    <row r="491" ht="13.5" customHeight="1" s="38">
      <c r="A491" s="46" t="inlineStr">
        <is>
          <t>S_S2_SC04_I08</t>
        </is>
      </c>
      <c r="B491" s="46" t="inlineStr">
        <is>
          <t>R_0995</t>
        </is>
      </c>
      <c r="C491" s="46" t="inlineStr">
        <is>
          <t>Strategy 2 – Zero-Shot + Template + BLUF</t>
        </is>
      </c>
      <c r="D491" s="46" t="inlineStr">
        <is>
          <t>SC04</t>
        </is>
      </c>
      <c r="E491" s="46" t="inlineStr">
        <is>
          <t>Supply Chain</t>
        </is>
      </c>
      <c r="F491" s="47" t="n">
        <v>8</v>
      </c>
      <c r="G491" s="46" t="inlineStr">
        <is>
          <t>Gemma3:27b via Ollama</t>
        </is>
      </c>
      <c r="H491" s="48" t="n">
        <v>46166</v>
      </c>
      <c r="I491" s="46" t="inlineStr">
        <is>
          <t>8.177</t>
        </is>
      </c>
      <c r="J491" s="46" t="inlineStr">
        <is>
          <t>67.63</t>
        </is>
      </c>
      <c r="K491" s="46" t="inlineStr">
        <is>
          <t>Gemma3:27b</t>
        </is>
      </c>
      <c r="L491" s="46" t="inlineStr">
        <is>
          <t>0.3</t>
        </is>
      </c>
      <c r="M491" s="73" t="inlineStr">
        <is>
          <t>Complete</t>
        </is>
      </c>
    </row>
    <row r="492" ht="13.5" customHeight="1" s="38">
      <c r="A492" s="46" t="inlineStr">
        <is>
          <t>S_S2_SC04_I09</t>
        </is>
      </c>
      <c r="B492" s="46" t="inlineStr">
        <is>
          <t>R_0161</t>
        </is>
      </c>
      <c r="C492" s="46" t="inlineStr">
        <is>
          <t>Strategy 2 – Zero-Shot + Template + BLUF</t>
        </is>
      </c>
      <c r="D492" s="46" t="inlineStr">
        <is>
          <t>SC04</t>
        </is>
      </c>
      <c r="E492" s="46" t="inlineStr">
        <is>
          <t>Supply Chain</t>
        </is>
      </c>
      <c r="F492" s="47" t="n">
        <v>9</v>
      </c>
      <c r="G492" s="46" t="inlineStr">
        <is>
          <t>Gemma3:27b via Ollama</t>
        </is>
      </c>
      <c r="H492" s="48" t="n">
        <v>46166</v>
      </c>
      <c r="I492" s="46" t="inlineStr">
        <is>
          <t>8.551</t>
        </is>
      </c>
      <c r="J492" s="46" t="inlineStr">
        <is>
          <t>65.84</t>
        </is>
      </c>
      <c r="K492" s="46" t="inlineStr">
        <is>
          <t>Gemma3:27b</t>
        </is>
      </c>
      <c r="L492" s="46" t="inlineStr">
        <is>
          <t>0.3</t>
        </is>
      </c>
      <c r="M492" s="73" t="inlineStr">
        <is>
          <t>Complete</t>
        </is>
      </c>
    </row>
    <row r="493" ht="13.5" customHeight="1" s="38">
      <c r="A493" s="46" t="inlineStr">
        <is>
          <t>S_S2_SC04_I10</t>
        </is>
      </c>
      <c r="B493" s="46" t="inlineStr">
        <is>
          <t>R_0403</t>
        </is>
      </c>
      <c r="C493" s="46" t="inlineStr">
        <is>
          <t>Strategy 2 – Zero-Shot + Template + BLUF</t>
        </is>
      </c>
      <c r="D493" s="46" t="inlineStr">
        <is>
          <t>SC04</t>
        </is>
      </c>
      <c r="E493" s="46" t="inlineStr">
        <is>
          <t>Supply Chain</t>
        </is>
      </c>
      <c r="F493" s="47" t="n">
        <v>10</v>
      </c>
      <c r="G493" s="46" t="inlineStr">
        <is>
          <t>Gemma3:27b via Ollama</t>
        </is>
      </c>
      <c r="H493" s="48" t="n">
        <v>46166</v>
      </c>
      <c r="I493" s="46" t="inlineStr">
        <is>
          <t>7.667</t>
        </is>
      </c>
      <c r="J493" s="46" t="inlineStr">
        <is>
          <t>65.60</t>
        </is>
      </c>
      <c r="K493" s="46" t="inlineStr">
        <is>
          <t>Gemma3:27b</t>
        </is>
      </c>
      <c r="L493" s="46" t="inlineStr">
        <is>
          <t>0.3</t>
        </is>
      </c>
      <c r="M493" s="73" t="inlineStr">
        <is>
          <t>Complete</t>
        </is>
      </c>
    </row>
    <row r="494" ht="13.5" customHeight="1" s="38">
      <c r="A494" s="46" t="inlineStr">
        <is>
          <t>S_S2_SC05_I01</t>
        </is>
      </c>
      <c r="B494" s="46" t="inlineStr">
        <is>
          <t>R_0633</t>
        </is>
      </c>
      <c r="C494" s="46" t="inlineStr">
        <is>
          <t>Strategy 2 – Zero-Shot + Template + BLUF</t>
        </is>
      </c>
      <c r="D494" s="46" t="inlineStr">
        <is>
          <t>SC05</t>
        </is>
      </c>
      <c r="E494" s="46" t="inlineStr">
        <is>
          <t>Supply Chain</t>
        </is>
      </c>
      <c r="F494" s="47" t="n">
        <v>1</v>
      </c>
      <c r="G494" s="46" t="inlineStr">
        <is>
          <t>Gemma3:27b via Ollama</t>
        </is>
      </c>
      <c r="H494" s="48" t="n">
        <v>46166</v>
      </c>
      <c r="I494" s="46" t="inlineStr">
        <is>
          <t>8.383</t>
        </is>
      </c>
      <c r="J494" s="46" t="inlineStr">
        <is>
          <t>66.92</t>
        </is>
      </c>
      <c r="K494" s="46" t="inlineStr">
        <is>
          <t>Gemma3:27b</t>
        </is>
      </c>
      <c r="L494" s="46" t="inlineStr">
        <is>
          <t>0.3</t>
        </is>
      </c>
      <c r="M494" s="73" t="inlineStr">
        <is>
          <t>Complete</t>
        </is>
      </c>
    </row>
    <row r="495" ht="13.5" customHeight="1" s="38">
      <c r="A495" s="46" t="inlineStr">
        <is>
          <t>S_S2_SC05_I02</t>
        </is>
      </c>
      <c r="B495" s="46" t="inlineStr">
        <is>
          <t>R_0177</t>
        </is>
      </c>
      <c r="C495" s="46" t="inlineStr">
        <is>
          <t>Strategy 2 – Zero-Shot + Template + BLUF</t>
        </is>
      </c>
      <c r="D495" s="46" t="inlineStr">
        <is>
          <t>SC05</t>
        </is>
      </c>
      <c r="E495" s="46" t="inlineStr">
        <is>
          <t>Supply Chain</t>
        </is>
      </c>
      <c r="F495" s="47" t="n">
        <v>2</v>
      </c>
      <c r="G495" s="46" t="inlineStr">
        <is>
          <t>Gemma3:27b via Ollama</t>
        </is>
      </c>
      <c r="H495" s="48" t="n">
        <v>46166</v>
      </c>
      <c r="I495" s="46" t="inlineStr">
        <is>
          <t>8.719</t>
        </is>
      </c>
      <c r="J495" s="46" t="inlineStr">
        <is>
          <t>65.14</t>
        </is>
      </c>
      <c r="K495" s="46" t="inlineStr">
        <is>
          <t>Gemma3:27b</t>
        </is>
      </c>
      <c r="L495" s="46" t="inlineStr">
        <is>
          <t>0.3</t>
        </is>
      </c>
      <c r="M495" s="73" t="inlineStr">
        <is>
          <t>Complete</t>
        </is>
      </c>
    </row>
    <row r="496" ht="13.5" customHeight="1" s="38">
      <c r="A496" s="46" t="inlineStr">
        <is>
          <t>S_S2_SC05_I03</t>
        </is>
      </c>
      <c r="B496" s="46" t="inlineStr">
        <is>
          <t>R_0873</t>
        </is>
      </c>
      <c r="C496" s="46" t="inlineStr">
        <is>
          <t>Strategy 2 – Zero-Shot + Template + BLUF</t>
        </is>
      </c>
      <c r="D496" s="46" t="inlineStr">
        <is>
          <t>SC05</t>
        </is>
      </c>
      <c r="E496" s="46" t="inlineStr">
        <is>
          <t>Supply Chain</t>
        </is>
      </c>
      <c r="F496" s="47" t="n">
        <v>3</v>
      </c>
      <c r="G496" s="46" t="inlineStr">
        <is>
          <t>Gemma3:27b via Ollama</t>
        </is>
      </c>
      <c r="H496" s="48" t="n">
        <v>46166</v>
      </c>
      <c r="I496" s="46" t="inlineStr">
        <is>
          <t>8.154</t>
        </is>
      </c>
      <c r="J496" s="46" t="inlineStr">
        <is>
          <t>65.49</t>
        </is>
      </c>
      <c r="K496" s="46" t="inlineStr">
        <is>
          <t>Gemma3:27b</t>
        </is>
      </c>
      <c r="L496" s="46" t="inlineStr">
        <is>
          <t>0.3</t>
        </is>
      </c>
      <c r="M496" s="73" t="inlineStr">
        <is>
          <t>Complete</t>
        </is>
      </c>
    </row>
    <row r="497" ht="13.5" customHeight="1" s="38">
      <c r="A497" s="46" t="inlineStr">
        <is>
          <t>S_S2_SC05_I04</t>
        </is>
      </c>
      <c r="B497" s="46" t="inlineStr">
        <is>
          <t>R_0808</t>
        </is>
      </c>
      <c r="C497" s="46" t="inlineStr">
        <is>
          <t>Strategy 2 – Zero-Shot + Template + BLUF</t>
        </is>
      </c>
      <c r="D497" s="46" t="inlineStr">
        <is>
          <t>SC05</t>
        </is>
      </c>
      <c r="E497" s="46" t="inlineStr">
        <is>
          <t>Supply Chain</t>
        </is>
      </c>
      <c r="F497" s="47" t="n">
        <v>4</v>
      </c>
      <c r="G497" s="46" t="inlineStr">
        <is>
          <t>Gemma3:27b via Ollama</t>
        </is>
      </c>
      <c r="H497" s="48" t="n">
        <v>46166</v>
      </c>
      <c r="I497" s="46" t="inlineStr">
        <is>
          <t>9.150</t>
        </is>
      </c>
      <c r="J497" s="46" t="inlineStr">
        <is>
          <t>66.77</t>
        </is>
      </c>
      <c r="K497" s="46" t="inlineStr">
        <is>
          <t>Gemma3:27b</t>
        </is>
      </c>
      <c r="L497" s="46" t="inlineStr">
        <is>
          <t>0.3</t>
        </is>
      </c>
      <c r="M497" s="73" t="inlineStr">
        <is>
          <t>Complete</t>
        </is>
      </c>
    </row>
    <row r="498" ht="13.5" customHeight="1" s="38">
      <c r="A498" s="46" t="inlineStr">
        <is>
          <t>S_S2_SC05_I05</t>
        </is>
      </c>
      <c r="B498" s="46" t="inlineStr">
        <is>
          <t>R_0709</t>
        </is>
      </c>
      <c r="C498" s="46" t="inlineStr">
        <is>
          <t>Strategy 2 – Zero-Shot + Template + BLUF</t>
        </is>
      </c>
      <c r="D498" s="46" t="inlineStr">
        <is>
          <t>SC05</t>
        </is>
      </c>
      <c r="E498" s="46" t="inlineStr">
        <is>
          <t>Supply Chain</t>
        </is>
      </c>
      <c r="F498" s="47" t="n">
        <v>5</v>
      </c>
      <c r="G498" s="46" t="inlineStr">
        <is>
          <t>Gemma3:27b via Ollama</t>
        </is>
      </c>
      <c r="H498" s="48" t="n">
        <v>46166</v>
      </c>
      <c r="I498" s="46" t="inlineStr">
        <is>
          <t>9.331</t>
        </is>
      </c>
      <c r="J498" s="46" t="inlineStr">
        <is>
          <t>65.91</t>
        </is>
      </c>
      <c r="K498" s="46" t="inlineStr">
        <is>
          <t>Gemma3:27b</t>
        </is>
      </c>
      <c r="L498" s="46" t="inlineStr">
        <is>
          <t>0.3</t>
        </is>
      </c>
      <c r="M498" s="73" t="inlineStr">
        <is>
          <t>Complete</t>
        </is>
      </c>
    </row>
    <row r="499" ht="13.5" customHeight="1" s="38">
      <c r="A499" s="46" t="inlineStr">
        <is>
          <t>S_S2_SC05_I06</t>
        </is>
      </c>
      <c r="B499" s="46" t="inlineStr">
        <is>
          <t>R_0932</t>
        </is>
      </c>
      <c r="C499" s="46" t="inlineStr">
        <is>
          <t>Strategy 2 – Zero-Shot + Template + BLUF</t>
        </is>
      </c>
      <c r="D499" s="46" t="inlineStr">
        <is>
          <t>SC05</t>
        </is>
      </c>
      <c r="E499" s="46" t="inlineStr">
        <is>
          <t>Supply Chain</t>
        </is>
      </c>
      <c r="F499" s="47" t="n">
        <v>6</v>
      </c>
      <c r="G499" s="46" t="inlineStr">
        <is>
          <t>Gemma3:27b via Ollama</t>
        </is>
      </c>
      <c r="H499" s="48" t="n">
        <v>46166</v>
      </c>
      <c r="I499" s="46" t="inlineStr">
        <is>
          <t>8.072</t>
        </is>
      </c>
      <c r="J499" s="46" t="inlineStr">
        <is>
          <t>67.52</t>
        </is>
      </c>
      <c r="K499" s="46" t="inlineStr">
        <is>
          <t>Gemma3:27b</t>
        </is>
      </c>
      <c r="L499" s="46" t="inlineStr">
        <is>
          <t>0.3</t>
        </is>
      </c>
      <c r="M499" s="73" t="inlineStr">
        <is>
          <t>Complete</t>
        </is>
      </c>
    </row>
    <row r="500" ht="13.5" customHeight="1" s="38">
      <c r="A500" s="46" t="inlineStr">
        <is>
          <t>S_S2_SC05_I07</t>
        </is>
      </c>
      <c r="B500" s="46" t="inlineStr">
        <is>
          <t>R_1000</t>
        </is>
      </c>
      <c r="C500" s="46" t="inlineStr">
        <is>
          <t>Strategy 2 – Zero-Shot + Template + BLUF</t>
        </is>
      </c>
      <c r="D500" s="46" t="inlineStr">
        <is>
          <t>SC05</t>
        </is>
      </c>
      <c r="E500" s="46" t="inlineStr">
        <is>
          <t>Supply Chain</t>
        </is>
      </c>
      <c r="F500" s="47" t="n">
        <v>7</v>
      </c>
      <c r="G500" s="46" t="inlineStr">
        <is>
          <t>Gemma3:27b via Ollama</t>
        </is>
      </c>
      <c r="H500" s="48" t="n">
        <v>46166</v>
      </c>
      <c r="I500" s="46" t="inlineStr">
        <is>
          <t>7.621</t>
        </is>
      </c>
      <c r="J500" s="46" t="inlineStr">
        <is>
          <t>66.01</t>
        </is>
      </c>
      <c r="K500" s="46" t="inlineStr">
        <is>
          <t>Gemma3:27b</t>
        </is>
      </c>
      <c r="L500" s="46" t="inlineStr">
        <is>
          <t>0.3</t>
        </is>
      </c>
      <c r="M500" s="73" t="inlineStr">
        <is>
          <t>Complete</t>
        </is>
      </c>
    </row>
    <row r="501" ht="13.5" customHeight="1" s="38">
      <c r="A501" s="46" t="inlineStr">
        <is>
          <t>S_S2_SC05_I08</t>
        </is>
      </c>
      <c r="B501" s="46" t="inlineStr">
        <is>
          <t>R_0775</t>
        </is>
      </c>
      <c r="C501" s="46" t="inlineStr">
        <is>
          <t>Strategy 2 – Zero-Shot + Template + BLUF</t>
        </is>
      </c>
      <c r="D501" s="46" t="inlineStr">
        <is>
          <t>SC05</t>
        </is>
      </c>
      <c r="E501" s="46" t="inlineStr">
        <is>
          <t>Supply Chain</t>
        </is>
      </c>
      <c r="F501" s="47" t="n">
        <v>8</v>
      </c>
      <c r="G501" s="46" t="inlineStr">
        <is>
          <t>Gemma3:27b via Ollama</t>
        </is>
      </c>
      <c r="H501" s="48" t="n">
        <v>46166</v>
      </c>
      <c r="I501" s="46" t="inlineStr">
        <is>
          <t>8.438</t>
        </is>
      </c>
      <c r="J501" s="46" t="inlineStr">
        <is>
          <t>65.78</t>
        </is>
      </c>
      <c r="K501" s="46" t="inlineStr">
        <is>
          <t>Gemma3:27b</t>
        </is>
      </c>
      <c r="L501" s="46" t="inlineStr">
        <is>
          <t>0.3</t>
        </is>
      </c>
      <c r="M501" s="73" t="inlineStr">
        <is>
          <t>Complete</t>
        </is>
      </c>
    </row>
    <row r="502" ht="13.5" customHeight="1" s="38">
      <c r="A502" s="46" t="inlineStr">
        <is>
          <t>S_S2_SC05_I09</t>
        </is>
      </c>
      <c r="B502" s="46" t="inlineStr">
        <is>
          <t>R_0298</t>
        </is>
      </c>
      <c r="C502" s="46" t="inlineStr">
        <is>
          <t>Strategy 2 – Zero-Shot + Template + BLUF</t>
        </is>
      </c>
      <c r="D502" s="46" t="inlineStr">
        <is>
          <t>SC05</t>
        </is>
      </c>
      <c r="E502" s="46" t="inlineStr">
        <is>
          <t>Supply Chain</t>
        </is>
      </c>
      <c r="F502" s="47" t="n">
        <v>9</v>
      </c>
      <c r="G502" s="46" t="inlineStr">
        <is>
          <t>Gemma3:27b via Ollama</t>
        </is>
      </c>
      <c r="H502" s="48" t="n">
        <v>46166</v>
      </c>
      <c r="I502" s="46" t="inlineStr">
        <is>
          <t>7.842</t>
        </is>
      </c>
      <c r="J502" s="46" t="inlineStr">
        <is>
          <t>67.46</t>
        </is>
      </c>
      <c r="K502" s="46" t="inlineStr">
        <is>
          <t>Gemma3:27b</t>
        </is>
      </c>
      <c r="L502" s="46" t="inlineStr">
        <is>
          <t>0.3</t>
        </is>
      </c>
      <c r="M502" s="73" t="inlineStr">
        <is>
          <t>Complete</t>
        </is>
      </c>
    </row>
    <row r="503" ht="13.5" customHeight="1" s="38">
      <c r="A503" s="46" t="inlineStr">
        <is>
          <t>S_S2_SC05_I10</t>
        </is>
      </c>
      <c r="B503" s="46" t="inlineStr">
        <is>
          <t>R_0092</t>
        </is>
      </c>
      <c r="C503" s="46" t="inlineStr">
        <is>
          <t>Strategy 2 – Zero-Shot + Template + BLUF</t>
        </is>
      </c>
      <c r="D503" s="46" t="inlineStr">
        <is>
          <t>SC05</t>
        </is>
      </c>
      <c r="E503" s="46" t="inlineStr">
        <is>
          <t>Supply Chain</t>
        </is>
      </c>
      <c r="F503" s="47" t="n">
        <v>10</v>
      </c>
      <c r="G503" s="46" t="inlineStr">
        <is>
          <t>Gemma3:27b via Ollama</t>
        </is>
      </c>
      <c r="H503" s="48" t="n">
        <v>46166</v>
      </c>
      <c r="I503" s="46" t="inlineStr">
        <is>
          <t>8.806</t>
        </is>
      </c>
      <c r="J503" s="46" t="inlineStr">
        <is>
          <t>65.86</t>
        </is>
      </c>
      <c r="K503" s="46" t="inlineStr">
        <is>
          <t>Gemma3:27b</t>
        </is>
      </c>
      <c r="L503" s="46" t="inlineStr">
        <is>
          <t>0.3</t>
        </is>
      </c>
      <c r="M503" s="73" t="inlineStr">
        <is>
          <t>Complete</t>
        </is>
      </c>
    </row>
    <row r="504" ht="13.5" customHeight="1" s="38">
      <c r="A504" s="46" t="inlineStr">
        <is>
          <t>Z_S2_SC01_I01</t>
        </is>
      </c>
      <c r="B504" s="46" t="inlineStr">
        <is>
          <t>R_0943</t>
        </is>
      </c>
      <c r="C504" s="46" t="inlineStr">
        <is>
          <t>Strategy 2 – Zero-Shot + Template + BLUF</t>
        </is>
      </c>
      <c r="D504" s="46" t="inlineStr">
        <is>
          <t>SC01</t>
        </is>
      </c>
      <c r="E504" s="46" t="inlineStr">
        <is>
          <t>Zero-Day / Edge Device</t>
        </is>
      </c>
      <c r="F504" s="47" t="n">
        <v>1</v>
      </c>
      <c r="G504" s="46" t="inlineStr">
        <is>
          <t>Gemma3:27b via Ollama</t>
        </is>
      </c>
      <c r="H504" s="48" t="n">
        <v>46163</v>
      </c>
      <c r="I504" s="46" t="inlineStr">
        <is>
          <t>7.389</t>
        </is>
      </c>
      <c r="J504" s="46" t="inlineStr">
        <is>
          <t>67.53</t>
        </is>
      </c>
      <c r="K504" s="46" t="inlineStr">
        <is>
          <t>Gemma3:27b</t>
        </is>
      </c>
      <c r="L504" s="46" t="inlineStr">
        <is>
          <t>0.3</t>
        </is>
      </c>
      <c r="M504" s="73" t="inlineStr">
        <is>
          <t>Complete</t>
        </is>
      </c>
    </row>
    <row r="505" ht="13.5" customHeight="1" s="38">
      <c r="A505" s="46" t="inlineStr">
        <is>
          <t>Z_S2_SC01_I02</t>
        </is>
      </c>
      <c r="B505" s="46" t="inlineStr">
        <is>
          <t>R_0497</t>
        </is>
      </c>
      <c r="C505" s="46" t="inlineStr">
        <is>
          <t>Strategy 2 – Zero-Shot + Template + BLUF</t>
        </is>
      </c>
      <c r="D505" s="46" t="inlineStr">
        <is>
          <t>SC01</t>
        </is>
      </c>
      <c r="E505" s="46" t="inlineStr">
        <is>
          <t>Zero-Day / Edge Device</t>
        </is>
      </c>
      <c r="F505" s="47" t="n">
        <v>2</v>
      </c>
      <c r="G505" s="46" t="inlineStr">
        <is>
          <t>Gemma3:27b via Ollama</t>
        </is>
      </c>
      <c r="H505" s="48" t="n">
        <v>46163</v>
      </c>
      <c r="I505" s="46" t="inlineStr">
        <is>
          <t>7.032</t>
        </is>
      </c>
      <c r="J505" s="46" t="inlineStr">
        <is>
          <t>67.13</t>
        </is>
      </c>
      <c r="K505" s="46" t="inlineStr">
        <is>
          <t>Gemma3:27b</t>
        </is>
      </c>
      <c r="L505" s="46" t="inlineStr">
        <is>
          <t>0.3</t>
        </is>
      </c>
      <c r="M505" s="73" t="inlineStr">
        <is>
          <t>Complete</t>
        </is>
      </c>
    </row>
    <row r="506" ht="13.5" customHeight="1" s="38">
      <c r="A506" s="46" t="inlineStr">
        <is>
          <t>Z_S2_SC01_I03</t>
        </is>
      </c>
      <c r="B506" s="46" t="inlineStr">
        <is>
          <t>R_0450</t>
        </is>
      </c>
      <c r="C506" s="46" t="inlineStr">
        <is>
          <t>Strategy 2 – Zero-Shot + Template + BLUF</t>
        </is>
      </c>
      <c r="D506" s="46" t="inlineStr">
        <is>
          <t>SC01</t>
        </is>
      </c>
      <c r="E506" s="46" t="inlineStr">
        <is>
          <t>Zero-Day / Edge Device</t>
        </is>
      </c>
      <c r="F506" s="47" t="n">
        <v>3</v>
      </c>
      <c r="G506" s="46" t="inlineStr">
        <is>
          <t>Gemma3:27b via Ollama</t>
        </is>
      </c>
      <c r="H506" s="48" t="n">
        <v>46163</v>
      </c>
      <c r="I506" s="46" t="inlineStr">
        <is>
          <t>6.743</t>
        </is>
      </c>
      <c r="J506" s="46" t="inlineStr">
        <is>
          <t>67.48</t>
        </is>
      </c>
      <c r="K506" s="46" t="inlineStr">
        <is>
          <t>Gemma3:27b</t>
        </is>
      </c>
      <c r="L506" s="46" t="inlineStr">
        <is>
          <t>0.3</t>
        </is>
      </c>
      <c r="M506" s="73" t="inlineStr">
        <is>
          <t>Complete</t>
        </is>
      </c>
    </row>
    <row r="507" ht="13.5" customHeight="1" s="38">
      <c r="A507" s="46" t="inlineStr">
        <is>
          <t>Z_S2_SC01_I04</t>
        </is>
      </c>
      <c r="B507" s="46" t="inlineStr">
        <is>
          <t>R_0658</t>
        </is>
      </c>
      <c r="C507" s="46" t="inlineStr">
        <is>
          <t>Strategy 2 – Zero-Shot + Template + BLUF</t>
        </is>
      </c>
      <c r="D507" s="46" t="inlineStr">
        <is>
          <t>SC01</t>
        </is>
      </c>
      <c r="E507" s="46" t="inlineStr">
        <is>
          <t>Zero-Day / Edge Device</t>
        </is>
      </c>
      <c r="F507" s="47" t="n">
        <v>4</v>
      </c>
      <c r="G507" s="46" t="inlineStr">
        <is>
          <t>Gemma3:27b via Ollama</t>
        </is>
      </c>
      <c r="H507" s="48" t="n">
        <v>46163</v>
      </c>
      <c r="I507" s="46" t="inlineStr">
        <is>
          <t>6.991</t>
        </is>
      </c>
      <c r="J507" s="46" t="inlineStr">
        <is>
          <t>67.37</t>
        </is>
      </c>
      <c r="K507" s="46" t="inlineStr">
        <is>
          <t>Gemma3:27b</t>
        </is>
      </c>
      <c r="L507" s="46" t="inlineStr">
        <is>
          <t>0.3</t>
        </is>
      </c>
      <c r="M507" s="73" t="inlineStr">
        <is>
          <t>Complete</t>
        </is>
      </c>
    </row>
    <row r="508" ht="13.5" customHeight="1" s="38">
      <c r="A508" s="46" t="inlineStr">
        <is>
          <t>Z_S2_SC01_I05</t>
        </is>
      </c>
      <c r="B508" s="46" t="inlineStr">
        <is>
          <t>R_0015</t>
        </is>
      </c>
      <c r="C508" s="46" t="inlineStr">
        <is>
          <t>Strategy 2 – Zero-Shot + Template + BLUF</t>
        </is>
      </c>
      <c r="D508" s="46" t="inlineStr">
        <is>
          <t>SC01</t>
        </is>
      </c>
      <c r="E508" s="46" t="inlineStr">
        <is>
          <t>Zero-Day / Edge Device</t>
        </is>
      </c>
      <c r="F508" s="47" t="n">
        <v>5</v>
      </c>
      <c r="G508" s="46" t="inlineStr">
        <is>
          <t>Gemma3:27b via Ollama</t>
        </is>
      </c>
      <c r="H508" s="48" t="n">
        <v>46163</v>
      </c>
      <c r="I508" s="46" t="inlineStr">
        <is>
          <t>8.496</t>
        </is>
      </c>
      <c r="J508" s="46" t="inlineStr">
        <is>
          <t>63.91</t>
        </is>
      </c>
      <c r="K508" s="46" t="inlineStr">
        <is>
          <t>Gemma3:27b</t>
        </is>
      </c>
      <c r="L508" s="46" t="inlineStr">
        <is>
          <t>0.3</t>
        </is>
      </c>
      <c r="M508" s="73" t="inlineStr">
        <is>
          <t>Complete</t>
        </is>
      </c>
    </row>
    <row r="509" ht="13.5" customHeight="1" s="38">
      <c r="A509" s="46" t="inlineStr">
        <is>
          <t>Z_S2_SC01_I06</t>
        </is>
      </c>
      <c r="B509" s="46" t="inlineStr">
        <is>
          <t>R_0481</t>
        </is>
      </c>
      <c r="C509" s="46" t="inlineStr">
        <is>
          <t>Strategy 2 – Zero-Shot + Template + BLUF</t>
        </is>
      </c>
      <c r="D509" s="46" t="inlineStr">
        <is>
          <t>SC01</t>
        </is>
      </c>
      <c r="E509" s="46" t="inlineStr">
        <is>
          <t>Zero-Day / Edge Device</t>
        </is>
      </c>
      <c r="F509" s="47" t="n">
        <v>6</v>
      </c>
      <c r="G509" s="46" t="inlineStr">
        <is>
          <t>Gemma3:27b via Ollama</t>
        </is>
      </c>
      <c r="H509" s="48" t="n">
        <v>46163</v>
      </c>
      <c r="I509" s="46" t="inlineStr">
        <is>
          <t>6.799</t>
        </is>
      </c>
      <c r="J509" s="46" t="inlineStr">
        <is>
          <t>67.36</t>
        </is>
      </c>
      <c r="K509" s="46" t="inlineStr">
        <is>
          <t>Gemma3:27b</t>
        </is>
      </c>
      <c r="L509" s="46" t="inlineStr">
        <is>
          <t>0.3</t>
        </is>
      </c>
      <c r="M509" s="73" t="inlineStr">
        <is>
          <t>Complete</t>
        </is>
      </c>
    </row>
    <row r="510" ht="13.5" customHeight="1" s="38">
      <c r="A510" s="46" t="inlineStr">
        <is>
          <t>Z_S2_SC01_I07</t>
        </is>
      </c>
      <c r="B510" s="46" t="inlineStr">
        <is>
          <t>R_0772</t>
        </is>
      </c>
      <c r="C510" s="46" t="inlineStr">
        <is>
          <t>Strategy 2 – Zero-Shot + Template + BLUF</t>
        </is>
      </c>
      <c r="D510" s="46" t="inlineStr">
        <is>
          <t>SC01</t>
        </is>
      </c>
      <c r="E510" s="46" t="inlineStr">
        <is>
          <t>Zero-Day / Edge Device</t>
        </is>
      </c>
      <c r="F510" s="47" t="n">
        <v>7</v>
      </c>
      <c r="G510" s="46" t="inlineStr">
        <is>
          <t>Gemma3:27b via Ollama</t>
        </is>
      </c>
      <c r="H510" s="48" t="n">
        <v>46163</v>
      </c>
      <c r="I510" s="46" t="inlineStr">
        <is>
          <t>6.864</t>
        </is>
      </c>
      <c r="J510" s="46" t="inlineStr">
        <is>
          <t>67.45</t>
        </is>
      </c>
      <c r="K510" s="46" t="inlineStr">
        <is>
          <t>Gemma3:27b</t>
        </is>
      </c>
      <c r="L510" s="46" t="inlineStr">
        <is>
          <t>0.3</t>
        </is>
      </c>
      <c r="M510" s="73" t="inlineStr">
        <is>
          <t>Complete</t>
        </is>
      </c>
    </row>
    <row r="511" ht="13.5" customHeight="1" s="38">
      <c r="A511" s="46" t="inlineStr">
        <is>
          <t>Z_S2_SC01_I08</t>
        </is>
      </c>
      <c r="B511" s="46" t="inlineStr">
        <is>
          <t>R_0941</t>
        </is>
      </c>
      <c r="C511" s="46" t="inlineStr">
        <is>
          <t>Strategy 2 – Zero-Shot + Template + BLUF</t>
        </is>
      </c>
      <c r="D511" s="46" t="inlineStr">
        <is>
          <t>SC01</t>
        </is>
      </c>
      <c r="E511" s="46" t="inlineStr">
        <is>
          <t>Zero-Day / Edge Device</t>
        </is>
      </c>
      <c r="F511" s="47" t="n">
        <v>8</v>
      </c>
      <c r="G511" s="46" t="inlineStr">
        <is>
          <t>Gemma3:27b via Ollama</t>
        </is>
      </c>
      <c r="H511" s="48" t="n">
        <v>46163</v>
      </c>
      <c r="I511" s="46" t="inlineStr">
        <is>
          <t>7.814</t>
        </is>
      </c>
      <c r="J511" s="46" t="inlineStr">
        <is>
          <t>67.44</t>
        </is>
      </c>
      <c r="K511" s="46" t="inlineStr">
        <is>
          <t>Gemma3:27b</t>
        </is>
      </c>
      <c r="L511" s="46" t="inlineStr">
        <is>
          <t>0.3</t>
        </is>
      </c>
      <c r="M511" s="73" t="inlineStr">
        <is>
          <t>Complete</t>
        </is>
      </c>
    </row>
    <row r="512" ht="13.5" customHeight="1" s="38">
      <c r="A512" s="46" t="inlineStr">
        <is>
          <t>Z_S2_SC01_I09</t>
        </is>
      </c>
      <c r="B512" s="46" t="inlineStr">
        <is>
          <t>R_0432</t>
        </is>
      </c>
      <c r="C512" s="46" t="inlineStr">
        <is>
          <t>Strategy 2 – Zero-Shot + Template + BLUF</t>
        </is>
      </c>
      <c r="D512" s="46" t="inlineStr">
        <is>
          <t>SC01</t>
        </is>
      </c>
      <c r="E512" s="46" t="inlineStr">
        <is>
          <t>Zero-Day / Edge Device</t>
        </is>
      </c>
      <c r="F512" s="47" t="n">
        <v>9</v>
      </c>
      <c r="G512" s="46" t="inlineStr">
        <is>
          <t>Gemma3:27b via Ollama</t>
        </is>
      </c>
      <c r="H512" s="48" t="n">
        <v>46163</v>
      </c>
      <c r="I512" s="46" t="inlineStr">
        <is>
          <t>7.399</t>
        </is>
      </c>
      <c r="J512" s="46" t="inlineStr">
        <is>
          <t>65.42</t>
        </is>
      </c>
      <c r="K512" s="46" t="inlineStr">
        <is>
          <t>Gemma3:27b</t>
        </is>
      </c>
      <c r="L512" s="46" t="inlineStr">
        <is>
          <t>0.3</t>
        </is>
      </c>
      <c r="M512" s="73" t="inlineStr">
        <is>
          <t>Complete</t>
        </is>
      </c>
    </row>
    <row r="513" ht="13.5" customHeight="1" s="38">
      <c r="A513" s="46" t="inlineStr">
        <is>
          <t>Z_S2_SC01_I10</t>
        </is>
      </c>
      <c r="B513" s="46" t="inlineStr">
        <is>
          <t>R_0503</t>
        </is>
      </c>
      <c r="C513" s="46" t="inlineStr">
        <is>
          <t>Strategy 2 – Zero-Shot + Template + BLUF</t>
        </is>
      </c>
      <c r="D513" s="46" t="inlineStr">
        <is>
          <t>SC01</t>
        </is>
      </c>
      <c r="E513" s="46" t="inlineStr">
        <is>
          <t>Zero-Day / Edge Device</t>
        </is>
      </c>
      <c r="F513" s="47" t="n">
        <v>10</v>
      </c>
      <c r="G513" s="46" t="inlineStr">
        <is>
          <t>Gemma3:27b via Ollama</t>
        </is>
      </c>
      <c r="H513" s="48" t="n">
        <v>46163</v>
      </c>
      <c r="I513" s="46" t="inlineStr">
        <is>
          <t>7.615</t>
        </is>
      </c>
      <c r="J513" s="46" t="inlineStr">
        <is>
          <t>66.05</t>
        </is>
      </c>
      <c r="K513" s="46" t="inlineStr">
        <is>
          <t>Gemma3:27b</t>
        </is>
      </c>
      <c r="L513" s="46" t="inlineStr">
        <is>
          <t>0.3</t>
        </is>
      </c>
      <c r="M513" s="73" t="inlineStr">
        <is>
          <t>Complete</t>
        </is>
      </c>
    </row>
    <row r="514" ht="13.5" customHeight="1" s="38">
      <c r="A514" s="46" t="inlineStr">
        <is>
          <t>Z_S2_SC02_I01</t>
        </is>
      </c>
      <c r="B514" s="46" t="inlineStr">
        <is>
          <t>R_0895</t>
        </is>
      </c>
      <c r="C514" s="46" t="inlineStr">
        <is>
          <t>Strategy 2 – Zero-Shot + Template + BLUF</t>
        </is>
      </c>
      <c r="D514" s="46" t="inlineStr">
        <is>
          <t>SC02</t>
        </is>
      </c>
      <c r="E514" s="46" t="inlineStr">
        <is>
          <t>Zero-Day / Edge Device</t>
        </is>
      </c>
      <c r="F514" s="47" t="n">
        <v>1</v>
      </c>
      <c r="G514" s="46" t="inlineStr">
        <is>
          <t>Gemma3:27b via Ollama</t>
        </is>
      </c>
      <c r="H514" s="48" t="n">
        <v>46163</v>
      </c>
      <c r="I514" s="46" t="inlineStr">
        <is>
          <t>8.778</t>
        </is>
      </c>
      <c r="J514" s="46" t="inlineStr">
        <is>
          <t>67.21</t>
        </is>
      </c>
      <c r="K514" s="46" t="inlineStr">
        <is>
          <t>Gemma3:27b</t>
        </is>
      </c>
      <c r="L514" s="46" t="inlineStr">
        <is>
          <t>0.3</t>
        </is>
      </c>
      <c r="M514" s="73" t="inlineStr">
        <is>
          <t>Complete</t>
        </is>
      </c>
    </row>
    <row r="515" ht="13.5" customHeight="1" s="38">
      <c r="A515" s="46" t="inlineStr">
        <is>
          <t>Z_S2_SC02_I02</t>
        </is>
      </c>
      <c r="B515" s="46" t="inlineStr">
        <is>
          <t>R_0410</t>
        </is>
      </c>
      <c r="C515" s="46" t="inlineStr">
        <is>
          <t>Strategy 2 – Zero-Shot + Template + BLUF</t>
        </is>
      </c>
      <c r="D515" s="46" t="inlineStr">
        <is>
          <t>SC02</t>
        </is>
      </c>
      <c r="E515" s="46" t="inlineStr">
        <is>
          <t>Zero-Day / Edge Device</t>
        </is>
      </c>
      <c r="F515" s="47" t="n">
        <v>2</v>
      </c>
      <c r="G515" s="46" t="inlineStr">
        <is>
          <t>Gemma3:27b via Ollama</t>
        </is>
      </c>
      <c r="H515" s="48" t="n">
        <v>46163</v>
      </c>
      <c r="I515" s="46" t="inlineStr">
        <is>
          <t>8.011</t>
        </is>
      </c>
      <c r="J515" s="46" t="inlineStr">
        <is>
          <t>66.91</t>
        </is>
      </c>
      <c r="K515" s="46" t="inlineStr">
        <is>
          <t>Gemma3:27b</t>
        </is>
      </c>
      <c r="L515" s="46" t="inlineStr">
        <is>
          <t>0.3</t>
        </is>
      </c>
      <c r="M515" s="73" t="inlineStr">
        <is>
          <t>Complete</t>
        </is>
      </c>
    </row>
    <row r="516" ht="13.5" customHeight="1" s="38">
      <c r="A516" s="46" t="inlineStr">
        <is>
          <t>Z_S2_SC02_I03</t>
        </is>
      </c>
      <c r="B516" s="46" t="inlineStr">
        <is>
          <t>R_0360</t>
        </is>
      </c>
      <c r="C516" s="46" t="inlineStr">
        <is>
          <t>Strategy 2 – Zero-Shot + Template + BLUF</t>
        </is>
      </c>
      <c r="D516" s="46" t="inlineStr">
        <is>
          <t>SC02</t>
        </is>
      </c>
      <c r="E516" s="46" t="inlineStr">
        <is>
          <t>Zero-Day / Edge Device</t>
        </is>
      </c>
      <c r="F516" s="47" t="n">
        <v>3</v>
      </c>
      <c r="G516" s="46" t="inlineStr">
        <is>
          <t>Gemma3:27b via Ollama</t>
        </is>
      </c>
      <c r="H516" s="48" t="n">
        <v>46163</v>
      </c>
      <c r="I516" s="46" t="inlineStr">
        <is>
          <t>8.122</t>
        </is>
      </c>
      <c r="J516" s="46" t="inlineStr">
        <is>
          <t>65.25</t>
        </is>
      </c>
      <c r="K516" s="46" t="inlineStr">
        <is>
          <t>Gemma3:27b</t>
        </is>
      </c>
      <c r="L516" s="46" t="inlineStr">
        <is>
          <t>0.3</t>
        </is>
      </c>
      <c r="M516" s="73" t="inlineStr">
        <is>
          <t>Complete</t>
        </is>
      </c>
    </row>
    <row r="517" ht="13.5" customHeight="1" s="38">
      <c r="A517" s="46" t="inlineStr">
        <is>
          <t>Z_S2_SC02_I04</t>
        </is>
      </c>
      <c r="B517" s="46" t="inlineStr">
        <is>
          <t>R_0516</t>
        </is>
      </c>
      <c r="C517" s="46" t="inlineStr">
        <is>
          <t>Strategy 2 – Zero-Shot + Template + BLUF</t>
        </is>
      </c>
      <c r="D517" s="46" t="inlineStr">
        <is>
          <t>SC02</t>
        </is>
      </c>
      <c r="E517" s="46" t="inlineStr">
        <is>
          <t>Zero-Day / Edge Device</t>
        </is>
      </c>
      <c r="F517" s="47" t="n">
        <v>4</v>
      </c>
      <c r="G517" s="46" t="inlineStr">
        <is>
          <t>Gemma3:27b via Ollama</t>
        </is>
      </c>
      <c r="H517" s="48" t="n">
        <v>46163</v>
      </c>
      <c r="I517" s="46" t="inlineStr">
        <is>
          <t>8.359</t>
        </is>
      </c>
      <c r="J517" s="46" t="inlineStr">
        <is>
          <t>66.27</t>
        </is>
      </c>
      <c r="K517" s="46" t="inlineStr">
        <is>
          <t>Gemma3:27b</t>
        </is>
      </c>
      <c r="L517" s="46" t="inlineStr">
        <is>
          <t>0.3</t>
        </is>
      </c>
      <c r="M517" s="73" t="inlineStr">
        <is>
          <t>Complete</t>
        </is>
      </c>
    </row>
    <row r="518" ht="13.5" customHeight="1" s="38">
      <c r="A518" s="46" t="inlineStr">
        <is>
          <t>Z_S2_SC02_I05</t>
        </is>
      </c>
      <c r="B518" s="46" t="inlineStr">
        <is>
          <t>R_0936</t>
        </is>
      </c>
      <c r="C518" s="46" t="inlineStr">
        <is>
          <t>Strategy 2 – Zero-Shot + Template + BLUF</t>
        </is>
      </c>
      <c r="D518" s="46" t="inlineStr">
        <is>
          <t>SC02</t>
        </is>
      </c>
      <c r="E518" s="46" t="inlineStr">
        <is>
          <t>Zero-Day / Edge Device</t>
        </is>
      </c>
      <c r="F518" s="47" t="n">
        <v>5</v>
      </c>
      <c r="G518" s="46" t="inlineStr">
        <is>
          <t>Gemma3:27b via Ollama</t>
        </is>
      </c>
      <c r="H518" s="48" t="n">
        <v>46163</v>
      </c>
      <c r="I518" s="46" t="inlineStr">
        <is>
          <t>7.871</t>
        </is>
      </c>
      <c r="J518" s="46" t="inlineStr">
        <is>
          <t>67.08</t>
        </is>
      </c>
      <c r="K518" s="46" t="inlineStr">
        <is>
          <t>Gemma3:27b</t>
        </is>
      </c>
      <c r="L518" s="46" t="inlineStr">
        <is>
          <t>0.3</t>
        </is>
      </c>
      <c r="M518" s="73" t="inlineStr">
        <is>
          <t>Complete</t>
        </is>
      </c>
    </row>
    <row r="519" ht="13.5" customHeight="1" s="38">
      <c r="A519" s="46" t="inlineStr">
        <is>
          <t>Z_S2_SC02_I06</t>
        </is>
      </c>
      <c r="B519" s="46" t="inlineStr">
        <is>
          <t>R_0692</t>
        </is>
      </c>
      <c r="C519" s="46" t="inlineStr">
        <is>
          <t>Strategy 2 – Zero-Shot + Template + BLUF</t>
        </is>
      </c>
      <c r="D519" s="46" t="inlineStr">
        <is>
          <t>SC02</t>
        </is>
      </c>
      <c r="E519" s="46" t="inlineStr">
        <is>
          <t>Zero-Day / Edge Device</t>
        </is>
      </c>
      <c r="F519" s="47" t="n">
        <v>6</v>
      </c>
      <c r="G519" s="46" t="inlineStr">
        <is>
          <t>Gemma3:27b via Ollama</t>
        </is>
      </c>
      <c r="H519" s="48" t="n">
        <v>46163</v>
      </c>
      <c r="I519" s="46" t="inlineStr">
        <is>
          <t>8.158</t>
        </is>
      </c>
      <c r="J519" s="46" t="inlineStr">
        <is>
          <t>66.44</t>
        </is>
      </c>
      <c r="K519" s="46" t="inlineStr">
        <is>
          <t>Gemma3:27b</t>
        </is>
      </c>
      <c r="L519" s="46" t="inlineStr">
        <is>
          <t>0.3</t>
        </is>
      </c>
      <c r="M519" s="73" t="inlineStr">
        <is>
          <t>Complete</t>
        </is>
      </c>
    </row>
    <row r="520" ht="13.5" customHeight="1" s="38">
      <c r="A520" s="46" t="inlineStr">
        <is>
          <t>Z_S2_SC02_I07</t>
        </is>
      </c>
      <c r="B520" s="46" t="inlineStr">
        <is>
          <t>R_0337</t>
        </is>
      </c>
      <c r="C520" s="46" t="inlineStr">
        <is>
          <t>Strategy 2 – Zero-Shot + Template + BLUF</t>
        </is>
      </c>
      <c r="D520" s="46" t="inlineStr">
        <is>
          <t>SC02</t>
        </is>
      </c>
      <c r="E520" s="46" t="inlineStr">
        <is>
          <t>Zero-Day / Edge Device</t>
        </is>
      </c>
      <c r="F520" s="47" t="n">
        <v>7</v>
      </c>
      <c r="G520" s="46" t="inlineStr">
        <is>
          <t>Gemma3:27b via Ollama</t>
        </is>
      </c>
      <c r="H520" s="48" t="n">
        <v>46163</v>
      </c>
      <c r="I520" s="46" t="inlineStr">
        <is>
          <t>9.292</t>
        </is>
      </c>
      <c r="J520" s="46" t="inlineStr">
        <is>
          <t>66.40</t>
        </is>
      </c>
      <c r="K520" s="46" t="inlineStr">
        <is>
          <t>Gemma3:27b</t>
        </is>
      </c>
      <c r="L520" s="46" t="inlineStr">
        <is>
          <t>0.3</t>
        </is>
      </c>
      <c r="M520" s="73" t="inlineStr">
        <is>
          <t>Complete</t>
        </is>
      </c>
    </row>
    <row r="521" ht="13.5" customHeight="1" s="38">
      <c r="A521" s="46" t="inlineStr">
        <is>
          <t>Z_S2_SC02_I08</t>
        </is>
      </c>
      <c r="B521" s="46" t="inlineStr">
        <is>
          <t>R_0760</t>
        </is>
      </c>
      <c r="C521" s="46" t="inlineStr">
        <is>
          <t>Strategy 2 – Zero-Shot + Template + BLUF</t>
        </is>
      </c>
      <c r="D521" s="46" t="inlineStr">
        <is>
          <t>SC02</t>
        </is>
      </c>
      <c r="E521" s="46" t="inlineStr">
        <is>
          <t>Zero-Day / Edge Device</t>
        </is>
      </c>
      <c r="F521" s="47" t="n">
        <v>8</v>
      </c>
      <c r="G521" s="46" t="inlineStr">
        <is>
          <t>Gemma3:27b via Ollama</t>
        </is>
      </c>
      <c r="H521" s="48" t="n">
        <v>46163</v>
      </c>
      <c r="I521" s="46" t="inlineStr">
        <is>
          <t>8.363</t>
        </is>
      </c>
      <c r="J521" s="46" t="inlineStr">
        <is>
          <t>67.20</t>
        </is>
      </c>
      <c r="K521" s="46" t="inlineStr">
        <is>
          <t>Gemma3:27b</t>
        </is>
      </c>
      <c r="L521" s="46" t="inlineStr">
        <is>
          <t>0.3</t>
        </is>
      </c>
      <c r="M521" s="73" t="inlineStr">
        <is>
          <t>Complete</t>
        </is>
      </c>
    </row>
    <row r="522" ht="13.5" customHeight="1" s="38">
      <c r="A522" s="46" t="inlineStr">
        <is>
          <t>Z_S2_SC02_I09</t>
        </is>
      </c>
      <c r="B522" s="46" t="inlineStr">
        <is>
          <t>R_0198</t>
        </is>
      </c>
      <c r="C522" s="46" t="inlineStr">
        <is>
          <t>Strategy 2 – Zero-Shot + Template + BLUF</t>
        </is>
      </c>
      <c r="D522" s="46" t="inlineStr">
        <is>
          <t>SC02</t>
        </is>
      </c>
      <c r="E522" s="46" t="inlineStr">
        <is>
          <t>Zero-Day / Edge Device</t>
        </is>
      </c>
      <c r="F522" s="47" t="n">
        <v>9</v>
      </c>
      <c r="G522" s="46" t="inlineStr">
        <is>
          <t>Gemma3:27b via Ollama</t>
        </is>
      </c>
      <c r="H522" s="48" t="n">
        <v>46163</v>
      </c>
      <c r="I522" s="46" t="inlineStr">
        <is>
          <t>7.917</t>
        </is>
      </c>
      <c r="J522" s="46" t="inlineStr">
        <is>
          <t>66.32</t>
        </is>
      </c>
      <c r="K522" s="46" t="inlineStr">
        <is>
          <t>Gemma3:27b</t>
        </is>
      </c>
      <c r="L522" s="46" t="inlineStr">
        <is>
          <t>0.3</t>
        </is>
      </c>
      <c r="M522" s="73" t="inlineStr">
        <is>
          <t>Complete</t>
        </is>
      </c>
    </row>
    <row r="523" ht="13.5" customHeight="1" s="38">
      <c r="A523" s="46" t="inlineStr">
        <is>
          <t>Z_S2_SC02_I10</t>
        </is>
      </c>
      <c r="B523" s="46" t="inlineStr">
        <is>
          <t>R_0025</t>
        </is>
      </c>
      <c r="C523" s="46" t="inlineStr">
        <is>
          <t>Strategy 2 – Zero-Shot + Template + BLUF</t>
        </is>
      </c>
      <c r="D523" s="46" t="inlineStr">
        <is>
          <t>SC02</t>
        </is>
      </c>
      <c r="E523" s="46" t="inlineStr">
        <is>
          <t>Zero-Day / Edge Device</t>
        </is>
      </c>
      <c r="F523" s="47" t="n">
        <v>10</v>
      </c>
      <c r="G523" s="46" t="inlineStr">
        <is>
          <t>Gemma3:27b via Ollama</t>
        </is>
      </c>
      <c r="H523" s="48" t="n">
        <v>46163</v>
      </c>
      <c r="I523" s="46" t="inlineStr">
        <is>
          <t>7.575</t>
        </is>
      </c>
      <c r="J523" s="46" t="inlineStr">
        <is>
          <t>67.19</t>
        </is>
      </c>
      <c r="K523" s="46" t="inlineStr">
        <is>
          <t>Gemma3:27b</t>
        </is>
      </c>
      <c r="L523" s="46" t="inlineStr">
        <is>
          <t>0.3</t>
        </is>
      </c>
      <c r="M523" s="73" t="inlineStr">
        <is>
          <t>Complete</t>
        </is>
      </c>
    </row>
    <row r="524" ht="13.5" customHeight="1" s="38">
      <c r="A524" s="46" t="inlineStr">
        <is>
          <t>Z_S2_SC03_I01</t>
        </is>
      </c>
      <c r="B524" s="46" t="inlineStr">
        <is>
          <t>R_0229</t>
        </is>
      </c>
      <c r="C524" s="46" t="inlineStr">
        <is>
          <t>Strategy 2 – Zero-Shot + Template + BLUF</t>
        </is>
      </c>
      <c r="D524" s="46" t="inlineStr">
        <is>
          <t>SC03</t>
        </is>
      </c>
      <c r="E524" s="46" t="inlineStr">
        <is>
          <t>Zero-Day / Edge Device</t>
        </is>
      </c>
      <c r="F524" s="47" t="n">
        <v>1</v>
      </c>
      <c r="G524" s="46" t="inlineStr">
        <is>
          <t>Gemma3:27b via Ollama</t>
        </is>
      </c>
      <c r="H524" s="48" t="n">
        <v>46163</v>
      </c>
      <c r="I524" s="46" t="inlineStr">
        <is>
          <t>7.153</t>
        </is>
      </c>
      <c r="J524" s="46" t="inlineStr">
        <is>
          <t>65.98</t>
        </is>
      </c>
      <c r="K524" s="46" t="inlineStr">
        <is>
          <t>Gemma3:27b</t>
        </is>
      </c>
      <c r="L524" s="46" t="inlineStr">
        <is>
          <t>0.3</t>
        </is>
      </c>
      <c r="M524" s="73" t="inlineStr">
        <is>
          <t>Complete</t>
        </is>
      </c>
    </row>
    <row r="525" ht="13.5" customHeight="1" s="38">
      <c r="A525" s="46" t="inlineStr">
        <is>
          <t>Z_S2_SC03_I02</t>
        </is>
      </c>
      <c r="B525" s="46" t="inlineStr">
        <is>
          <t>R_0933</t>
        </is>
      </c>
      <c r="C525" s="46" t="inlineStr">
        <is>
          <t>Strategy 2 – Zero-Shot + Template + BLUF</t>
        </is>
      </c>
      <c r="D525" s="46" t="inlineStr">
        <is>
          <t>SC03</t>
        </is>
      </c>
      <c r="E525" s="46" t="inlineStr">
        <is>
          <t>Zero-Day / Edge Device</t>
        </is>
      </c>
      <c r="F525" s="47" t="n">
        <v>2</v>
      </c>
      <c r="G525" s="46" t="inlineStr">
        <is>
          <t>Gemma3:27b via Ollama</t>
        </is>
      </c>
      <c r="H525" s="48" t="n">
        <v>46163</v>
      </c>
      <c r="I525" s="46" t="inlineStr">
        <is>
          <t>7.375</t>
        </is>
      </c>
      <c r="J525" s="46" t="inlineStr">
        <is>
          <t>67.25</t>
        </is>
      </c>
      <c r="K525" s="46" t="inlineStr">
        <is>
          <t>Gemma3:27b</t>
        </is>
      </c>
      <c r="L525" s="46" t="inlineStr">
        <is>
          <t>0.3</t>
        </is>
      </c>
      <c r="M525" s="73" t="inlineStr">
        <is>
          <t>Complete</t>
        </is>
      </c>
    </row>
    <row r="526" ht="13.5" customHeight="1" s="38">
      <c r="A526" s="46" t="inlineStr">
        <is>
          <t>Z_S2_SC03_I03</t>
        </is>
      </c>
      <c r="B526" s="46" t="inlineStr">
        <is>
          <t>R_0313</t>
        </is>
      </c>
      <c r="C526" s="46" t="inlineStr">
        <is>
          <t>Strategy 2 – Zero-Shot + Template + BLUF</t>
        </is>
      </c>
      <c r="D526" s="46" t="inlineStr">
        <is>
          <t>SC03</t>
        </is>
      </c>
      <c r="E526" s="46" t="inlineStr">
        <is>
          <t>Zero-Day / Edge Device</t>
        </is>
      </c>
      <c r="F526" s="47" t="n">
        <v>3</v>
      </c>
      <c r="G526" s="46" t="inlineStr">
        <is>
          <t>Gemma3:27b via Ollama</t>
        </is>
      </c>
      <c r="H526" s="48" t="n">
        <v>46163</v>
      </c>
      <c r="I526" s="46" t="inlineStr">
        <is>
          <t>7.165</t>
        </is>
      </c>
      <c r="J526" s="46" t="inlineStr">
        <is>
          <t>65.18</t>
        </is>
      </c>
      <c r="K526" s="46" t="inlineStr">
        <is>
          <t>Gemma3:27b</t>
        </is>
      </c>
      <c r="L526" s="46" t="inlineStr">
        <is>
          <t>0.3</t>
        </is>
      </c>
      <c r="M526" s="73" t="inlineStr">
        <is>
          <t>Complete</t>
        </is>
      </c>
    </row>
    <row r="527" ht="13.5" customHeight="1" s="38">
      <c r="A527" s="46" t="inlineStr">
        <is>
          <t>Z_S2_SC03_I04</t>
        </is>
      </c>
      <c r="B527" s="46" t="inlineStr">
        <is>
          <t>R_0359</t>
        </is>
      </c>
      <c r="C527" s="46" t="inlineStr">
        <is>
          <t>Strategy 2 – Zero-Shot + Template + BLUF</t>
        </is>
      </c>
      <c r="D527" s="46" t="inlineStr">
        <is>
          <t>SC03</t>
        </is>
      </c>
      <c r="E527" s="46" t="inlineStr">
        <is>
          <t>Zero-Day / Edge Device</t>
        </is>
      </c>
      <c r="F527" s="47" t="n">
        <v>4</v>
      </c>
      <c r="G527" s="46" t="inlineStr">
        <is>
          <t>Gemma3:27b via Ollama</t>
        </is>
      </c>
      <c r="H527" s="48" t="n">
        <v>46163</v>
      </c>
      <c r="I527" s="46" t="inlineStr">
        <is>
          <t>7.133</t>
        </is>
      </c>
      <c r="J527" s="46" t="inlineStr">
        <is>
          <t>67.29</t>
        </is>
      </c>
      <c r="K527" s="46" t="inlineStr">
        <is>
          <t>Gemma3:27b</t>
        </is>
      </c>
      <c r="L527" s="46" t="inlineStr">
        <is>
          <t>0.3</t>
        </is>
      </c>
      <c r="M527" s="73" t="inlineStr">
        <is>
          <t>Complete</t>
        </is>
      </c>
    </row>
    <row r="528" ht="13.5" customHeight="1" s="38">
      <c r="A528" s="46" t="inlineStr">
        <is>
          <t>Z_S2_SC03_I05</t>
        </is>
      </c>
      <c r="B528" s="46" t="inlineStr">
        <is>
          <t>R_0472</t>
        </is>
      </c>
      <c r="C528" s="46" t="inlineStr">
        <is>
          <t>Strategy 2 – Zero-Shot + Template + BLUF</t>
        </is>
      </c>
      <c r="D528" s="46" t="inlineStr">
        <is>
          <t>SC03</t>
        </is>
      </c>
      <c r="E528" s="46" t="inlineStr">
        <is>
          <t>Zero-Day / Edge Device</t>
        </is>
      </c>
      <c r="F528" s="47" t="n">
        <v>5</v>
      </c>
      <c r="G528" s="46" t="inlineStr">
        <is>
          <t>Gemma3:27b via Ollama</t>
        </is>
      </c>
      <c r="H528" s="48" t="n">
        <v>46163</v>
      </c>
      <c r="I528" s="46" t="inlineStr">
        <is>
          <t>7.770</t>
        </is>
      </c>
      <c r="J528" s="46" t="inlineStr">
        <is>
          <t>64.87</t>
        </is>
      </c>
      <c r="K528" s="46" t="inlineStr">
        <is>
          <t>Gemma3:27b</t>
        </is>
      </c>
      <c r="L528" s="46" t="inlineStr">
        <is>
          <t>0.3</t>
        </is>
      </c>
      <c r="M528" s="73" t="inlineStr">
        <is>
          <t>Complete</t>
        </is>
      </c>
    </row>
    <row r="529" ht="13.5" customHeight="1" s="38">
      <c r="A529" s="46" t="inlineStr">
        <is>
          <t>Z_S2_SC03_I06</t>
        </is>
      </c>
      <c r="B529" s="46" t="inlineStr">
        <is>
          <t>R_0205</t>
        </is>
      </c>
      <c r="C529" s="46" t="inlineStr">
        <is>
          <t>Strategy 2 – Zero-Shot + Template + BLUF</t>
        </is>
      </c>
      <c r="D529" s="46" t="inlineStr">
        <is>
          <t>SC03</t>
        </is>
      </c>
      <c r="E529" s="46" t="inlineStr">
        <is>
          <t>Zero-Day / Edge Device</t>
        </is>
      </c>
      <c r="F529" s="47" t="n">
        <v>6</v>
      </c>
      <c r="G529" s="46" t="inlineStr">
        <is>
          <t>Gemma3:27b via Ollama</t>
        </is>
      </c>
      <c r="H529" s="48" t="n">
        <v>46163</v>
      </c>
      <c r="I529" s="46" t="inlineStr">
        <is>
          <t>7.697</t>
        </is>
      </c>
      <c r="J529" s="46" t="inlineStr">
        <is>
          <t>66.52</t>
        </is>
      </c>
      <c r="K529" s="46" t="inlineStr">
        <is>
          <t>Gemma3:27b</t>
        </is>
      </c>
      <c r="L529" s="46" t="inlineStr">
        <is>
          <t>0.3</t>
        </is>
      </c>
      <c r="M529" s="73" t="inlineStr">
        <is>
          <t>Complete</t>
        </is>
      </c>
    </row>
    <row r="530" ht="13.5" customHeight="1" s="38">
      <c r="A530" s="46" t="inlineStr">
        <is>
          <t>Z_S2_SC03_I07</t>
        </is>
      </c>
      <c r="B530" s="46" t="inlineStr">
        <is>
          <t>R_0228</t>
        </is>
      </c>
      <c r="C530" s="46" t="inlineStr">
        <is>
          <t>Strategy 2 – Zero-Shot + Template + BLUF</t>
        </is>
      </c>
      <c r="D530" s="46" t="inlineStr">
        <is>
          <t>SC03</t>
        </is>
      </c>
      <c r="E530" s="46" t="inlineStr">
        <is>
          <t>Zero-Day / Edge Device</t>
        </is>
      </c>
      <c r="F530" s="47" t="n">
        <v>7</v>
      </c>
      <c r="G530" s="46" t="inlineStr">
        <is>
          <t>Gemma3:27b via Ollama</t>
        </is>
      </c>
      <c r="H530" s="48" t="n">
        <v>46163</v>
      </c>
      <c r="I530" s="46" t="inlineStr">
        <is>
          <t>7.489</t>
        </is>
      </c>
      <c r="J530" s="46" t="inlineStr">
        <is>
          <t>67.17</t>
        </is>
      </c>
      <c r="K530" s="46" t="inlineStr">
        <is>
          <t>Gemma3:27b</t>
        </is>
      </c>
      <c r="L530" s="46" t="inlineStr">
        <is>
          <t>0.3</t>
        </is>
      </c>
      <c r="M530" s="73" t="inlineStr">
        <is>
          <t>Complete</t>
        </is>
      </c>
    </row>
    <row r="531" ht="13.5" customHeight="1" s="38">
      <c r="A531" s="46" t="inlineStr">
        <is>
          <t>Z_S2_SC03_I08</t>
        </is>
      </c>
      <c r="B531" s="46" t="inlineStr">
        <is>
          <t>R_0482</t>
        </is>
      </c>
      <c r="C531" s="46" t="inlineStr">
        <is>
          <t>Strategy 2 – Zero-Shot + Template + BLUF</t>
        </is>
      </c>
      <c r="D531" s="46" t="inlineStr">
        <is>
          <t>SC03</t>
        </is>
      </c>
      <c r="E531" s="46" t="inlineStr">
        <is>
          <t>Zero-Day / Edge Device</t>
        </is>
      </c>
      <c r="F531" s="47" t="n">
        <v>8</v>
      </c>
      <c r="G531" s="46" t="inlineStr">
        <is>
          <t>Gemma3:27b via Ollama</t>
        </is>
      </c>
      <c r="H531" s="48" t="n">
        <v>46163</v>
      </c>
      <c r="I531" s="46" t="inlineStr">
        <is>
          <t>8.048</t>
        </is>
      </c>
      <c r="J531" s="46" t="inlineStr">
        <is>
          <t>64.86</t>
        </is>
      </c>
      <c r="K531" s="46" t="inlineStr">
        <is>
          <t>Gemma3:27b</t>
        </is>
      </c>
      <c r="L531" s="46" t="inlineStr">
        <is>
          <t>0.3</t>
        </is>
      </c>
      <c r="M531" s="73" t="inlineStr">
        <is>
          <t>Complete</t>
        </is>
      </c>
    </row>
    <row r="532" ht="13.5" customHeight="1" s="38">
      <c r="A532" s="46" t="inlineStr">
        <is>
          <t>Z_S2_SC03_I09</t>
        </is>
      </c>
      <c r="B532" s="46" t="inlineStr">
        <is>
          <t>R_0040</t>
        </is>
      </c>
      <c r="C532" s="46" t="inlineStr">
        <is>
          <t>Strategy 2 – Zero-Shot + Template + BLUF</t>
        </is>
      </c>
      <c r="D532" s="46" t="inlineStr">
        <is>
          <t>SC03</t>
        </is>
      </c>
      <c r="E532" s="46" t="inlineStr">
        <is>
          <t>Zero-Day / Edge Device</t>
        </is>
      </c>
      <c r="F532" s="47" t="n">
        <v>9</v>
      </c>
      <c r="G532" s="46" t="inlineStr">
        <is>
          <t>Gemma3:27b via Ollama</t>
        </is>
      </c>
      <c r="H532" s="48" t="n">
        <v>46163</v>
      </c>
      <c r="I532" s="46" t="inlineStr">
        <is>
          <t>7.472</t>
        </is>
      </c>
      <c r="J532" s="46" t="inlineStr">
        <is>
          <t>66.11</t>
        </is>
      </c>
      <c r="K532" s="46" t="inlineStr">
        <is>
          <t>Gemma3:27b</t>
        </is>
      </c>
      <c r="L532" s="46" t="inlineStr">
        <is>
          <t>0.3</t>
        </is>
      </c>
      <c r="M532" s="73" t="inlineStr">
        <is>
          <t>Complete</t>
        </is>
      </c>
    </row>
    <row r="533" ht="13.5" customHeight="1" s="38">
      <c r="A533" s="46" t="inlineStr">
        <is>
          <t>Z_S2_SC03_I10</t>
        </is>
      </c>
      <c r="B533" s="46" t="inlineStr">
        <is>
          <t>R_0392</t>
        </is>
      </c>
      <c r="C533" s="46" t="inlineStr">
        <is>
          <t>Strategy 2 – Zero-Shot + Template + BLUF</t>
        </is>
      </c>
      <c r="D533" s="46" t="inlineStr">
        <is>
          <t>SC03</t>
        </is>
      </c>
      <c r="E533" s="46" t="inlineStr">
        <is>
          <t>Zero-Day / Edge Device</t>
        </is>
      </c>
      <c r="F533" s="47" t="n">
        <v>10</v>
      </c>
      <c r="G533" s="46" t="inlineStr">
        <is>
          <t>Gemma3:27b via Ollama</t>
        </is>
      </c>
      <c r="H533" s="48" t="n">
        <v>46163</v>
      </c>
      <c r="I533" s="46" t="inlineStr">
        <is>
          <t>7.514</t>
        </is>
      </c>
      <c r="J533" s="46" t="inlineStr">
        <is>
          <t>67.21</t>
        </is>
      </c>
      <c r="K533" s="46" t="inlineStr">
        <is>
          <t>Gemma3:27b</t>
        </is>
      </c>
      <c r="L533" s="46" t="inlineStr">
        <is>
          <t>0.3</t>
        </is>
      </c>
      <c r="M533" s="73" t="inlineStr">
        <is>
          <t>Complete</t>
        </is>
      </c>
    </row>
    <row r="534" ht="13.5" customHeight="1" s="38">
      <c r="A534" s="46" t="inlineStr">
        <is>
          <t>Z_S2_SC04_I01</t>
        </is>
      </c>
      <c r="B534" s="46" t="inlineStr">
        <is>
          <t>R_0111</t>
        </is>
      </c>
      <c r="C534" s="46" t="inlineStr">
        <is>
          <t>Strategy 2 – Zero-Shot + Template + BLUF</t>
        </is>
      </c>
      <c r="D534" s="46" t="inlineStr">
        <is>
          <t>SC04</t>
        </is>
      </c>
      <c r="E534" s="46" t="inlineStr">
        <is>
          <t>Zero-Day / Edge Device</t>
        </is>
      </c>
      <c r="F534" s="47" t="n">
        <v>1</v>
      </c>
      <c r="G534" s="46" t="inlineStr">
        <is>
          <t>Gemma3:27b via Ollama</t>
        </is>
      </c>
      <c r="H534" s="48" t="n">
        <v>46166</v>
      </c>
      <c r="I534" s="46" t="inlineStr">
        <is>
          <t>8.101</t>
        </is>
      </c>
      <c r="J534" s="46" t="inlineStr">
        <is>
          <t>65.80</t>
        </is>
      </c>
      <c r="K534" s="46" t="inlineStr">
        <is>
          <t>Gemma3:27b</t>
        </is>
      </c>
      <c r="L534" s="46" t="inlineStr">
        <is>
          <t>0.3</t>
        </is>
      </c>
      <c r="M534" s="73" t="inlineStr">
        <is>
          <t>Complete</t>
        </is>
      </c>
    </row>
    <row r="535" ht="13.5" customHeight="1" s="38">
      <c r="A535" s="46" t="inlineStr">
        <is>
          <t>Z_S2_SC04_I02</t>
        </is>
      </c>
      <c r="B535" s="46" t="inlineStr">
        <is>
          <t>R_0847</t>
        </is>
      </c>
      <c r="C535" s="46" t="inlineStr">
        <is>
          <t>Strategy 2 – Zero-Shot + Template + BLUF</t>
        </is>
      </c>
      <c r="D535" s="46" t="inlineStr">
        <is>
          <t>SC04</t>
        </is>
      </c>
      <c r="E535" s="46" t="inlineStr">
        <is>
          <t>Zero-Day / Edge Device</t>
        </is>
      </c>
      <c r="F535" s="47" t="n">
        <v>2</v>
      </c>
      <c r="G535" s="46" t="inlineStr">
        <is>
          <t>Gemma3:27b via Ollama</t>
        </is>
      </c>
      <c r="H535" s="48" t="n">
        <v>46166</v>
      </c>
      <c r="I535" s="46" t="inlineStr">
        <is>
          <t>6.544</t>
        </is>
      </c>
      <c r="J535" s="46" t="inlineStr">
        <is>
          <t>67.09</t>
        </is>
      </c>
      <c r="K535" s="46" t="inlineStr">
        <is>
          <t>Gemma3:27b</t>
        </is>
      </c>
      <c r="L535" s="46" t="inlineStr">
        <is>
          <t>0.3</t>
        </is>
      </c>
      <c r="M535" s="73" t="inlineStr">
        <is>
          <t>Complete</t>
        </is>
      </c>
    </row>
    <row r="536" ht="13.5" customHeight="1" s="38">
      <c r="A536" s="46" t="inlineStr">
        <is>
          <t>Z_S2_SC04_I03</t>
        </is>
      </c>
      <c r="B536" s="46" t="inlineStr">
        <is>
          <t>R_0956</t>
        </is>
      </c>
      <c r="C536" s="46" t="inlineStr">
        <is>
          <t>Strategy 2 – Zero-Shot + Template + BLUF</t>
        </is>
      </c>
      <c r="D536" s="46" t="inlineStr">
        <is>
          <t>SC04</t>
        </is>
      </c>
      <c r="E536" s="46" t="inlineStr">
        <is>
          <t>Zero-Day / Edge Device</t>
        </is>
      </c>
      <c r="F536" s="47" t="n">
        <v>3</v>
      </c>
      <c r="G536" s="46" t="inlineStr">
        <is>
          <t>Gemma3:27b via Ollama</t>
        </is>
      </c>
      <c r="H536" s="48" t="n">
        <v>46166</v>
      </c>
      <c r="I536" s="46" t="inlineStr">
        <is>
          <t>7.586</t>
        </is>
      </c>
      <c r="J536" s="46" t="inlineStr">
        <is>
          <t>65.91</t>
        </is>
      </c>
      <c r="K536" s="46" t="inlineStr">
        <is>
          <t>Gemma3:27b</t>
        </is>
      </c>
      <c r="L536" s="46" t="inlineStr">
        <is>
          <t>0.3</t>
        </is>
      </c>
      <c r="M536" s="73" t="inlineStr">
        <is>
          <t>Complete</t>
        </is>
      </c>
    </row>
    <row r="537" ht="13.5" customHeight="1" s="38">
      <c r="A537" s="46" t="inlineStr">
        <is>
          <t>Z_S2_SC04_I04</t>
        </is>
      </c>
      <c r="B537" s="46" t="inlineStr">
        <is>
          <t>R_0912</t>
        </is>
      </c>
      <c r="C537" s="46" t="inlineStr">
        <is>
          <t>Strategy 2 – Zero-Shot + Template + BLUF</t>
        </is>
      </c>
      <c r="D537" s="46" t="inlineStr">
        <is>
          <t>SC04</t>
        </is>
      </c>
      <c r="E537" s="46" t="inlineStr">
        <is>
          <t>Zero-Day / Edge Device</t>
        </is>
      </c>
      <c r="F537" s="47" t="n">
        <v>4</v>
      </c>
      <c r="G537" s="46" t="inlineStr">
        <is>
          <t>Gemma3:27b via Ollama</t>
        </is>
      </c>
      <c r="H537" s="48" t="n">
        <v>46166</v>
      </c>
      <c r="I537" s="46" t="inlineStr">
        <is>
          <t>7.188</t>
        </is>
      </c>
      <c r="J537" s="46" t="inlineStr">
        <is>
          <t>67.48</t>
        </is>
      </c>
      <c r="K537" s="46" t="inlineStr">
        <is>
          <t>Gemma3:27b</t>
        </is>
      </c>
      <c r="L537" s="46" t="inlineStr">
        <is>
          <t>0.3</t>
        </is>
      </c>
      <c r="M537" s="73" t="inlineStr">
        <is>
          <t>Complete</t>
        </is>
      </c>
    </row>
    <row r="538" ht="13.5" customHeight="1" s="38">
      <c r="A538" s="46" t="inlineStr">
        <is>
          <t>Z_S2_SC04_I05</t>
        </is>
      </c>
      <c r="B538" s="46" t="inlineStr">
        <is>
          <t>R_0422</t>
        </is>
      </c>
      <c r="C538" s="46" t="inlineStr">
        <is>
          <t>Strategy 2 – Zero-Shot + Template + BLUF</t>
        </is>
      </c>
      <c r="D538" s="46" t="inlineStr">
        <is>
          <t>SC04</t>
        </is>
      </c>
      <c r="E538" s="46" t="inlineStr">
        <is>
          <t>Zero-Day / Edge Device</t>
        </is>
      </c>
      <c r="F538" s="47" t="n">
        <v>5</v>
      </c>
      <c r="G538" s="46" t="inlineStr">
        <is>
          <t>Gemma3:27b via Ollama</t>
        </is>
      </c>
      <c r="H538" s="48" t="n">
        <v>46166</v>
      </c>
      <c r="I538" s="46" t="inlineStr">
        <is>
          <t>7.004</t>
        </is>
      </c>
      <c r="J538" s="46" t="inlineStr">
        <is>
          <t>66.96</t>
        </is>
      </c>
      <c r="K538" s="46" t="inlineStr">
        <is>
          <t>Gemma3:27b</t>
        </is>
      </c>
      <c r="L538" s="46" t="inlineStr">
        <is>
          <t>0.3</t>
        </is>
      </c>
      <c r="M538" s="73" t="inlineStr">
        <is>
          <t>Complete</t>
        </is>
      </c>
    </row>
    <row r="539" ht="13.5" customHeight="1" s="38">
      <c r="A539" s="46" t="inlineStr">
        <is>
          <t>Z_S2_SC04_I06</t>
        </is>
      </c>
      <c r="B539" s="46" t="inlineStr">
        <is>
          <t>R_0341</t>
        </is>
      </c>
      <c r="C539" s="46" t="inlineStr">
        <is>
          <t>Strategy 2 – Zero-Shot + Template + BLUF</t>
        </is>
      </c>
      <c r="D539" s="46" t="inlineStr">
        <is>
          <t>SC04</t>
        </is>
      </c>
      <c r="E539" s="46" t="inlineStr">
        <is>
          <t>Zero-Day / Edge Device</t>
        </is>
      </c>
      <c r="F539" s="47" t="n">
        <v>6</v>
      </c>
      <c r="G539" s="46" t="inlineStr">
        <is>
          <t>Gemma3:27b via Ollama</t>
        </is>
      </c>
      <c r="H539" s="48" t="n">
        <v>46166</v>
      </c>
      <c r="I539" s="46" t="inlineStr">
        <is>
          <t>8.056</t>
        </is>
      </c>
      <c r="J539" s="46" t="inlineStr">
        <is>
          <t>65.79</t>
        </is>
      </c>
      <c r="K539" s="46" t="inlineStr">
        <is>
          <t>Gemma3:27b</t>
        </is>
      </c>
      <c r="L539" s="46" t="inlineStr">
        <is>
          <t>0.3</t>
        </is>
      </c>
      <c r="M539" s="73" t="inlineStr">
        <is>
          <t>Complete</t>
        </is>
      </c>
    </row>
    <row r="540" ht="13.5" customHeight="1" s="38">
      <c r="A540" s="46" t="inlineStr">
        <is>
          <t>Z_S2_SC04_I07</t>
        </is>
      </c>
      <c r="B540" s="46" t="inlineStr">
        <is>
          <t>R_0184</t>
        </is>
      </c>
      <c r="C540" s="46" t="inlineStr">
        <is>
          <t>Strategy 2 – Zero-Shot + Template + BLUF</t>
        </is>
      </c>
      <c r="D540" s="46" t="inlineStr">
        <is>
          <t>SC04</t>
        </is>
      </c>
      <c r="E540" s="46" t="inlineStr">
        <is>
          <t>Zero-Day / Edge Device</t>
        </is>
      </c>
      <c r="F540" s="47" t="n">
        <v>7</v>
      </c>
      <c r="G540" s="46" t="inlineStr">
        <is>
          <t>Gemma3:27b via Ollama</t>
        </is>
      </c>
      <c r="H540" s="48" t="n">
        <v>46166</v>
      </c>
      <c r="I540" s="46" t="inlineStr">
        <is>
          <t>7.197</t>
        </is>
      </c>
      <c r="J540" s="46" t="inlineStr">
        <is>
          <t>65.58</t>
        </is>
      </c>
      <c r="K540" s="46" t="inlineStr">
        <is>
          <t>Gemma3:27b</t>
        </is>
      </c>
      <c r="L540" s="46" t="inlineStr">
        <is>
          <t>0.3</t>
        </is>
      </c>
      <c r="M540" s="73" t="inlineStr">
        <is>
          <t>Complete</t>
        </is>
      </c>
    </row>
    <row r="541" ht="13.5" customHeight="1" s="38">
      <c r="A541" s="46" t="inlineStr">
        <is>
          <t>Z_S2_SC04_I08</t>
        </is>
      </c>
      <c r="B541" s="46" t="inlineStr">
        <is>
          <t>R_0026</t>
        </is>
      </c>
      <c r="C541" s="46" t="inlineStr">
        <is>
          <t>Strategy 2 – Zero-Shot + Template + BLUF</t>
        </is>
      </c>
      <c r="D541" s="46" t="inlineStr">
        <is>
          <t>SC04</t>
        </is>
      </c>
      <c r="E541" s="46" t="inlineStr">
        <is>
          <t>Zero-Day / Edge Device</t>
        </is>
      </c>
      <c r="F541" s="47" t="n">
        <v>8</v>
      </c>
      <c r="G541" s="46" t="inlineStr">
        <is>
          <t>Gemma3:27b via Ollama</t>
        </is>
      </c>
      <c r="H541" s="48" t="n">
        <v>46166</v>
      </c>
      <c r="I541" s="46" t="inlineStr">
        <is>
          <t>6.482</t>
        </is>
      </c>
      <c r="J541" s="46" t="inlineStr">
        <is>
          <t>67.88</t>
        </is>
      </c>
      <c r="K541" s="46" t="inlineStr">
        <is>
          <t>Gemma3:27b</t>
        </is>
      </c>
      <c r="L541" s="46" t="inlineStr">
        <is>
          <t>0.3</t>
        </is>
      </c>
      <c r="M541" s="73" t="inlineStr">
        <is>
          <t>Complete</t>
        </is>
      </c>
    </row>
    <row r="542" ht="13.5" customHeight="1" s="38">
      <c r="A542" s="46" t="inlineStr">
        <is>
          <t>Z_S2_SC04_I09</t>
        </is>
      </c>
      <c r="B542" s="46" t="inlineStr">
        <is>
          <t>R_0423</t>
        </is>
      </c>
      <c r="C542" s="46" t="inlineStr">
        <is>
          <t>Strategy 2 – Zero-Shot + Template + BLUF</t>
        </is>
      </c>
      <c r="D542" s="46" t="inlineStr">
        <is>
          <t>SC04</t>
        </is>
      </c>
      <c r="E542" s="46" t="inlineStr">
        <is>
          <t>Zero-Day / Edge Device</t>
        </is>
      </c>
      <c r="F542" s="47" t="n">
        <v>9</v>
      </c>
      <c r="G542" s="46" t="inlineStr">
        <is>
          <t>Gemma3:27b via Ollama</t>
        </is>
      </c>
      <c r="H542" s="48" t="n">
        <v>46166</v>
      </c>
      <c r="I542" s="46" t="inlineStr">
        <is>
          <t>7.277</t>
        </is>
      </c>
      <c r="J542" s="46" t="inlineStr">
        <is>
          <t>65.69</t>
        </is>
      </c>
      <c r="K542" s="46" t="inlineStr">
        <is>
          <t>Gemma3:27b</t>
        </is>
      </c>
      <c r="L542" s="46" t="inlineStr">
        <is>
          <t>0.3</t>
        </is>
      </c>
      <c r="M542" s="73" t="inlineStr">
        <is>
          <t>Complete</t>
        </is>
      </c>
    </row>
    <row r="543" ht="13.5" customHeight="1" s="38">
      <c r="A543" s="46" t="inlineStr">
        <is>
          <t>Z_S2_SC04_I10</t>
        </is>
      </c>
      <c r="B543" s="46" t="inlineStr">
        <is>
          <t>R_0182</t>
        </is>
      </c>
      <c r="C543" s="46" t="inlineStr">
        <is>
          <t>Strategy 2 – Zero-Shot + Template + BLUF</t>
        </is>
      </c>
      <c r="D543" s="46" t="inlineStr">
        <is>
          <t>SC04</t>
        </is>
      </c>
      <c r="E543" s="46" t="inlineStr">
        <is>
          <t>Zero-Day / Edge Device</t>
        </is>
      </c>
      <c r="F543" s="47" t="n">
        <v>10</v>
      </c>
      <c r="G543" s="46" t="inlineStr">
        <is>
          <t>Gemma3:27b via Ollama</t>
        </is>
      </c>
      <c r="H543" s="48" t="n">
        <v>46166</v>
      </c>
      <c r="I543" s="46" t="inlineStr">
        <is>
          <t>6.979</t>
        </is>
      </c>
      <c r="J543" s="46" t="inlineStr">
        <is>
          <t>67.77</t>
        </is>
      </c>
      <c r="K543" s="46" t="inlineStr">
        <is>
          <t>Gemma3:27b</t>
        </is>
      </c>
      <c r="L543" s="46" t="inlineStr">
        <is>
          <t>0.3</t>
        </is>
      </c>
      <c r="M543" s="73" t="inlineStr">
        <is>
          <t>Complete</t>
        </is>
      </c>
    </row>
    <row r="544" ht="13.5" customHeight="1" s="38">
      <c r="A544" s="46" t="inlineStr">
        <is>
          <t>Z_S2_SC05_I01</t>
        </is>
      </c>
      <c r="B544" s="46" t="inlineStr">
        <is>
          <t>R_0919</t>
        </is>
      </c>
      <c r="C544" s="46" t="inlineStr">
        <is>
          <t>Strategy 2 – Zero-Shot + Template + BLUF</t>
        </is>
      </c>
      <c r="D544" s="46" t="inlineStr">
        <is>
          <t>SC05</t>
        </is>
      </c>
      <c r="E544" s="46" t="inlineStr">
        <is>
          <t>Zero-Day / Edge Device</t>
        </is>
      </c>
      <c r="F544" s="47" t="n">
        <v>1</v>
      </c>
      <c r="G544" s="46" t="inlineStr">
        <is>
          <t>Gemma3:27b via Ollama</t>
        </is>
      </c>
      <c r="H544" s="48" t="n">
        <v>46166</v>
      </c>
      <c r="I544" s="46" t="inlineStr">
        <is>
          <t>8.139</t>
        </is>
      </c>
      <c r="J544" s="46" t="inlineStr">
        <is>
          <t>67.82</t>
        </is>
      </c>
      <c r="K544" s="46" t="inlineStr">
        <is>
          <t>Gemma3:27b</t>
        </is>
      </c>
      <c r="L544" s="46" t="inlineStr">
        <is>
          <t>0.3</t>
        </is>
      </c>
      <c r="M544" s="73" t="inlineStr">
        <is>
          <t>Complete</t>
        </is>
      </c>
    </row>
    <row r="545" ht="13.5" customHeight="1" s="38">
      <c r="A545" s="46" t="inlineStr">
        <is>
          <t>Z_S2_SC05_I02</t>
        </is>
      </c>
      <c r="B545" s="46" t="inlineStr">
        <is>
          <t>R_0680</t>
        </is>
      </c>
      <c r="C545" s="46" t="inlineStr">
        <is>
          <t>Strategy 2 – Zero-Shot + Template + BLUF</t>
        </is>
      </c>
      <c r="D545" s="46" t="inlineStr">
        <is>
          <t>SC05</t>
        </is>
      </c>
      <c r="E545" s="46" t="inlineStr">
        <is>
          <t>Zero-Day / Edge Device</t>
        </is>
      </c>
      <c r="F545" s="47" t="n">
        <v>2</v>
      </c>
      <c r="G545" s="46" t="inlineStr">
        <is>
          <t>Gemma3:27b via Ollama</t>
        </is>
      </c>
      <c r="H545" s="48" t="n">
        <v>46166</v>
      </c>
      <c r="I545" s="46" t="inlineStr">
        <is>
          <t>8.259</t>
        </is>
      </c>
      <c r="J545" s="46" t="inlineStr">
        <is>
          <t>65.87</t>
        </is>
      </c>
      <c r="K545" s="46" t="inlineStr">
        <is>
          <t>Gemma3:27b</t>
        </is>
      </c>
      <c r="L545" s="46" t="inlineStr">
        <is>
          <t>0.3</t>
        </is>
      </c>
      <c r="M545" s="73" t="inlineStr">
        <is>
          <t>Complete</t>
        </is>
      </c>
    </row>
    <row r="546" ht="13.5" customHeight="1" s="38">
      <c r="A546" s="46" t="inlineStr">
        <is>
          <t>Z_S2_SC05_I03</t>
        </is>
      </c>
      <c r="B546" s="46" t="inlineStr">
        <is>
          <t>R_0706</t>
        </is>
      </c>
      <c r="C546" s="46" t="inlineStr">
        <is>
          <t>Strategy 2 – Zero-Shot + Template + BLUF</t>
        </is>
      </c>
      <c r="D546" s="46" t="inlineStr">
        <is>
          <t>SC05</t>
        </is>
      </c>
      <c r="E546" s="46" t="inlineStr">
        <is>
          <t>Zero-Day / Edge Device</t>
        </is>
      </c>
      <c r="F546" s="47" t="n">
        <v>3</v>
      </c>
      <c r="G546" s="46" t="inlineStr">
        <is>
          <t>Gemma3:27b via Ollama</t>
        </is>
      </c>
      <c r="H546" s="48" t="n">
        <v>46166</v>
      </c>
      <c r="I546" s="46" t="inlineStr">
        <is>
          <t>8.029</t>
        </is>
      </c>
      <c r="J546" s="46" t="inlineStr">
        <is>
          <t>67.50</t>
        </is>
      </c>
      <c r="K546" s="46" t="inlineStr">
        <is>
          <t>Gemma3:27b</t>
        </is>
      </c>
      <c r="L546" s="46" t="inlineStr">
        <is>
          <t>0.3</t>
        </is>
      </c>
      <c r="M546" s="73" t="inlineStr">
        <is>
          <t>Complete</t>
        </is>
      </c>
    </row>
    <row r="547" ht="13.5" customHeight="1" s="38">
      <c r="A547" s="46" t="inlineStr">
        <is>
          <t>Z_S2_SC05_I04</t>
        </is>
      </c>
      <c r="B547" s="46" t="inlineStr">
        <is>
          <t>R_0934</t>
        </is>
      </c>
      <c r="C547" s="46" t="inlineStr">
        <is>
          <t>Strategy 2 – Zero-Shot + Template + BLUF</t>
        </is>
      </c>
      <c r="D547" s="46" t="inlineStr">
        <is>
          <t>SC05</t>
        </is>
      </c>
      <c r="E547" s="46" t="inlineStr">
        <is>
          <t>Zero-Day / Edge Device</t>
        </is>
      </c>
      <c r="F547" s="47" t="n">
        <v>4</v>
      </c>
      <c r="G547" s="46" t="inlineStr">
        <is>
          <t>Gemma3:27b via Ollama</t>
        </is>
      </c>
      <c r="H547" s="48" t="n">
        <v>46166</v>
      </c>
      <c r="I547" s="46" t="inlineStr">
        <is>
          <t>8.552</t>
        </is>
      </c>
      <c r="J547" s="46" t="inlineStr">
        <is>
          <t>66.06</t>
        </is>
      </c>
      <c r="K547" s="46" t="inlineStr">
        <is>
          <t>Gemma3:27b</t>
        </is>
      </c>
      <c r="L547" s="46" t="inlineStr">
        <is>
          <t>0.3</t>
        </is>
      </c>
      <c r="M547" s="73" t="inlineStr">
        <is>
          <t>Complete</t>
        </is>
      </c>
    </row>
    <row r="548" ht="13.5" customHeight="1" s="38">
      <c r="A548" s="46" t="inlineStr">
        <is>
          <t>Z_S2_SC05_I05</t>
        </is>
      </c>
      <c r="B548" s="46" t="inlineStr">
        <is>
          <t>R_0713</t>
        </is>
      </c>
      <c r="C548" s="46" t="inlineStr">
        <is>
          <t>Strategy 2 – Zero-Shot + Template + BLUF</t>
        </is>
      </c>
      <c r="D548" s="46" t="inlineStr">
        <is>
          <t>SC05</t>
        </is>
      </c>
      <c r="E548" s="46" t="inlineStr">
        <is>
          <t>Zero-Day / Edge Device</t>
        </is>
      </c>
      <c r="F548" s="47" t="n">
        <v>5</v>
      </c>
      <c r="G548" s="46" t="inlineStr">
        <is>
          <t>Gemma3:27b via Ollama</t>
        </is>
      </c>
      <c r="H548" s="48" t="n">
        <v>46166</v>
      </c>
      <c r="I548" s="46" t="inlineStr">
        <is>
          <t>8.136</t>
        </is>
      </c>
      <c r="J548" s="46" t="inlineStr">
        <is>
          <t>66.98</t>
        </is>
      </c>
      <c r="K548" s="46" t="inlineStr">
        <is>
          <t>Gemma3:27b</t>
        </is>
      </c>
      <c r="L548" s="46" t="inlineStr">
        <is>
          <t>0.3</t>
        </is>
      </c>
      <c r="M548" s="73" t="inlineStr">
        <is>
          <t>Complete</t>
        </is>
      </c>
    </row>
    <row r="549" ht="13.5" customHeight="1" s="38">
      <c r="A549" s="46" t="inlineStr">
        <is>
          <t>Z_S2_SC05_I06</t>
        </is>
      </c>
      <c r="B549" s="46" t="inlineStr">
        <is>
          <t>R_0106</t>
        </is>
      </c>
      <c r="C549" s="46" t="inlineStr">
        <is>
          <t>Strategy 2 – Zero-Shot + Template + BLUF</t>
        </is>
      </c>
      <c r="D549" s="46" t="inlineStr">
        <is>
          <t>SC05</t>
        </is>
      </c>
      <c r="E549" s="46" t="inlineStr">
        <is>
          <t>Zero-Day / Edge Device</t>
        </is>
      </c>
      <c r="F549" s="47" t="n">
        <v>6</v>
      </c>
      <c r="G549" s="46" t="inlineStr">
        <is>
          <t>Gemma3:27b via Ollama</t>
        </is>
      </c>
      <c r="H549" s="48" t="n">
        <v>46166</v>
      </c>
      <c r="I549" s="46" t="inlineStr">
        <is>
          <t>8.828</t>
        </is>
      </c>
      <c r="J549" s="46" t="inlineStr">
        <is>
          <t>67.40</t>
        </is>
      </c>
      <c r="K549" s="46" t="inlineStr">
        <is>
          <t>Gemma3:27b</t>
        </is>
      </c>
      <c r="L549" s="46" t="inlineStr">
        <is>
          <t>0.3</t>
        </is>
      </c>
      <c r="M549" s="73" t="inlineStr">
        <is>
          <t>Complete</t>
        </is>
      </c>
    </row>
    <row r="550" ht="13.5" customHeight="1" s="38">
      <c r="A550" s="46" t="inlineStr">
        <is>
          <t>Z_S2_SC05_I07</t>
        </is>
      </c>
      <c r="B550" s="46" t="inlineStr">
        <is>
          <t>R_0708</t>
        </is>
      </c>
      <c r="C550" s="46" t="inlineStr">
        <is>
          <t>Strategy 2 – Zero-Shot + Template + BLUF</t>
        </is>
      </c>
      <c r="D550" s="46" t="inlineStr">
        <is>
          <t>SC05</t>
        </is>
      </c>
      <c r="E550" s="46" t="inlineStr">
        <is>
          <t>Zero-Day / Edge Device</t>
        </is>
      </c>
      <c r="F550" s="47" t="n">
        <v>7</v>
      </c>
      <c r="G550" s="46" t="inlineStr">
        <is>
          <t>Gemma3:27b via Ollama</t>
        </is>
      </c>
      <c r="H550" s="48" t="n">
        <v>46166</v>
      </c>
      <c r="I550" s="46" t="inlineStr">
        <is>
          <t>9.414</t>
        </is>
      </c>
      <c r="J550" s="46" t="inlineStr">
        <is>
          <t>65.795</t>
        </is>
      </c>
      <c r="K550" s="46" t="inlineStr">
        <is>
          <t>Gemma3:27b</t>
        </is>
      </c>
      <c r="L550" s="46" t="inlineStr">
        <is>
          <t>0.3</t>
        </is>
      </c>
      <c r="M550" s="73" t="inlineStr">
        <is>
          <t>Complete</t>
        </is>
      </c>
    </row>
    <row r="551" ht="13.5" customHeight="1" s="38">
      <c r="A551" s="46" t="inlineStr">
        <is>
          <t>Z_S2_SC05_I08</t>
        </is>
      </c>
      <c r="B551" s="46" t="inlineStr">
        <is>
          <t>R_0582</t>
        </is>
      </c>
      <c r="C551" s="46" t="inlineStr">
        <is>
          <t>Strategy 2 – Zero-Shot + Template + BLUF</t>
        </is>
      </c>
      <c r="D551" s="46" t="inlineStr">
        <is>
          <t>SC05</t>
        </is>
      </c>
      <c r="E551" s="46" t="inlineStr">
        <is>
          <t>Zero-Day / Edge Device</t>
        </is>
      </c>
      <c r="F551" s="47" t="n">
        <v>8</v>
      </c>
      <c r="G551" s="46" t="inlineStr">
        <is>
          <t>Gemma3:27b via Ollama</t>
        </is>
      </c>
      <c r="H551" s="48" t="n">
        <v>46166</v>
      </c>
      <c r="I551" s="46" t="inlineStr">
        <is>
          <t>8.157</t>
        </is>
      </c>
      <c r="J551" s="46" t="inlineStr">
        <is>
          <t>67.06</t>
        </is>
      </c>
      <c r="K551" s="46" t="inlineStr">
        <is>
          <t>Gemma3:27b</t>
        </is>
      </c>
      <c r="L551" s="46" t="inlineStr">
        <is>
          <t>0.3</t>
        </is>
      </c>
      <c r="M551" s="73" t="inlineStr">
        <is>
          <t>Complete</t>
        </is>
      </c>
    </row>
    <row r="552" ht="13.5" customHeight="1" s="38">
      <c r="A552" s="46" t="inlineStr">
        <is>
          <t>Z_S2_SC05_I09</t>
        </is>
      </c>
      <c r="B552" s="46" t="inlineStr">
        <is>
          <t>R_0367</t>
        </is>
      </c>
      <c r="C552" s="46" t="inlineStr">
        <is>
          <t>Strategy 2 – Zero-Shot + Template + BLUF</t>
        </is>
      </c>
      <c r="D552" s="46" t="inlineStr">
        <is>
          <t>SC05</t>
        </is>
      </c>
      <c r="E552" s="46" t="inlineStr">
        <is>
          <t>Zero-Day / Edge Device</t>
        </is>
      </c>
      <c r="F552" s="47" t="n">
        <v>9</v>
      </c>
      <c r="G552" s="46" t="inlineStr">
        <is>
          <t>Gemma3:27b via Ollama</t>
        </is>
      </c>
      <c r="H552" s="48" t="n">
        <v>46166</v>
      </c>
      <c r="I552" s="46" t="inlineStr">
        <is>
          <t>8.358</t>
        </is>
      </c>
      <c r="J552" s="46" t="inlineStr">
        <is>
          <t>65.93</t>
        </is>
      </c>
      <c r="K552" s="46" t="inlineStr">
        <is>
          <t>Gemma3:27b</t>
        </is>
      </c>
      <c r="L552" s="46" t="inlineStr">
        <is>
          <t>0.3</t>
        </is>
      </c>
      <c r="M552" s="73" t="inlineStr">
        <is>
          <t>Complete</t>
        </is>
      </c>
    </row>
    <row r="553" ht="13.5" customHeight="1" s="38">
      <c r="A553" s="46" t="inlineStr">
        <is>
          <t>Z_S2_SC05_I10</t>
        </is>
      </c>
      <c r="B553" s="46" t="inlineStr">
        <is>
          <t>R_0632</t>
        </is>
      </c>
      <c r="C553" s="46" t="inlineStr">
        <is>
          <t>Strategy 2 – Zero-Shot + Template + BLUF</t>
        </is>
      </c>
      <c r="D553" s="46" t="inlineStr">
        <is>
          <t>SC05</t>
        </is>
      </c>
      <c r="E553" s="46" t="inlineStr">
        <is>
          <t>Zero-Day / Edge Device</t>
        </is>
      </c>
      <c r="F553" s="47" t="n">
        <v>10</v>
      </c>
      <c r="G553" s="46" t="inlineStr">
        <is>
          <t>Gemma3:27b via Ollama</t>
        </is>
      </c>
      <c r="H553" s="48" t="n">
        <v>46166</v>
      </c>
      <c r="I553" s="46" t="inlineStr">
        <is>
          <t>9.211</t>
        </is>
      </c>
      <c r="J553" s="46" t="inlineStr">
        <is>
          <t>67.21</t>
        </is>
      </c>
      <c r="K553" s="46" t="inlineStr">
        <is>
          <t>Gemma3:27b</t>
        </is>
      </c>
      <c r="L553" s="46" t="inlineStr">
        <is>
          <t>0.3</t>
        </is>
      </c>
      <c r="M553" s="73" t="inlineStr">
        <is>
          <t>Complete</t>
        </is>
      </c>
    </row>
    <row r="554" ht="13.5" customHeight="1" s="38">
      <c r="A554" s="46" t="inlineStr">
        <is>
          <t>B_S2_SC01_I01</t>
        </is>
      </c>
      <c r="B554" s="46" t="inlineStr">
        <is>
          <t>R_0920</t>
        </is>
      </c>
      <c r="C554" s="46" t="inlineStr">
        <is>
          <t>Strategy 2 – Zero-Shot + Template + BLUF</t>
        </is>
      </c>
      <c r="D554" s="46" t="inlineStr">
        <is>
          <t>SC01</t>
        </is>
      </c>
      <c r="E554" s="46" t="inlineStr">
        <is>
          <t>Business Email Compromise</t>
        </is>
      </c>
      <c r="F554" s="47" t="n">
        <v>1</v>
      </c>
      <c r="G554" s="46" t="inlineStr">
        <is>
          <t>Gemma3:27b via Ollama</t>
        </is>
      </c>
      <c r="H554" s="48" t="n">
        <v>46163</v>
      </c>
      <c r="I554" s="46" t="inlineStr">
        <is>
          <t>8.711</t>
        </is>
      </c>
      <c r="J554" s="46" t="inlineStr">
        <is>
          <t>65.32</t>
        </is>
      </c>
      <c r="K554" s="46" t="inlineStr">
        <is>
          <t>Gemma3:27b</t>
        </is>
      </c>
      <c r="L554" s="46" t="inlineStr">
        <is>
          <t>0.3</t>
        </is>
      </c>
      <c r="M554" s="73" t="inlineStr">
        <is>
          <t>Complete</t>
        </is>
      </c>
    </row>
    <row r="555" ht="13.5" customHeight="1" s="38">
      <c r="A555" s="46" t="inlineStr">
        <is>
          <t>B_S2_SC01_I02</t>
        </is>
      </c>
      <c r="B555" s="46" t="inlineStr">
        <is>
          <t>R_0316</t>
        </is>
      </c>
      <c r="C555" s="46" t="inlineStr">
        <is>
          <t>Strategy 2 – Zero-Shot + Template + BLUF</t>
        </is>
      </c>
      <c r="D555" s="46" t="inlineStr">
        <is>
          <t>SC01</t>
        </is>
      </c>
      <c r="E555" s="46" t="inlineStr">
        <is>
          <t>Business Email Compromise</t>
        </is>
      </c>
      <c r="F555" s="47" t="n">
        <v>2</v>
      </c>
      <c r="G555" s="46" t="inlineStr">
        <is>
          <t>Gemma3:27b via Ollama</t>
        </is>
      </c>
      <c r="H555" s="48" t="n">
        <v>46163</v>
      </c>
      <c r="I555" s="46" t="inlineStr">
        <is>
          <t>9.472</t>
        </is>
      </c>
      <c r="J555" s="46" t="inlineStr">
        <is>
          <t>67.46</t>
        </is>
      </c>
      <c r="K555" s="46" t="inlineStr">
        <is>
          <t>Gemma3:27b</t>
        </is>
      </c>
      <c r="L555" s="46" t="inlineStr">
        <is>
          <t>0.3</t>
        </is>
      </c>
      <c r="M555" s="73" t="inlineStr">
        <is>
          <t>Complete</t>
        </is>
      </c>
    </row>
    <row r="556" ht="13.5" customHeight="1" s="38">
      <c r="A556" s="46" t="inlineStr">
        <is>
          <t>B_S2_SC01_I03</t>
        </is>
      </c>
      <c r="B556" s="46" t="inlineStr">
        <is>
          <t>R_0043</t>
        </is>
      </c>
      <c r="C556" s="46" t="inlineStr">
        <is>
          <t>Strategy 2 – Zero-Shot + Template + BLUF</t>
        </is>
      </c>
      <c r="D556" s="46" t="inlineStr">
        <is>
          <t>SC01</t>
        </is>
      </c>
      <c r="E556" s="46" t="inlineStr">
        <is>
          <t>Business Email Compromise</t>
        </is>
      </c>
      <c r="F556" s="47" t="n">
        <v>3</v>
      </c>
      <c r="G556" s="46" t="inlineStr">
        <is>
          <t>Gemma3:27b via Ollama</t>
        </is>
      </c>
      <c r="H556" s="48" t="n">
        <v>46163</v>
      </c>
      <c r="I556" s="46" t="inlineStr">
        <is>
          <t>8.544</t>
        </is>
      </c>
      <c r="J556" s="46" t="inlineStr">
        <is>
          <t>67.42</t>
        </is>
      </c>
      <c r="K556" s="46" t="inlineStr">
        <is>
          <t>Gemma3:27b</t>
        </is>
      </c>
      <c r="L556" s="46" t="inlineStr">
        <is>
          <t>0.3</t>
        </is>
      </c>
      <c r="M556" s="73" t="inlineStr">
        <is>
          <t>Complete</t>
        </is>
      </c>
    </row>
    <row r="557" ht="13.5" customHeight="1" s="38">
      <c r="A557" s="46" t="inlineStr">
        <is>
          <t>B_S2_SC01_I04</t>
        </is>
      </c>
      <c r="B557" s="46" t="inlineStr">
        <is>
          <t>R_0131</t>
        </is>
      </c>
      <c r="C557" s="46" t="inlineStr">
        <is>
          <t>Strategy 2 – Zero-Shot + Template + BLUF</t>
        </is>
      </c>
      <c r="D557" s="46" t="inlineStr">
        <is>
          <t>SC01</t>
        </is>
      </c>
      <c r="E557" s="46" t="inlineStr">
        <is>
          <t>Business Email Compromise</t>
        </is>
      </c>
      <c r="F557" s="47" t="n">
        <v>4</v>
      </c>
      <c r="G557" s="46" t="inlineStr">
        <is>
          <t>Gemma3:27b via Ollama</t>
        </is>
      </c>
      <c r="H557" s="48" t="n">
        <v>46163</v>
      </c>
      <c r="I557" s="46" t="inlineStr">
        <is>
          <t>8.762</t>
        </is>
      </c>
      <c r="J557" s="46" t="inlineStr">
        <is>
          <t>67.45</t>
        </is>
      </c>
      <c r="K557" s="46" t="inlineStr">
        <is>
          <t>Gemma3:27b</t>
        </is>
      </c>
      <c r="L557" s="46" t="inlineStr">
        <is>
          <t>0.3</t>
        </is>
      </c>
      <c r="M557" s="73" t="inlineStr">
        <is>
          <t>Complete</t>
        </is>
      </c>
    </row>
    <row r="558" ht="13.5" customHeight="1" s="38">
      <c r="A558" s="46" t="inlineStr">
        <is>
          <t>B_S2_SC01_I05</t>
        </is>
      </c>
      <c r="B558" s="46" t="inlineStr">
        <is>
          <t>R_0441</t>
        </is>
      </c>
      <c r="C558" s="46" t="inlineStr">
        <is>
          <t>Strategy 2 – Zero-Shot + Template + BLUF</t>
        </is>
      </c>
      <c r="D558" s="46" t="inlineStr">
        <is>
          <t>SC01</t>
        </is>
      </c>
      <c r="E558" s="46" t="inlineStr">
        <is>
          <t>Business Email Compromise</t>
        </is>
      </c>
      <c r="F558" s="47" t="n">
        <v>5</v>
      </c>
      <c r="G558" s="46" t="inlineStr">
        <is>
          <t>Gemma3:27b via Ollama</t>
        </is>
      </c>
      <c r="H558" s="48" t="n">
        <v>46163</v>
      </c>
      <c r="I558" s="46" t="inlineStr">
        <is>
          <t>8.272</t>
        </is>
      </c>
      <c r="J558" s="46" t="inlineStr">
        <is>
          <t>67.58</t>
        </is>
      </c>
      <c r="K558" s="46" t="inlineStr">
        <is>
          <t>Gemma3:27b</t>
        </is>
      </c>
      <c r="L558" s="46" t="inlineStr">
        <is>
          <t>0.3</t>
        </is>
      </c>
      <c r="M558" s="73" t="inlineStr">
        <is>
          <t>Complete</t>
        </is>
      </c>
    </row>
    <row r="559" ht="13.5" customHeight="1" s="38">
      <c r="A559" s="46" t="inlineStr">
        <is>
          <t>B_S2_SC01_I06</t>
        </is>
      </c>
      <c r="B559" s="46" t="inlineStr">
        <is>
          <t>R_0152</t>
        </is>
      </c>
      <c r="C559" s="46" t="inlineStr">
        <is>
          <t>Strategy 2 – Zero-Shot + Template + BLUF</t>
        </is>
      </c>
      <c r="D559" s="46" t="inlineStr">
        <is>
          <t>SC01</t>
        </is>
      </c>
      <c r="E559" s="46" t="inlineStr">
        <is>
          <t>Business Email Compromise</t>
        </is>
      </c>
      <c r="F559" s="47" t="n">
        <v>6</v>
      </c>
      <c r="G559" s="46" t="inlineStr">
        <is>
          <t>Gemma3:27b via Ollama</t>
        </is>
      </c>
      <c r="H559" s="48" t="n">
        <v>46163</v>
      </c>
      <c r="I559" s="46" t="inlineStr">
        <is>
          <t>8.135</t>
        </is>
      </c>
      <c r="J559" s="46" t="inlineStr">
        <is>
          <t>67.49</t>
        </is>
      </c>
      <c r="K559" s="46" t="inlineStr">
        <is>
          <t>Gemma3:27b</t>
        </is>
      </c>
      <c r="L559" s="46" t="inlineStr">
        <is>
          <t>0.3</t>
        </is>
      </c>
      <c r="M559" s="73" t="inlineStr">
        <is>
          <t>Complete</t>
        </is>
      </c>
    </row>
    <row r="560" ht="13.5" customHeight="1" s="38">
      <c r="A560" s="46" t="inlineStr">
        <is>
          <t>B_S2_SC01_I07</t>
        </is>
      </c>
      <c r="B560" s="46" t="inlineStr">
        <is>
          <t>R_0601</t>
        </is>
      </c>
      <c r="C560" s="46" t="inlineStr">
        <is>
          <t>Strategy 2 – Zero-Shot + Template + BLUF</t>
        </is>
      </c>
      <c r="D560" s="46" t="inlineStr">
        <is>
          <t>SC01</t>
        </is>
      </c>
      <c r="E560" s="46" t="inlineStr">
        <is>
          <t>Business Email Compromise</t>
        </is>
      </c>
      <c r="F560" s="47" t="n">
        <v>7</v>
      </c>
      <c r="G560" s="46" t="inlineStr">
        <is>
          <t>Gemma3:27b via Ollama</t>
        </is>
      </c>
      <c r="H560" s="48" t="n">
        <v>46163</v>
      </c>
      <c r="I560" s="46" t="inlineStr">
        <is>
          <t>8.787</t>
        </is>
      </c>
      <c r="J560" s="46" t="inlineStr">
        <is>
          <t>67.60</t>
        </is>
      </c>
      <c r="K560" s="46" t="inlineStr">
        <is>
          <t>Gemma3:27b</t>
        </is>
      </c>
      <c r="L560" s="46" t="inlineStr">
        <is>
          <t>0.3</t>
        </is>
      </c>
      <c r="M560" s="73" t="inlineStr">
        <is>
          <t>Complete</t>
        </is>
      </c>
    </row>
    <row r="561" ht="13.5" customHeight="1" s="38">
      <c r="A561" s="46" t="inlineStr">
        <is>
          <t>B_S2_SC01_I08</t>
        </is>
      </c>
      <c r="B561" s="46" t="inlineStr">
        <is>
          <t>R_0037</t>
        </is>
      </c>
      <c r="C561" s="46" t="inlineStr">
        <is>
          <t>Strategy 2 – Zero-Shot + Template + BLUF</t>
        </is>
      </c>
      <c r="D561" s="46" t="inlineStr">
        <is>
          <t>SC01</t>
        </is>
      </c>
      <c r="E561" s="46" t="inlineStr">
        <is>
          <t>Business Email Compromise</t>
        </is>
      </c>
      <c r="F561" s="47" t="n">
        <v>8</v>
      </c>
      <c r="G561" s="46" t="inlineStr">
        <is>
          <t>Gemma3:27b via Ollama</t>
        </is>
      </c>
      <c r="H561" s="48" t="n">
        <v>46163</v>
      </c>
      <c r="I561" s="46" t="inlineStr">
        <is>
          <t>8.714</t>
        </is>
      </c>
      <c r="J561" s="46" t="inlineStr">
        <is>
          <t>66.56</t>
        </is>
      </c>
      <c r="K561" s="46" t="inlineStr">
        <is>
          <t>Gemma3:27b</t>
        </is>
      </c>
      <c r="L561" s="46" t="inlineStr">
        <is>
          <t>0.3</t>
        </is>
      </c>
      <c r="M561" s="73" t="inlineStr">
        <is>
          <t>Complete</t>
        </is>
      </c>
    </row>
    <row r="562" ht="13.5" customHeight="1" s="38">
      <c r="A562" s="46" t="inlineStr">
        <is>
          <t>B_S2_SC01_I09</t>
        </is>
      </c>
      <c r="B562" s="46" t="inlineStr">
        <is>
          <t>R_0985</t>
        </is>
      </c>
      <c r="C562" s="46" t="inlineStr">
        <is>
          <t>Strategy 2 – Zero-Shot + Template + BLUF</t>
        </is>
      </c>
      <c r="D562" s="46" t="inlineStr">
        <is>
          <t>SC01</t>
        </is>
      </c>
      <c r="E562" s="46" t="inlineStr">
        <is>
          <t>Business Email Compromise</t>
        </is>
      </c>
      <c r="F562" s="47" t="n">
        <v>9</v>
      </c>
      <c r="G562" s="46" t="inlineStr">
        <is>
          <t>Gemma3:27b via Ollama</t>
        </is>
      </c>
      <c r="H562" s="48" t="n">
        <v>46163</v>
      </c>
      <c r="I562" s="46" t="inlineStr">
        <is>
          <t>8.120</t>
        </is>
      </c>
      <c r="J562" s="46" t="inlineStr">
        <is>
          <t>67.61</t>
        </is>
      </c>
      <c r="K562" s="46" t="inlineStr">
        <is>
          <t>Gemma3:27b</t>
        </is>
      </c>
      <c r="L562" s="46" t="inlineStr">
        <is>
          <t>0.3</t>
        </is>
      </c>
      <c r="M562" s="73" t="inlineStr">
        <is>
          <t>Complete</t>
        </is>
      </c>
    </row>
    <row r="563" ht="13.5" customHeight="1" s="38">
      <c r="A563" s="46" t="inlineStr">
        <is>
          <t>B_S2_SC01_I10</t>
        </is>
      </c>
      <c r="B563" s="46" t="inlineStr">
        <is>
          <t>R_0153</t>
        </is>
      </c>
      <c r="C563" s="46" t="inlineStr">
        <is>
          <t>Strategy 2 – Zero-Shot + Template + BLUF</t>
        </is>
      </c>
      <c r="D563" s="46" t="inlineStr">
        <is>
          <t>SC01</t>
        </is>
      </c>
      <c r="E563" s="46" t="inlineStr">
        <is>
          <t>Business Email Compromise</t>
        </is>
      </c>
      <c r="F563" s="47" t="n">
        <v>10</v>
      </c>
      <c r="G563" s="46" t="inlineStr">
        <is>
          <t>Gemma3:27b via Ollama</t>
        </is>
      </c>
      <c r="H563" s="48" t="n">
        <v>46163</v>
      </c>
      <c r="I563" s="46" t="inlineStr">
        <is>
          <t>8.746</t>
        </is>
      </c>
      <c r="J563" s="46" t="inlineStr">
        <is>
          <t>67.46</t>
        </is>
      </c>
      <c r="K563" s="46" t="inlineStr">
        <is>
          <t>Gemma3:27b</t>
        </is>
      </c>
      <c r="L563" s="46" t="inlineStr">
        <is>
          <t>0.3</t>
        </is>
      </c>
      <c r="M563" s="73" t="inlineStr">
        <is>
          <t>Complete</t>
        </is>
      </c>
    </row>
    <row r="564" ht="13.5" customHeight="1" s="38">
      <c r="A564" s="46" t="inlineStr">
        <is>
          <t>B_S2_SC02_I01</t>
        </is>
      </c>
      <c r="B564" s="46" t="inlineStr">
        <is>
          <t>R_0689</t>
        </is>
      </c>
      <c r="C564" s="46" t="inlineStr">
        <is>
          <t>Strategy 2 – Zero-Shot + Template + BLUF</t>
        </is>
      </c>
      <c r="D564" s="46" t="inlineStr">
        <is>
          <t>SC02</t>
        </is>
      </c>
      <c r="E564" s="46" t="inlineStr">
        <is>
          <t>Business Email Compromise</t>
        </is>
      </c>
      <c r="F564" s="47" t="n">
        <v>1</v>
      </c>
      <c r="G564" s="46" t="inlineStr">
        <is>
          <t>Gemma3:27b via Ollama</t>
        </is>
      </c>
      <c r="H564" s="48" t="n">
        <v>46163</v>
      </c>
      <c r="I564" s="46" t="inlineStr">
        <is>
          <t>8.499</t>
        </is>
      </c>
      <c r="J564" s="46" t="inlineStr">
        <is>
          <t>67.42</t>
        </is>
      </c>
      <c r="K564" s="46" t="inlineStr">
        <is>
          <t>Gemma3:27b</t>
        </is>
      </c>
      <c r="L564" s="46" t="inlineStr">
        <is>
          <t>0.3</t>
        </is>
      </c>
      <c r="M564" s="73" t="inlineStr">
        <is>
          <t>Complete</t>
        </is>
      </c>
    </row>
    <row r="565" ht="13.5" customHeight="1" s="38">
      <c r="A565" s="46" t="inlineStr">
        <is>
          <t>B_S2_SC02_I02</t>
        </is>
      </c>
      <c r="B565" s="46" t="inlineStr">
        <is>
          <t>R_0791</t>
        </is>
      </c>
      <c r="C565" s="46" t="inlineStr">
        <is>
          <t>Strategy 2 – Zero-Shot + Template + BLUF</t>
        </is>
      </c>
      <c r="D565" s="46" t="inlineStr">
        <is>
          <t>SC02</t>
        </is>
      </c>
      <c r="E565" s="46" t="inlineStr">
        <is>
          <t>Business Email Compromise</t>
        </is>
      </c>
      <c r="F565" s="47" t="n">
        <v>2</v>
      </c>
      <c r="G565" s="46" t="inlineStr">
        <is>
          <t>Gemma3:27b via Ollama</t>
        </is>
      </c>
      <c r="H565" s="48" t="n">
        <v>46163</v>
      </c>
      <c r="I565" s="46" t="inlineStr">
        <is>
          <t>7.879</t>
        </is>
      </c>
      <c r="J565" s="46" t="inlineStr">
        <is>
          <t>67.52</t>
        </is>
      </c>
      <c r="K565" s="46" t="inlineStr">
        <is>
          <t>Gemma3:27b</t>
        </is>
      </c>
      <c r="L565" s="46" t="inlineStr">
        <is>
          <t>0.3</t>
        </is>
      </c>
      <c r="M565" s="73" t="inlineStr">
        <is>
          <t>Complete</t>
        </is>
      </c>
    </row>
    <row r="566" ht="13.5" customHeight="1" s="38">
      <c r="A566" s="46" t="inlineStr">
        <is>
          <t>B_S2_SC02_I03</t>
        </is>
      </c>
      <c r="B566" s="46" t="inlineStr">
        <is>
          <t>R_0978</t>
        </is>
      </c>
      <c r="C566" s="46" t="inlineStr">
        <is>
          <t>Strategy 2 – Zero-Shot + Template + BLUF</t>
        </is>
      </c>
      <c r="D566" s="46" t="inlineStr">
        <is>
          <t>SC02</t>
        </is>
      </c>
      <c r="E566" s="46" t="inlineStr">
        <is>
          <t>Business Email Compromise</t>
        </is>
      </c>
      <c r="F566" s="47" t="n">
        <v>3</v>
      </c>
      <c r="G566" s="46" t="inlineStr">
        <is>
          <t>Gemma3:27b via Ollama</t>
        </is>
      </c>
      <c r="H566" s="48" t="n">
        <v>46163</v>
      </c>
      <c r="I566" s="46" t="inlineStr">
        <is>
          <t>8.268</t>
        </is>
      </c>
      <c r="J566" s="46" t="inlineStr">
        <is>
          <t>67.27</t>
        </is>
      </c>
      <c r="K566" s="46" t="inlineStr">
        <is>
          <t>Gemma3:27b</t>
        </is>
      </c>
      <c r="L566" s="46" t="inlineStr">
        <is>
          <t>0.3</t>
        </is>
      </c>
      <c r="M566" s="73" t="inlineStr">
        <is>
          <t>Complete</t>
        </is>
      </c>
    </row>
    <row r="567" ht="13.5" customHeight="1" s="38">
      <c r="A567" s="46" t="inlineStr">
        <is>
          <t>B_S2_SC02_I04</t>
        </is>
      </c>
      <c r="B567" s="46" t="inlineStr">
        <is>
          <t>R_0438</t>
        </is>
      </c>
      <c r="C567" s="46" t="inlineStr">
        <is>
          <t>Strategy 2 – Zero-Shot + Template + BLUF</t>
        </is>
      </c>
      <c r="D567" s="46" t="inlineStr">
        <is>
          <t>SC02</t>
        </is>
      </c>
      <c r="E567" s="46" t="inlineStr">
        <is>
          <t>Business Email Compromise</t>
        </is>
      </c>
      <c r="F567" s="47" t="n">
        <v>4</v>
      </c>
      <c r="G567" s="46" t="inlineStr">
        <is>
          <t>Gemma3:27b via Ollama</t>
        </is>
      </c>
      <c r="H567" s="48" t="n">
        <v>46163</v>
      </c>
      <c r="I567" s="46" t="inlineStr">
        <is>
          <t>8.325</t>
        </is>
      </c>
      <c r="J567" s="46" t="inlineStr">
        <is>
          <t>66.07</t>
        </is>
      </c>
      <c r="K567" s="46" t="inlineStr">
        <is>
          <t>Gemma3:27b</t>
        </is>
      </c>
      <c r="L567" s="46" t="inlineStr">
        <is>
          <t>0.3</t>
        </is>
      </c>
      <c r="M567" s="73" t="inlineStr">
        <is>
          <t>Complete</t>
        </is>
      </c>
    </row>
    <row r="568" ht="13.5" customHeight="1" s="38">
      <c r="A568" s="46" t="inlineStr">
        <is>
          <t>B_S2_SC02_I05</t>
        </is>
      </c>
      <c r="B568" s="46" t="inlineStr">
        <is>
          <t>R_0453</t>
        </is>
      </c>
      <c r="C568" s="46" t="inlineStr">
        <is>
          <t>Strategy 2 – Zero-Shot + Template + BLUF</t>
        </is>
      </c>
      <c r="D568" s="46" t="inlineStr">
        <is>
          <t>SC02</t>
        </is>
      </c>
      <c r="E568" s="46" t="inlineStr">
        <is>
          <t>Business Email Compromise</t>
        </is>
      </c>
      <c r="F568" s="47" t="n">
        <v>5</v>
      </c>
      <c r="G568" s="46" t="inlineStr">
        <is>
          <t>Gemma3:27b via Ollama</t>
        </is>
      </c>
      <c r="H568" s="48" t="n">
        <v>46163</v>
      </c>
      <c r="I568" s="46" t="inlineStr">
        <is>
          <t>8.629</t>
        </is>
      </c>
      <c r="J568" s="46" t="inlineStr">
        <is>
          <t>66.64</t>
        </is>
      </c>
      <c r="K568" s="46" t="inlineStr">
        <is>
          <t>Gemma3:27b</t>
        </is>
      </c>
      <c r="L568" s="46" t="inlineStr">
        <is>
          <t>0.3</t>
        </is>
      </c>
      <c r="M568" s="73" t="inlineStr">
        <is>
          <t>Complete</t>
        </is>
      </c>
    </row>
    <row r="569" ht="13.5" customHeight="1" s="38">
      <c r="A569" s="46" t="inlineStr">
        <is>
          <t>B_S2_SC02_I06</t>
        </is>
      </c>
      <c r="B569" s="46" t="inlineStr">
        <is>
          <t>R_0800</t>
        </is>
      </c>
      <c r="C569" s="46" t="inlineStr">
        <is>
          <t>Strategy 2 – Zero-Shot + Template + BLUF</t>
        </is>
      </c>
      <c r="D569" s="46" t="inlineStr">
        <is>
          <t>SC02</t>
        </is>
      </c>
      <c r="E569" s="46" t="inlineStr">
        <is>
          <t>Business Email Compromise</t>
        </is>
      </c>
      <c r="F569" s="47" t="n">
        <v>6</v>
      </c>
      <c r="G569" s="46" t="inlineStr">
        <is>
          <t>Gemma3:27b via Ollama</t>
        </is>
      </c>
      <c r="H569" s="48" t="n">
        <v>46163</v>
      </c>
      <c r="I569" s="46" t="inlineStr">
        <is>
          <t>8.603</t>
        </is>
      </c>
      <c r="J569" s="46" t="inlineStr">
        <is>
          <t>66.26</t>
        </is>
      </c>
      <c r="K569" s="46" t="inlineStr">
        <is>
          <t>Gemma3:27b</t>
        </is>
      </c>
      <c r="L569" s="46" t="inlineStr">
        <is>
          <t>0.3</t>
        </is>
      </c>
      <c r="M569" s="73" t="inlineStr">
        <is>
          <t>Complete</t>
        </is>
      </c>
    </row>
    <row r="570" ht="13.5" customHeight="1" s="38">
      <c r="A570" s="46" t="inlineStr">
        <is>
          <t>B_S2_SC02_I07</t>
        </is>
      </c>
      <c r="B570" s="46" t="inlineStr">
        <is>
          <t>R_0269</t>
        </is>
      </c>
      <c r="C570" s="46" t="inlineStr">
        <is>
          <t>Strategy 2 – Zero-Shot + Template + BLUF</t>
        </is>
      </c>
      <c r="D570" s="46" t="inlineStr">
        <is>
          <t>SC02</t>
        </is>
      </c>
      <c r="E570" s="46" t="inlineStr">
        <is>
          <t>Business Email Compromise</t>
        </is>
      </c>
      <c r="F570" s="47" t="n">
        <v>7</v>
      </c>
      <c r="G570" s="46" t="inlineStr">
        <is>
          <t>Gemma3:27b via Ollama</t>
        </is>
      </c>
      <c r="H570" s="48" t="n">
        <v>46163</v>
      </c>
      <c r="I570" s="46" t="inlineStr">
        <is>
          <t>8.785</t>
        </is>
      </c>
      <c r="J570" s="46" t="inlineStr">
        <is>
          <t>67.16</t>
        </is>
      </c>
      <c r="K570" s="46" t="inlineStr">
        <is>
          <t>Gemma3:27b</t>
        </is>
      </c>
      <c r="L570" s="46" t="inlineStr">
        <is>
          <t>0.3</t>
        </is>
      </c>
      <c r="M570" s="73" t="inlineStr">
        <is>
          <t>Complete</t>
        </is>
      </c>
    </row>
    <row r="571" ht="13.5" customHeight="1" s="38">
      <c r="A571" s="46" t="inlineStr">
        <is>
          <t>B_S2_SC02_I08</t>
        </is>
      </c>
      <c r="B571" s="46" t="inlineStr">
        <is>
          <t>R_0134</t>
        </is>
      </c>
      <c r="C571" s="46" t="inlineStr">
        <is>
          <t>Strategy 2 – Zero-Shot + Template + BLUF</t>
        </is>
      </c>
      <c r="D571" s="46" t="inlineStr">
        <is>
          <t>SC02</t>
        </is>
      </c>
      <c r="E571" s="46" t="inlineStr">
        <is>
          <t>Business Email Compromise</t>
        </is>
      </c>
      <c r="F571" s="47" t="n">
        <v>8</v>
      </c>
      <c r="G571" s="46" t="inlineStr">
        <is>
          <t>Gemma3:27b via Ollama</t>
        </is>
      </c>
      <c r="H571" s="48" t="n">
        <v>46163</v>
      </c>
      <c r="I571" s="46" t="inlineStr">
        <is>
          <t>8.090</t>
        </is>
      </c>
      <c r="J571" s="46" t="inlineStr">
        <is>
          <t>67.49</t>
        </is>
      </c>
      <c r="K571" s="46" t="inlineStr">
        <is>
          <t>Gemma3:27b</t>
        </is>
      </c>
      <c r="L571" s="46" t="inlineStr">
        <is>
          <t>0.3</t>
        </is>
      </c>
      <c r="M571" s="73" t="inlineStr">
        <is>
          <t>Complete</t>
        </is>
      </c>
    </row>
    <row r="572" ht="13.5" customHeight="1" s="38">
      <c r="A572" s="46" t="inlineStr">
        <is>
          <t>B_S2_SC02_I09</t>
        </is>
      </c>
      <c r="B572" s="46" t="inlineStr">
        <is>
          <t>R_0342</t>
        </is>
      </c>
      <c r="C572" s="46" t="inlineStr">
        <is>
          <t>Strategy 2 – Zero-Shot + Template + BLUF</t>
        </is>
      </c>
      <c r="D572" s="46" t="inlineStr">
        <is>
          <t>SC02</t>
        </is>
      </c>
      <c r="E572" s="46" t="inlineStr">
        <is>
          <t>Business Email Compromise</t>
        </is>
      </c>
      <c r="F572" s="47" t="n">
        <v>9</v>
      </c>
      <c r="G572" s="46" t="inlineStr">
        <is>
          <t>Gemma3:27b via Ollama</t>
        </is>
      </c>
      <c r="H572" s="48" t="n">
        <v>46163</v>
      </c>
      <c r="I572" s="46" t="inlineStr">
        <is>
          <t>8.142</t>
        </is>
      </c>
      <c r="J572" s="46" t="inlineStr">
        <is>
          <t>65.47</t>
        </is>
      </c>
      <c r="K572" s="46" t="inlineStr">
        <is>
          <t>Gemma3:27b</t>
        </is>
      </c>
      <c r="L572" s="46" t="inlineStr">
        <is>
          <t>0.3</t>
        </is>
      </c>
      <c r="M572" s="73" t="inlineStr">
        <is>
          <t>Complete</t>
        </is>
      </c>
    </row>
    <row r="573" ht="13.5" customHeight="1" s="38">
      <c r="A573" s="46" t="inlineStr">
        <is>
          <t>B_S2_SC02_I10</t>
        </is>
      </c>
      <c r="B573" s="46" t="inlineStr">
        <is>
          <t>R_0818</t>
        </is>
      </c>
      <c r="C573" s="46" t="inlineStr">
        <is>
          <t>Strategy 2 – Zero-Shot + Template + BLUF</t>
        </is>
      </c>
      <c r="D573" s="46" t="inlineStr">
        <is>
          <t>SC02</t>
        </is>
      </c>
      <c r="E573" s="46" t="inlineStr">
        <is>
          <t>Business Email Compromise</t>
        </is>
      </c>
      <c r="F573" s="47" t="n">
        <v>10</v>
      </c>
      <c r="G573" s="46" t="inlineStr">
        <is>
          <t>Gemma3:27b via Ollama</t>
        </is>
      </c>
      <c r="H573" s="48" t="n">
        <v>46163</v>
      </c>
      <c r="I573" s="46" t="inlineStr">
        <is>
          <t>8.191</t>
        </is>
      </c>
      <c r="J573" s="46" t="inlineStr">
        <is>
          <t>66.42</t>
        </is>
      </c>
      <c r="K573" s="46" t="inlineStr">
        <is>
          <t>Gemma3:27b</t>
        </is>
      </c>
      <c r="L573" s="46" t="inlineStr">
        <is>
          <t>0.3</t>
        </is>
      </c>
      <c r="M573" s="73" t="inlineStr">
        <is>
          <t>Complete</t>
        </is>
      </c>
    </row>
    <row r="574" ht="13.5" customHeight="1" s="38">
      <c r="A574" s="46" t="inlineStr">
        <is>
          <t>B_S2_SC03_I01</t>
        </is>
      </c>
      <c r="B574" s="46" t="inlineStr">
        <is>
          <t>R_0046</t>
        </is>
      </c>
      <c r="C574" s="46" t="inlineStr">
        <is>
          <t>Strategy 2 – Zero-Shot + Template + BLUF</t>
        </is>
      </c>
      <c r="D574" s="46" t="inlineStr">
        <is>
          <t>SC03</t>
        </is>
      </c>
      <c r="E574" s="46" t="inlineStr">
        <is>
          <t>Business Email Compromise</t>
        </is>
      </c>
      <c r="F574" s="47" t="n">
        <v>1</v>
      </c>
      <c r="G574" s="46" t="inlineStr">
        <is>
          <t>Gemma3:27b via Ollama</t>
        </is>
      </c>
      <c r="H574" s="48" t="n">
        <v>46163</v>
      </c>
      <c r="I574" s="46" t="inlineStr">
        <is>
          <t>8.672</t>
        </is>
      </c>
      <c r="J574" s="46" t="inlineStr">
        <is>
          <t>67.69</t>
        </is>
      </c>
      <c r="K574" s="46" t="inlineStr">
        <is>
          <t>Gemma3:27b</t>
        </is>
      </c>
      <c r="L574" s="46" t="inlineStr">
        <is>
          <t>0.3</t>
        </is>
      </c>
      <c r="M574" s="73" t="inlineStr">
        <is>
          <t>Complete</t>
        </is>
      </c>
    </row>
    <row r="575" ht="13.5" customHeight="1" s="38">
      <c r="A575" s="46" t="inlineStr">
        <is>
          <t>B_S2_SC03_I02</t>
        </is>
      </c>
      <c r="B575" s="46" t="inlineStr">
        <is>
          <t>R_0284</t>
        </is>
      </c>
      <c r="C575" s="46" t="inlineStr">
        <is>
          <t>Strategy 2 – Zero-Shot + Template + BLUF</t>
        </is>
      </c>
      <c r="D575" s="46" t="inlineStr">
        <is>
          <t>SC03</t>
        </is>
      </c>
      <c r="E575" s="46" t="inlineStr">
        <is>
          <t>Business Email Compromise</t>
        </is>
      </c>
      <c r="F575" s="47" t="n">
        <v>2</v>
      </c>
      <c r="G575" s="46" t="inlineStr">
        <is>
          <t>Gemma3:27b via Ollama</t>
        </is>
      </c>
      <c r="H575" s="48" t="n">
        <v>46163</v>
      </c>
      <c r="I575" s="46" t="inlineStr">
        <is>
          <t>8.986</t>
        </is>
      </c>
      <c r="J575" s="46" t="inlineStr">
        <is>
          <t>65.66</t>
        </is>
      </c>
      <c r="K575" s="46" t="inlineStr">
        <is>
          <t>Gemma3:27b</t>
        </is>
      </c>
      <c r="L575" s="46" t="inlineStr">
        <is>
          <t>0.3</t>
        </is>
      </c>
      <c r="M575" s="73" t="inlineStr">
        <is>
          <t>Complete</t>
        </is>
      </c>
    </row>
    <row r="576" ht="13.5" customHeight="1" s="38">
      <c r="A576" s="46" t="inlineStr">
        <is>
          <t>B_S2_SC03_I03</t>
        </is>
      </c>
      <c r="B576" s="46" t="inlineStr">
        <is>
          <t>R_0665</t>
        </is>
      </c>
      <c r="C576" s="46" t="inlineStr">
        <is>
          <t>Strategy 2 – Zero-Shot + Template + BLUF</t>
        </is>
      </c>
      <c r="D576" s="46" t="inlineStr">
        <is>
          <t>SC03</t>
        </is>
      </c>
      <c r="E576" s="46" t="inlineStr">
        <is>
          <t>Business Email Compromise</t>
        </is>
      </c>
      <c r="F576" s="47" t="n">
        <v>3</v>
      </c>
      <c r="G576" s="46" t="inlineStr">
        <is>
          <t>Gemma3:27b via Ollama</t>
        </is>
      </c>
      <c r="H576" s="48" t="n">
        <v>46163</v>
      </c>
      <c r="I576" s="46" t="inlineStr">
        <is>
          <t>8.581</t>
        </is>
      </c>
      <c r="J576" s="46" t="inlineStr">
        <is>
          <t>67.59</t>
        </is>
      </c>
      <c r="K576" s="46" t="inlineStr">
        <is>
          <t>Gemma3:27b</t>
        </is>
      </c>
      <c r="L576" s="46" t="inlineStr">
        <is>
          <t>0.3</t>
        </is>
      </c>
      <c r="M576" s="73" t="inlineStr">
        <is>
          <t>Complete</t>
        </is>
      </c>
    </row>
    <row r="577" ht="13.5" customHeight="1" s="38">
      <c r="A577" s="46" t="inlineStr">
        <is>
          <t>B_S2_SC03_I04</t>
        </is>
      </c>
      <c r="B577" s="46" t="inlineStr">
        <is>
          <t>R_0964</t>
        </is>
      </c>
      <c r="C577" s="46" t="inlineStr">
        <is>
          <t>Strategy 2 – Zero-Shot + Template + BLUF</t>
        </is>
      </c>
      <c r="D577" s="46" t="inlineStr">
        <is>
          <t>SC03</t>
        </is>
      </c>
      <c r="E577" s="46" t="inlineStr">
        <is>
          <t>Business Email Compromise</t>
        </is>
      </c>
      <c r="F577" s="47" t="n">
        <v>4</v>
      </c>
      <c r="G577" s="46" t="inlineStr">
        <is>
          <t>Gemma3:27b via Ollama</t>
        </is>
      </c>
      <c r="H577" s="48" t="n">
        <v>46163</v>
      </c>
      <c r="I577" s="46" t="inlineStr">
        <is>
          <t>8.674</t>
        </is>
      </c>
      <c r="J577" s="46" t="inlineStr">
        <is>
          <t>66.52</t>
        </is>
      </c>
      <c r="K577" s="46" t="inlineStr">
        <is>
          <t>Gemma3:27b</t>
        </is>
      </c>
      <c r="L577" s="46" t="inlineStr">
        <is>
          <t>0.3</t>
        </is>
      </c>
      <c r="M577" s="73" t="inlineStr">
        <is>
          <t>Complete</t>
        </is>
      </c>
    </row>
    <row r="578" ht="13.5" customHeight="1" s="38">
      <c r="A578" s="46" t="inlineStr">
        <is>
          <t>B_S2_SC03_I05</t>
        </is>
      </c>
      <c r="B578" s="46" t="inlineStr">
        <is>
          <t>R_0053</t>
        </is>
      </c>
      <c r="C578" s="46" t="inlineStr">
        <is>
          <t>Strategy 2 – Zero-Shot + Template + BLUF</t>
        </is>
      </c>
      <c r="D578" s="46" t="inlineStr">
        <is>
          <t>SC03</t>
        </is>
      </c>
      <c r="E578" s="46" t="inlineStr">
        <is>
          <t>Business Email Compromise</t>
        </is>
      </c>
      <c r="F578" s="47" t="n">
        <v>5</v>
      </c>
      <c r="G578" s="46" t="inlineStr">
        <is>
          <t>Gemma3:27b via Ollama</t>
        </is>
      </c>
      <c r="H578" s="48" t="n">
        <v>46163</v>
      </c>
      <c r="I578" s="46" t="inlineStr">
        <is>
          <t>9.298</t>
        </is>
      </c>
      <c r="J578" s="46" t="inlineStr">
        <is>
          <t>66.79</t>
        </is>
      </c>
      <c r="K578" s="46" t="inlineStr">
        <is>
          <t>Gemma3:27b</t>
        </is>
      </c>
      <c r="L578" s="46" t="inlineStr">
        <is>
          <t>0.3</t>
        </is>
      </c>
      <c r="M578" s="73" t="inlineStr">
        <is>
          <t>Complete</t>
        </is>
      </c>
    </row>
    <row r="579" ht="13.5" customHeight="1" s="38">
      <c r="A579" s="46" t="inlineStr">
        <is>
          <t>B_S2_SC03_I06</t>
        </is>
      </c>
      <c r="B579" s="46" t="inlineStr">
        <is>
          <t>R_0836</t>
        </is>
      </c>
      <c r="C579" s="46" t="inlineStr">
        <is>
          <t>Strategy 2 – Zero-Shot + Template + BLUF</t>
        </is>
      </c>
      <c r="D579" s="46" t="inlineStr">
        <is>
          <t>SC03</t>
        </is>
      </c>
      <c r="E579" s="46" t="inlineStr">
        <is>
          <t>Business Email Compromise</t>
        </is>
      </c>
      <c r="F579" s="47" t="n">
        <v>6</v>
      </c>
      <c r="G579" s="46" t="inlineStr">
        <is>
          <t>Gemma3:27b via Ollama</t>
        </is>
      </c>
      <c r="H579" s="48" t="n">
        <v>46163</v>
      </c>
      <c r="I579" s="46" t="inlineStr">
        <is>
          <t>8.735</t>
        </is>
      </c>
      <c r="J579" s="46" t="inlineStr">
        <is>
          <t>66.40</t>
        </is>
      </c>
      <c r="K579" s="46" t="inlineStr">
        <is>
          <t>Gemma3:27b</t>
        </is>
      </c>
      <c r="L579" s="46" t="inlineStr">
        <is>
          <t>0.3</t>
        </is>
      </c>
      <c r="M579" s="73" t="inlineStr">
        <is>
          <t>Complete</t>
        </is>
      </c>
    </row>
    <row r="580" ht="13.5" customHeight="1" s="38">
      <c r="A580" s="46" t="inlineStr">
        <is>
          <t>B_S2_SC03_I07</t>
        </is>
      </c>
      <c r="B580" s="46" t="inlineStr">
        <is>
          <t>R_0793</t>
        </is>
      </c>
      <c r="C580" s="46" t="inlineStr">
        <is>
          <t>Strategy 2 – Zero-Shot + Template + BLUF</t>
        </is>
      </c>
      <c r="D580" s="46" t="inlineStr">
        <is>
          <t>SC03</t>
        </is>
      </c>
      <c r="E580" s="46" t="inlineStr">
        <is>
          <t>Business Email Compromise</t>
        </is>
      </c>
      <c r="F580" s="47" t="n">
        <v>7</v>
      </c>
      <c r="G580" s="46" t="inlineStr">
        <is>
          <t>Gemma3:27b via Ollama</t>
        </is>
      </c>
      <c r="H580" s="48" t="n">
        <v>46163</v>
      </c>
      <c r="I580" s="46" t="inlineStr">
        <is>
          <t>8.875</t>
        </is>
      </c>
      <c r="J580" s="46" t="inlineStr">
        <is>
          <t>66.14</t>
        </is>
      </c>
      <c r="K580" s="46" t="inlineStr">
        <is>
          <t>Gemma3:27b</t>
        </is>
      </c>
      <c r="L580" s="46" t="inlineStr">
        <is>
          <t>0.3</t>
        </is>
      </c>
      <c r="M580" s="73" t="inlineStr">
        <is>
          <t>Complete</t>
        </is>
      </c>
    </row>
    <row r="581" ht="13.5" customHeight="1" s="38">
      <c r="A581" s="46" t="inlineStr">
        <is>
          <t>B_S2_SC03_I08</t>
        </is>
      </c>
      <c r="B581" s="46" t="inlineStr">
        <is>
          <t>R_0993</t>
        </is>
      </c>
      <c r="C581" s="46" t="inlineStr">
        <is>
          <t>Strategy 2 – Zero-Shot + Template + BLUF</t>
        </is>
      </c>
      <c r="D581" s="46" t="inlineStr">
        <is>
          <t>SC03</t>
        </is>
      </c>
      <c r="E581" s="46" t="inlineStr">
        <is>
          <t>Business Email Compromise</t>
        </is>
      </c>
      <c r="F581" s="47" t="n">
        <v>8</v>
      </c>
      <c r="G581" s="46" t="inlineStr">
        <is>
          <t>Gemma3:27b via Ollama</t>
        </is>
      </c>
      <c r="H581" s="48" t="n">
        <v>46163</v>
      </c>
      <c r="I581" s="46" t="inlineStr">
        <is>
          <t>8.663</t>
        </is>
      </c>
      <c r="J581" s="46" t="inlineStr">
        <is>
          <t>67.64</t>
        </is>
      </c>
      <c r="K581" s="46" t="inlineStr">
        <is>
          <t>Gemma3:27b</t>
        </is>
      </c>
      <c r="L581" s="46" t="inlineStr">
        <is>
          <t>0.3</t>
        </is>
      </c>
      <c r="M581" s="73" t="inlineStr">
        <is>
          <t>Complete</t>
        </is>
      </c>
    </row>
    <row r="582" ht="13.5" customHeight="1" s="38">
      <c r="A582" s="46" t="inlineStr">
        <is>
          <t>B_S2_SC03_I09</t>
        </is>
      </c>
      <c r="B582" s="46" t="inlineStr">
        <is>
          <t>R_0589</t>
        </is>
      </c>
      <c r="C582" s="46" t="inlineStr">
        <is>
          <t>Strategy 2 – Zero-Shot + Template + BLUF</t>
        </is>
      </c>
      <c r="D582" s="46" t="inlineStr">
        <is>
          <t>SC03</t>
        </is>
      </c>
      <c r="E582" s="46" t="inlineStr">
        <is>
          <t>Business Email Compromise</t>
        </is>
      </c>
      <c r="F582" s="47" t="n">
        <v>9</v>
      </c>
      <c r="G582" s="46" t="inlineStr">
        <is>
          <t>Gemma3:27b via Ollama</t>
        </is>
      </c>
      <c r="H582" s="48" t="n">
        <v>46163</v>
      </c>
      <c r="I582" s="46" t="inlineStr">
        <is>
          <t>9.311</t>
        </is>
      </c>
      <c r="J582" s="46" t="inlineStr">
        <is>
          <t>67.56</t>
        </is>
      </c>
      <c r="K582" s="46" t="inlineStr">
        <is>
          <t>Gemma3:27b</t>
        </is>
      </c>
      <c r="L582" s="46" t="inlineStr">
        <is>
          <t>0.3</t>
        </is>
      </c>
      <c r="M582" s="73" t="inlineStr">
        <is>
          <t>Complete</t>
        </is>
      </c>
    </row>
    <row r="583" ht="13.5" customHeight="1" s="38">
      <c r="A583" s="46" t="inlineStr">
        <is>
          <t>B_S2_SC03_I10</t>
        </is>
      </c>
      <c r="B583" s="46" t="inlineStr">
        <is>
          <t>R_0209</t>
        </is>
      </c>
      <c r="C583" s="46" t="inlineStr">
        <is>
          <t>Strategy 2 – Zero-Shot + Template + BLUF</t>
        </is>
      </c>
      <c r="D583" s="46" t="inlineStr">
        <is>
          <t>SC03</t>
        </is>
      </c>
      <c r="E583" s="46" t="inlineStr">
        <is>
          <t>Business Email Compromise</t>
        </is>
      </c>
      <c r="F583" s="47" t="n">
        <v>10</v>
      </c>
      <c r="G583" s="46" t="inlineStr">
        <is>
          <t>Gemma3:27b via Ollama</t>
        </is>
      </c>
      <c r="H583" s="48" t="n">
        <v>46163</v>
      </c>
      <c r="I583" s="46" t="inlineStr">
        <is>
          <t>8.547</t>
        </is>
      </c>
      <c r="J583" s="46" t="inlineStr">
        <is>
          <t>67.75</t>
        </is>
      </c>
      <c r="K583" s="46" t="inlineStr">
        <is>
          <t>Gemma3:27b</t>
        </is>
      </c>
      <c r="L583" s="46" t="inlineStr">
        <is>
          <t>0.3</t>
        </is>
      </c>
      <c r="M583" s="73" t="inlineStr">
        <is>
          <t>Complete</t>
        </is>
      </c>
    </row>
    <row r="584" ht="13.5" customHeight="1" s="38">
      <c r="A584" s="46" t="inlineStr">
        <is>
          <t>B_S2_SC04_I01</t>
        </is>
      </c>
      <c r="B584" s="46" t="inlineStr">
        <is>
          <t>R_0352</t>
        </is>
      </c>
      <c r="C584" s="46" t="inlineStr">
        <is>
          <t>Strategy 2 – Zero-Shot + Template + BLUF</t>
        </is>
      </c>
      <c r="D584" s="46" t="inlineStr">
        <is>
          <t>SC04</t>
        </is>
      </c>
      <c r="E584" s="46" t="inlineStr">
        <is>
          <t>Business Email Compromise</t>
        </is>
      </c>
      <c r="F584" s="47" t="n">
        <v>1</v>
      </c>
      <c r="G584" s="46" t="inlineStr">
        <is>
          <t>Gemma3:27b via Ollama</t>
        </is>
      </c>
      <c r="H584" s="48" t="n">
        <v>46166</v>
      </c>
      <c r="I584" s="46" t="inlineStr">
        <is>
          <t>8.309</t>
        </is>
      </c>
      <c r="J584" s="46" t="inlineStr">
        <is>
          <t>67.64</t>
        </is>
      </c>
      <c r="K584" s="46" t="inlineStr">
        <is>
          <t>Gemma3:27b</t>
        </is>
      </c>
      <c r="L584" s="46" t="inlineStr">
        <is>
          <t>0.3</t>
        </is>
      </c>
      <c r="M584" s="73" t="inlineStr">
        <is>
          <t>Complete</t>
        </is>
      </c>
    </row>
    <row r="585" ht="13.5" customHeight="1" s="38">
      <c r="A585" s="46" t="inlineStr">
        <is>
          <t>B_S2_SC04_I02</t>
        </is>
      </c>
      <c r="B585" s="46" t="inlineStr">
        <is>
          <t>R_0216</t>
        </is>
      </c>
      <c r="C585" s="46" t="inlineStr">
        <is>
          <t>Strategy 2 – Zero-Shot + Template + BLUF</t>
        </is>
      </c>
      <c r="D585" s="46" t="inlineStr">
        <is>
          <t>SC04</t>
        </is>
      </c>
      <c r="E585" s="46" t="inlineStr">
        <is>
          <t>Business Email Compromise</t>
        </is>
      </c>
      <c r="F585" s="47" t="n">
        <v>2</v>
      </c>
      <c r="G585" s="46" t="inlineStr">
        <is>
          <t>Gemma3:27b via Ollama</t>
        </is>
      </c>
      <c r="H585" s="48" t="n">
        <v>46166</v>
      </c>
      <c r="I585" s="46" t="inlineStr">
        <is>
          <t>7.713</t>
        </is>
      </c>
      <c r="J585" s="46" t="inlineStr">
        <is>
          <t>67.68</t>
        </is>
      </c>
      <c r="K585" s="46" t="inlineStr">
        <is>
          <t>Gemma3:27b</t>
        </is>
      </c>
      <c r="L585" s="46" t="inlineStr">
        <is>
          <t>0.3</t>
        </is>
      </c>
      <c r="M585" s="73" t="inlineStr">
        <is>
          <t>Complete</t>
        </is>
      </c>
    </row>
    <row r="586" ht="13.5" customHeight="1" s="38">
      <c r="A586" s="46" t="inlineStr">
        <is>
          <t>B_S2_SC04_I03</t>
        </is>
      </c>
      <c r="B586" s="46" t="inlineStr">
        <is>
          <t>R_0289</t>
        </is>
      </c>
      <c r="C586" s="46" t="inlineStr">
        <is>
          <t>Strategy 2 – Zero-Shot + Template + BLUF</t>
        </is>
      </c>
      <c r="D586" s="46" t="inlineStr">
        <is>
          <t>SC04</t>
        </is>
      </c>
      <c r="E586" s="46" t="inlineStr">
        <is>
          <t>Business Email Compromise</t>
        </is>
      </c>
      <c r="F586" s="47" t="n">
        <v>3</v>
      </c>
      <c r="G586" s="46" t="inlineStr">
        <is>
          <t>Gemma3:27b via Ollama</t>
        </is>
      </c>
      <c r="H586" s="48" t="n">
        <v>46166</v>
      </c>
      <c r="I586" s="46" t="inlineStr">
        <is>
          <t>8.305</t>
        </is>
      </c>
      <c r="J586" s="46" t="inlineStr">
        <is>
          <t>66.95</t>
        </is>
      </c>
      <c r="K586" s="46" t="inlineStr">
        <is>
          <t>Gemma3:27b</t>
        </is>
      </c>
      <c r="L586" s="46" t="inlineStr">
        <is>
          <t>0.3</t>
        </is>
      </c>
      <c r="M586" s="73" t="inlineStr">
        <is>
          <t>Complete</t>
        </is>
      </c>
    </row>
    <row r="587" ht="13.5" customHeight="1" s="38">
      <c r="A587" s="46" t="inlineStr">
        <is>
          <t>B_S2_SC04_I04</t>
        </is>
      </c>
      <c r="B587" s="46" t="inlineStr">
        <is>
          <t>R_0279</t>
        </is>
      </c>
      <c r="C587" s="46" t="inlineStr">
        <is>
          <t>Strategy 2 – Zero-Shot + Template + BLUF</t>
        </is>
      </c>
      <c r="D587" s="46" t="inlineStr">
        <is>
          <t>SC04</t>
        </is>
      </c>
      <c r="E587" s="46" t="inlineStr">
        <is>
          <t>Business Email Compromise</t>
        </is>
      </c>
      <c r="F587" s="47" t="n">
        <v>4</v>
      </c>
      <c r="G587" s="46" t="inlineStr">
        <is>
          <t>Gemma3:27b via Ollama</t>
        </is>
      </c>
      <c r="H587" s="48" t="n">
        <v>46166</v>
      </c>
      <c r="I587" s="46" t="inlineStr">
        <is>
          <t>8.764</t>
        </is>
      </c>
      <c r="J587" s="46" t="inlineStr">
        <is>
          <t>67.67</t>
        </is>
      </c>
      <c r="K587" s="46" t="inlineStr">
        <is>
          <t>Gemma3:27b</t>
        </is>
      </c>
      <c r="L587" s="46" t="inlineStr">
        <is>
          <t>0.3</t>
        </is>
      </c>
      <c r="M587" s="73" t="inlineStr">
        <is>
          <t>Complete</t>
        </is>
      </c>
    </row>
    <row r="588" ht="13.5" customHeight="1" s="38">
      <c r="A588" s="46" t="inlineStr">
        <is>
          <t>B_S2_SC04_I05</t>
        </is>
      </c>
      <c r="B588" s="46" t="inlineStr">
        <is>
          <t>R_0969</t>
        </is>
      </c>
      <c r="C588" s="46" t="inlineStr">
        <is>
          <t>Strategy 2 – Zero-Shot + Template + BLUF</t>
        </is>
      </c>
      <c r="D588" s="46" t="inlineStr">
        <is>
          <t>SC04</t>
        </is>
      </c>
      <c r="E588" s="46" t="inlineStr">
        <is>
          <t>Business Email Compromise</t>
        </is>
      </c>
      <c r="F588" s="47" t="n">
        <v>5</v>
      </c>
      <c r="G588" s="46" t="inlineStr">
        <is>
          <t>Gemma3:27b via Ollama</t>
        </is>
      </c>
      <c r="H588" s="48" t="n">
        <v>46166</v>
      </c>
      <c r="I588" s="46" t="inlineStr">
        <is>
          <t>9.549</t>
        </is>
      </c>
      <c r="J588" s="46" t="inlineStr">
        <is>
          <t>65.97</t>
        </is>
      </c>
      <c r="K588" s="46" t="inlineStr">
        <is>
          <t>Gemma3:27b</t>
        </is>
      </c>
      <c r="L588" s="46" t="inlineStr">
        <is>
          <t>0.3</t>
        </is>
      </c>
      <c r="M588" s="73" t="inlineStr">
        <is>
          <t>Complete</t>
        </is>
      </c>
    </row>
    <row r="589" ht="13.5" customHeight="1" s="38">
      <c r="A589" s="46" t="inlineStr">
        <is>
          <t>B_S2_SC04_I06</t>
        </is>
      </c>
      <c r="B589" s="46" t="inlineStr">
        <is>
          <t>R_0835</t>
        </is>
      </c>
      <c r="C589" s="46" t="inlineStr">
        <is>
          <t>Strategy 2 – Zero-Shot + Template + BLUF</t>
        </is>
      </c>
      <c r="D589" s="46" t="inlineStr">
        <is>
          <t>SC04</t>
        </is>
      </c>
      <c r="E589" s="46" t="inlineStr">
        <is>
          <t>Business Email Compromise</t>
        </is>
      </c>
      <c r="F589" s="47" t="n">
        <v>6</v>
      </c>
      <c r="G589" s="46" t="inlineStr">
        <is>
          <t>Gemma3:27b via Ollama</t>
        </is>
      </c>
      <c r="H589" s="48" t="n">
        <v>46166</v>
      </c>
      <c r="I589" s="46" t="inlineStr">
        <is>
          <t>8.484</t>
        </is>
      </c>
      <c r="J589" s="46" t="inlineStr">
        <is>
          <t>66.00</t>
        </is>
      </c>
      <c r="K589" s="46" t="inlineStr">
        <is>
          <t>Gemma3:27b</t>
        </is>
      </c>
      <c r="L589" s="46" t="inlineStr">
        <is>
          <t>0.3</t>
        </is>
      </c>
      <c r="M589" s="73" t="inlineStr">
        <is>
          <t>Complete</t>
        </is>
      </c>
    </row>
    <row r="590" ht="13.5" customHeight="1" s="38">
      <c r="A590" s="46" t="inlineStr">
        <is>
          <t>B_S2_SC04_I07</t>
        </is>
      </c>
      <c r="B590" s="46" t="inlineStr">
        <is>
          <t>R_0110</t>
        </is>
      </c>
      <c r="C590" s="46" t="inlineStr">
        <is>
          <t>Strategy 2 – Zero-Shot + Template + BLUF</t>
        </is>
      </c>
      <c r="D590" s="46" t="inlineStr">
        <is>
          <t>SC04</t>
        </is>
      </c>
      <c r="E590" s="46" t="inlineStr">
        <is>
          <t>Business Email Compromise</t>
        </is>
      </c>
      <c r="F590" s="47" t="n">
        <v>7</v>
      </c>
      <c r="G590" s="46" t="inlineStr">
        <is>
          <t>Gemma3:27b via Ollama</t>
        </is>
      </c>
      <c r="H590" s="48" t="n">
        <v>46166</v>
      </c>
      <c r="I590" s="46" t="inlineStr">
        <is>
          <t>7.978</t>
        </is>
      </c>
      <c r="J590" s="46" t="inlineStr">
        <is>
          <t>66.18</t>
        </is>
      </c>
      <c r="K590" s="46" t="inlineStr">
        <is>
          <t>Gemma3:27b</t>
        </is>
      </c>
      <c r="L590" s="46" t="inlineStr">
        <is>
          <t>0.3</t>
        </is>
      </c>
      <c r="M590" s="73" t="inlineStr">
        <is>
          <t>Complete</t>
        </is>
      </c>
    </row>
    <row r="591" ht="13.5" customHeight="1" s="38">
      <c r="A591" s="46" t="inlineStr">
        <is>
          <t>B_S2_SC04_I08</t>
        </is>
      </c>
      <c r="B591" s="46" t="inlineStr">
        <is>
          <t>R_0119</t>
        </is>
      </c>
      <c r="C591" s="46" t="inlineStr">
        <is>
          <t>Strategy 2 – Zero-Shot + Template + BLUF</t>
        </is>
      </c>
      <c r="D591" s="46" t="inlineStr">
        <is>
          <t>SC04</t>
        </is>
      </c>
      <c r="E591" s="46" t="inlineStr">
        <is>
          <t>Business Email Compromise</t>
        </is>
      </c>
      <c r="F591" s="47" t="n">
        <v>8</v>
      </c>
      <c r="G591" s="46" t="inlineStr">
        <is>
          <t>Gemma3:27b via Ollama</t>
        </is>
      </c>
      <c r="H591" s="48" t="n">
        <v>46166</v>
      </c>
      <c r="I591" s="46" t="inlineStr">
        <is>
          <t>8.437</t>
        </is>
      </c>
      <c r="J591" s="46" t="inlineStr">
        <is>
          <t>67.68</t>
        </is>
      </c>
      <c r="K591" s="46" t="inlineStr">
        <is>
          <t>Gemma3:27b</t>
        </is>
      </c>
      <c r="L591" s="46" t="inlineStr">
        <is>
          <t>0.3</t>
        </is>
      </c>
      <c r="M591" s="73" t="inlineStr">
        <is>
          <t>Complete</t>
        </is>
      </c>
    </row>
    <row r="592" ht="13.5" customHeight="1" s="38">
      <c r="A592" s="46" t="inlineStr">
        <is>
          <t>B_S2_SC04_I09</t>
        </is>
      </c>
      <c r="B592" s="46" t="inlineStr">
        <is>
          <t>R_0957</t>
        </is>
      </c>
      <c r="C592" s="46" t="inlineStr">
        <is>
          <t>Strategy 2 – Zero-Shot + Template + BLUF</t>
        </is>
      </c>
      <c r="D592" s="46" t="inlineStr">
        <is>
          <t>SC04</t>
        </is>
      </c>
      <c r="E592" s="46" t="inlineStr">
        <is>
          <t>Business Email Compromise</t>
        </is>
      </c>
      <c r="F592" s="47" t="n">
        <v>9</v>
      </c>
      <c r="G592" s="46" t="inlineStr">
        <is>
          <t>Gemma3:27b via Ollama</t>
        </is>
      </c>
      <c r="H592" s="48" t="n">
        <v>46166</v>
      </c>
      <c r="I592" s="46" t="inlineStr">
        <is>
          <t>8.300</t>
        </is>
      </c>
      <c r="J592" s="46" t="inlineStr">
        <is>
          <t>66.63</t>
        </is>
      </c>
      <c r="K592" s="46" t="inlineStr">
        <is>
          <t>Gemma3:27b</t>
        </is>
      </c>
      <c r="L592" s="46" t="inlineStr">
        <is>
          <t>0.3</t>
        </is>
      </c>
      <c r="M592" s="73" t="inlineStr">
        <is>
          <t>Complete</t>
        </is>
      </c>
    </row>
    <row r="593" ht="13.5" customHeight="1" s="38">
      <c r="A593" s="46" t="inlineStr">
        <is>
          <t>B_S2_SC04_I10</t>
        </is>
      </c>
      <c r="B593" s="46" t="inlineStr">
        <is>
          <t>R_0138</t>
        </is>
      </c>
      <c r="C593" s="46" t="inlineStr">
        <is>
          <t>Strategy 2 – Zero-Shot + Template + BLUF</t>
        </is>
      </c>
      <c r="D593" s="46" t="inlineStr">
        <is>
          <t>SC04</t>
        </is>
      </c>
      <c r="E593" s="46" t="inlineStr">
        <is>
          <t>Business Email Compromise</t>
        </is>
      </c>
      <c r="F593" s="47" t="n">
        <v>10</v>
      </c>
      <c r="G593" s="46" t="inlineStr">
        <is>
          <t>Gemma3:27b via Ollama</t>
        </is>
      </c>
      <c r="H593" s="48" t="n">
        <v>46166</v>
      </c>
      <c r="I593" s="46" t="inlineStr">
        <is>
          <t>7.726</t>
        </is>
      </c>
      <c r="J593" s="46" t="inlineStr">
        <is>
          <t>67.69</t>
        </is>
      </c>
      <c r="K593" s="46" t="inlineStr">
        <is>
          <t>Gemma3:27b</t>
        </is>
      </c>
      <c r="L593" s="46" t="inlineStr">
        <is>
          <t>0.3</t>
        </is>
      </c>
      <c r="M593" s="73" t="inlineStr">
        <is>
          <t>Complete</t>
        </is>
      </c>
    </row>
    <row r="594" ht="13.5" customHeight="1" s="38">
      <c r="A594" s="46" t="inlineStr">
        <is>
          <t>B_S2_SC05_I01</t>
        </is>
      </c>
      <c r="B594" s="46" t="inlineStr">
        <is>
          <t>R_0107</t>
        </is>
      </c>
      <c r="C594" s="46" t="inlineStr">
        <is>
          <t>Strategy 2 – Zero-Shot + Template + BLUF</t>
        </is>
      </c>
      <c r="D594" s="46" t="inlineStr">
        <is>
          <t>SC05</t>
        </is>
      </c>
      <c r="E594" s="46" t="inlineStr">
        <is>
          <t>Business Email Compromise</t>
        </is>
      </c>
      <c r="F594" s="47" t="n">
        <v>1</v>
      </c>
      <c r="G594" s="46" t="inlineStr">
        <is>
          <t>Gemma3:27b via Ollama</t>
        </is>
      </c>
      <c r="H594" s="48" t="n">
        <v>46166</v>
      </c>
      <c r="I594" s="46" t="inlineStr">
        <is>
          <t>8.630</t>
        </is>
      </c>
      <c r="J594" s="46" t="inlineStr">
        <is>
          <t>67.78</t>
        </is>
      </c>
      <c r="K594" s="46" t="inlineStr">
        <is>
          <t>Gemma3:27b</t>
        </is>
      </c>
      <c r="L594" s="46" t="inlineStr">
        <is>
          <t>0.3</t>
        </is>
      </c>
      <c r="M594" s="73" t="inlineStr">
        <is>
          <t>Complete</t>
        </is>
      </c>
    </row>
    <row r="595" ht="13.5" customHeight="1" s="38">
      <c r="A595" s="46" t="inlineStr">
        <is>
          <t>B_S2_SC05_I02</t>
        </is>
      </c>
      <c r="B595" s="46" t="inlineStr">
        <is>
          <t>R_0307</t>
        </is>
      </c>
      <c r="C595" s="46" t="inlineStr">
        <is>
          <t>Strategy 2 – Zero-Shot + Template + BLUF</t>
        </is>
      </c>
      <c r="D595" s="46" t="inlineStr">
        <is>
          <t>SC05</t>
        </is>
      </c>
      <c r="E595" s="46" t="inlineStr">
        <is>
          <t>Business Email Compromise</t>
        </is>
      </c>
      <c r="F595" s="47" t="n">
        <v>2</v>
      </c>
      <c r="G595" s="46" t="inlineStr">
        <is>
          <t>Gemma3:27b via Ollama</t>
        </is>
      </c>
      <c r="H595" s="48" t="n">
        <v>46166</v>
      </c>
      <c r="I595" s="46" t="inlineStr">
        <is>
          <t>8.275</t>
        </is>
      </c>
      <c r="J595" s="46" t="inlineStr">
        <is>
          <t>66.95</t>
        </is>
      </c>
      <c r="K595" s="46" t="inlineStr">
        <is>
          <t>Gemma3:27b</t>
        </is>
      </c>
      <c r="L595" s="46" t="inlineStr">
        <is>
          <t>0.3</t>
        </is>
      </c>
      <c r="M595" s="73" t="inlineStr">
        <is>
          <t>Complete</t>
        </is>
      </c>
    </row>
    <row r="596" ht="13.5" customHeight="1" s="38">
      <c r="A596" s="46" t="inlineStr">
        <is>
          <t>B_S2_SC05_I03</t>
        </is>
      </c>
      <c r="B596" s="46" t="inlineStr">
        <is>
          <t>R_0746</t>
        </is>
      </c>
      <c r="C596" s="46" t="inlineStr">
        <is>
          <t>Strategy 2 – Zero-Shot + Template + BLUF</t>
        </is>
      </c>
      <c r="D596" s="46" t="inlineStr">
        <is>
          <t>SC05</t>
        </is>
      </c>
      <c r="E596" s="46" t="inlineStr">
        <is>
          <t>Business Email Compromise</t>
        </is>
      </c>
      <c r="F596" s="47" t="n">
        <v>3</v>
      </c>
      <c r="G596" s="46" t="inlineStr">
        <is>
          <t>Gemma3:27b via Ollama</t>
        </is>
      </c>
      <c r="H596" s="48" t="n">
        <v>46166</v>
      </c>
      <c r="I596" s="46" t="inlineStr">
        <is>
          <t>8.549</t>
        </is>
      </c>
      <c r="J596" s="46" t="inlineStr">
        <is>
          <t>67.61</t>
        </is>
      </c>
      <c r="K596" s="46" t="inlineStr">
        <is>
          <t>Gemma3:27b</t>
        </is>
      </c>
      <c r="L596" s="46" t="inlineStr">
        <is>
          <t>0.3</t>
        </is>
      </c>
      <c r="M596" s="73" t="inlineStr">
        <is>
          <t>Complete</t>
        </is>
      </c>
    </row>
    <row r="597" ht="13.5" customHeight="1" s="38">
      <c r="A597" s="46" t="inlineStr">
        <is>
          <t>B_S2_SC05_I04</t>
        </is>
      </c>
      <c r="B597" s="46" t="inlineStr">
        <is>
          <t>R_0009</t>
        </is>
      </c>
      <c r="C597" s="46" t="inlineStr">
        <is>
          <t>Strategy 2 – Zero-Shot + Template + BLUF</t>
        </is>
      </c>
      <c r="D597" s="46" t="inlineStr">
        <is>
          <t>SC05</t>
        </is>
      </c>
      <c r="E597" s="46" t="inlineStr">
        <is>
          <t>Business Email Compromise</t>
        </is>
      </c>
      <c r="F597" s="47" t="n">
        <v>4</v>
      </c>
      <c r="G597" s="46" t="inlineStr">
        <is>
          <t>Gemma3:27b via Ollama</t>
        </is>
      </c>
      <c r="H597" s="48" t="n">
        <v>46166</v>
      </c>
      <c r="I597" s="46" t="inlineStr">
        <is>
          <t>8.689</t>
        </is>
      </c>
      <c r="J597" s="46" t="inlineStr">
        <is>
          <t>67.56</t>
        </is>
      </c>
      <c r="K597" s="46" t="inlineStr">
        <is>
          <t>Gemma3:27b</t>
        </is>
      </c>
      <c r="L597" s="46" t="inlineStr">
        <is>
          <t>0.3</t>
        </is>
      </c>
      <c r="M597" s="73" t="inlineStr">
        <is>
          <t>Complete</t>
        </is>
      </c>
    </row>
    <row r="598" ht="13.5" customHeight="1" s="38">
      <c r="A598" s="46" t="inlineStr">
        <is>
          <t>B_S2_SC05_I05</t>
        </is>
      </c>
      <c r="B598" s="46" t="inlineStr">
        <is>
          <t>R_0837</t>
        </is>
      </c>
      <c r="C598" s="46" t="inlineStr">
        <is>
          <t>Strategy 2 – Zero-Shot + Template + BLUF</t>
        </is>
      </c>
      <c r="D598" s="46" t="inlineStr">
        <is>
          <t>SC05</t>
        </is>
      </c>
      <c r="E598" s="46" t="inlineStr">
        <is>
          <t>Business Email Compromise</t>
        </is>
      </c>
      <c r="F598" s="47" t="n">
        <v>5</v>
      </c>
      <c r="G598" s="46" t="inlineStr">
        <is>
          <t>Gemma3:27b via Ollama</t>
        </is>
      </c>
      <c r="H598" s="48" t="n">
        <v>46166</v>
      </c>
      <c r="I598" s="46" t="inlineStr">
        <is>
          <t>8.301</t>
        </is>
      </c>
      <c r="J598" s="46" t="inlineStr">
        <is>
          <t>67.70</t>
        </is>
      </c>
      <c r="K598" s="46" t="inlineStr">
        <is>
          <t>Gemma3:27b</t>
        </is>
      </c>
      <c r="L598" s="46" t="inlineStr">
        <is>
          <t>0.3</t>
        </is>
      </c>
      <c r="M598" s="73" t="inlineStr">
        <is>
          <t>Complete</t>
        </is>
      </c>
    </row>
    <row r="599" ht="13.5" customHeight="1" s="38">
      <c r="A599" s="46" t="inlineStr">
        <is>
          <t>B_S2_SC05_I06</t>
        </is>
      </c>
      <c r="B599" s="46" t="inlineStr">
        <is>
          <t>R_0310</t>
        </is>
      </c>
      <c r="C599" s="46" t="inlineStr">
        <is>
          <t>Strategy 2 – Zero-Shot + Template + BLUF</t>
        </is>
      </c>
      <c r="D599" s="46" t="inlineStr">
        <is>
          <t>SC05</t>
        </is>
      </c>
      <c r="E599" s="46" t="inlineStr">
        <is>
          <t>Business Email Compromise</t>
        </is>
      </c>
      <c r="F599" s="47" t="n">
        <v>6</v>
      </c>
      <c r="G599" s="46" t="inlineStr">
        <is>
          <t>Gemma3:27b via Ollama</t>
        </is>
      </c>
      <c r="H599" s="48" t="n">
        <v>46166</v>
      </c>
      <c r="I599" s="46" t="inlineStr">
        <is>
          <t>8.692</t>
        </is>
      </c>
      <c r="J599" s="46" t="inlineStr">
        <is>
          <t>67.07</t>
        </is>
      </c>
      <c r="K599" s="46" t="inlineStr">
        <is>
          <t>Gemma3:27b</t>
        </is>
      </c>
      <c r="L599" s="46" t="inlineStr">
        <is>
          <t>0.3</t>
        </is>
      </c>
      <c r="M599" s="73" t="inlineStr">
        <is>
          <t>Complete</t>
        </is>
      </c>
    </row>
    <row r="600" ht="13.5" customHeight="1" s="38">
      <c r="A600" s="46" t="inlineStr">
        <is>
          <t>B_S2_SC05_I07</t>
        </is>
      </c>
      <c r="B600" s="46" t="inlineStr">
        <is>
          <t>R_0557</t>
        </is>
      </c>
      <c r="C600" s="46" t="inlineStr">
        <is>
          <t>Strategy 2 – Zero-Shot + Template + BLUF</t>
        </is>
      </c>
      <c r="D600" s="46" t="inlineStr">
        <is>
          <t>SC05</t>
        </is>
      </c>
      <c r="E600" s="46" t="inlineStr">
        <is>
          <t>Business Email Compromise</t>
        </is>
      </c>
      <c r="F600" s="47" t="n">
        <v>7</v>
      </c>
      <c r="G600" s="46" t="inlineStr">
        <is>
          <t>Gemma3:27b via Ollama</t>
        </is>
      </c>
      <c r="H600" s="48" t="n">
        <v>46166</v>
      </c>
      <c r="I600" s="46" t="inlineStr">
        <is>
          <t>9.016</t>
        </is>
      </c>
      <c r="J600" s="46" t="inlineStr">
        <is>
          <t>67.55</t>
        </is>
      </c>
      <c r="K600" s="46" t="inlineStr">
        <is>
          <t>Gemma3:27b</t>
        </is>
      </c>
      <c r="L600" s="46" t="inlineStr">
        <is>
          <t>0.3</t>
        </is>
      </c>
      <c r="M600" s="73" t="inlineStr">
        <is>
          <t>Complete</t>
        </is>
      </c>
    </row>
    <row r="601" ht="13.5" customHeight="1" s="38">
      <c r="A601" s="46" t="inlineStr">
        <is>
          <t>B_S2_SC05_I08</t>
        </is>
      </c>
      <c r="B601" s="46" t="inlineStr">
        <is>
          <t>R_0756</t>
        </is>
      </c>
      <c r="C601" s="46" t="inlineStr">
        <is>
          <t>Strategy 2 – Zero-Shot + Template + BLUF</t>
        </is>
      </c>
      <c r="D601" s="46" t="inlineStr">
        <is>
          <t>SC05</t>
        </is>
      </c>
      <c r="E601" s="46" t="inlineStr">
        <is>
          <t>Business Email Compromise</t>
        </is>
      </c>
      <c r="F601" s="47" t="n">
        <v>8</v>
      </c>
      <c r="G601" s="46" t="inlineStr">
        <is>
          <t>Gemma3:27b via Ollama</t>
        </is>
      </c>
      <c r="H601" s="48" t="n">
        <v>46166</v>
      </c>
      <c r="I601" s="46" t="inlineStr">
        <is>
          <t>8.574</t>
        </is>
      </c>
      <c r="J601" s="46" t="inlineStr">
        <is>
          <t>66.02</t>
        </is>
      </c>
      <c r="K601" s="46" t="inlineStr">
        <is>
          <t>Gemma3:27b</t>
        </is>
      </c>
      <c r="L601" s="46" t="inlineStr">
        <is>
          <t>0.3</t>
        </is>
      </c>
      <c r="M601" s="73" t="inlineStr">
        <is>
          <t>Complete</t>
        </is>
      </c>
    </row>
    <row r="602" ht="13.5" customHeight="1" s="38">
      <c r="A602" s="46" t="inlineStr">
        <is>
          <t>B_S2_SC05_I09</t>
        </is>
      </c>
      <c r="B602" s="46" t="inlineStr">
        <is>
          <t>R_0832</t>
        </is>
      </c>
      <c r="C602" s="46" t="inlineStr">
        <is>
          <t>Strategy 2 – Zero-Shot + Template + BLUF</t>
        </is>
      </c>
      <c r="D602" s="46" t="inlineStr">
        <is>
          <t>SC05</t>
        </is>
      </c>
      <c r="E602" s="46" t="inlineStr">
        <is>
          <t>Business Email Compromise</t>
        </is>
      </c>
      <c r="F602" s="47" t="n">
        <v>9</v>
      </c>
      <c r="G602" s="46" t="inlineStr">
        <is>
          <t>Gemma3:27b via Ollama</t>
        </is>
      </c>
      <c r="H602" s="48" t="n">
        <v>46166</v>
      </c>
      <c r="I602" s="46" t="inlineStr">
        <is>
          <t>8.710</t>
        </is>
      </c>
      <c r="J602" s="46" t="inlineStr">
        <is>
          <t>67.16</t>
        </is>
      </c>
      <c r="K602" s="46" t="inlineStr">
        <is>
          <t>Gemma3:27b</t>
        </is>
      </c>
      <c r="L602" s="46" t="inlineStr">
        <is>
          <t>0.3</t>
        </is>
      </c>
      <c r="M602" s="73" t="inlineStr">
        <is>
          <t>Complete</t>
        </is>
      </c>
    </row>
    <row r="603" ht="13.5" customHeight="1" s="38">
      <c r="A603" s="46" t="inlineStr">
        <is>
          <t>B_S2_SC05_I10</t>
        </is>
      </c>
      <c r="B603" s="46" t="inlineStr">
        <is>
          <t>R_0292</t>
        </is>
      </c>
      <c r="C603" s="46" t="inlineStr">
        <is>
          <t>Strategy 2 – Zero-Shot + Template + BLUF</t>
        </is>
      </c>
      <c r="D603" s="46" t="inlineStr">
        <is>
          <t>SC05</t>
        </is>
      </c>
      <c r="E603" s="46" t="inlineStr">
        <is>
          <t>Business Email Compromise</t>
        </is>
      </c>
      <c r="F603" s="47" t="n">
        <v>10</v>
      </c>
      <c r="G603" s="46" t="inlineStr">
        <is>
          <t>Gemma3:27b via Ollama</t>
        </is>
      </c>
      <c r="H603" s="48" t="n">
        <v>46166</v>
      </c>
      <c r="I603" s="46" t="inlineStr">
        <is>
          <t>8.623</t>
        </is>
      </c>
      <c r="J603" s="46" t="inlineStr">
        <is>
          <t>67.61</t>
        </is>
      </c>
      <c r="K603" s="46" t="inlineStr">
        <is>
          <t>Gemma3:27b</t>
        </is>
      </c>
      <c r="L603" s="46" t="inlineStr">
        <is>
          <t>0.3</t>
        </is>
      </c>
      <c r="M603" s="73" t="inlineStr">
        <is>
          <t>Complete</t>
        </is>
      </c>
    </row>
    <row r="604" ht="13.5" customHeight="1" s="38">
      <c r="A604" s="46" t="inlineStr">
        <is>
          <t>R_S3_SC01_I01</t>
        </is>
      </c>
      <c r="B604" s="46" t="inlineStr">
        <is>
          <t>R_0379</t>
        </is>
      </c>
      <c r="C604" s="46" t="inlineStr">
        <is>
          <t>Strategy 3 – One-Shot + Structured Template</t>
        </is>
      </c>
      <c r="D604" s="46" t="inlineStr">
        <is>
          <t>SC01</t>
        </is>
      </c>
      <c r="E604" s="46" t="inlineStr">
        <is>
          <t>Ransomware</t>
        </is>
      </c>
      <c r="F604" s="47" t="n">
        <v>1</v>
      </c>
      <c r="G604" s="46" t="inlineStr">
        <is>
          <t>Gemma3:27b via Ollama</t>
        </is>
      </c>
      <c r="H604" s="48" t="n">
        <v>46164</v>
      </c>
      <c r="I604" s="46" t="inlineStr">
        <is>
          <t>8.735</t>
        </is>
      </c>
      <c r="J604" s="46" t="inlineStr">
        <is>
          <t>67.66</t>
        </is>
      </c>
      <c r="K604" s="46" t="inlineStr">
        <is>
          <t>Gemma3:27b</t>
        </is>
      </c>
      <c r="L604" s="46" t="inlineStr">
        <is>
          <t>0.3</t>
        </is>
      </c>
      <c r="M604" s="73" t="inlineStr">
        <is>
          <t>Complete</t>
        </is>
      </c>
    </row>
    <row r="605" ht="13.5" customHeight="1" s="38">
      <c r="A605" s="46" t="inlineStr">
        <is>
          <t>R_S3_SC01_I02</t>
        </is>
      </c>
      <c r="B605" s="46" t="inlineStr">
        <is>
          <t>R_0904</t>
        </is>
      </c>
      <c r="C605" s="46" t="inlineStr">
        <is>
          <t>Strategy 3 – One-Shot + Structured Template</t>
        </is>
      </c>
      <c r="D605" s="46" t="inlineStr">
        <is>
          <t>SC01</t>
        </is>
      </c>
      <c r="E605" s="46" t="inlineStr">
        <is>
          <t>Ransomware</t>
        </is>
      </c>
      <c r="F605" s="47" t="n">
        <v>2</v>
      </c>
      <c r="G605" s="46" t="inlineStr">
        <is>
          <t>Gemma3:27b via Ollama</t>
        </is>
      </c>
      <c r="H605" s="48" t="n">
        <v>46164</v>
      </c>
      <c r="I605" s="46" t="inlineStr">
        <is>
          <t>7.222</t>
        </is>
      </c>
      <c r="J605" s="46" t="inlineStr">
        <is>
          <t>67.57</t>
        </is>
      </c>
      <c r="K605" s="46" t="inlineStr">
        <is>
          <t>Gemma3:27b</t>
        </is>
      </c>
      <c r="L605" s="46" t="inlineStr">
        <is>
          <t>0.3</t>
        </is>
      </c>
      <c r="M605" s="73" t="inlineStr">
        <is>
          <t>Complete</t>
        </is>
      </c>
    </row>
    <row r="606" ht="13.5" customHeight="1" s="38">
      <c r="A606" s="46" t="inlineStr">
        <is>
          <t>R_S3_SC01_I03</t>
        </is>
      </c>
      <c r="B606" s="46" t="inlineStr">
        <is>
          <t>R_0642</t>
        </is>
      </c>
      <c r="C606" s="46" t="inlineStr">
        <is>
          <t>Strategy 3 – One-Shot + Structured Template</t>
        </is>
      </c>
      <c r="D606" s="46" t="inlineStr">
        <is>
          <t>SC01</t>
        </is>
      </c>
      <c r="E606" s="46" t="inlineStr">
        <is>
          <t>Ransomware</t>
        </is>
      </c>
      <c r="F606" s="47" t="n">
        <v>3</v>
      </c>
      <c r="G606" s="46" t="inlineStr">
        <is>
          <t>Gemma3:27b via Ollama</t>
        </is>
      </c>
      <c r="H606" s="48" t="n">
        <v>46164</v>
      </c>
      <c r="I606" s="46" t="inlineStr">
        <is>
          <t>8.330</t>
        </is>
      </c>
      <c r="J606" s="46" t="inlineStr">
        <is>
          <t>65.67</t>
        </is>
      </c>
      <c r="K606" s="46" t="inlineStr">
        <is>
          <t>Gemma3:27b</t>
        </is>
      </c>
      <c r="L606" s="46" t="inlineStr">
        <is>
          <t>0.3</t>
        </is>
      </c>
      <c r="M606" s="73" t="inlineStr">
        <is>
          <t>Complete</t>
        </is>
      </c>
    </row>
    <row r="607" ht="13.5" customHeight="1" s="38">
      <c r="A607" s="46" t="inlineStr">
        <is>
          <t>R_S3_SC01_I04</t>
        </is>
      </c>
      <c r="B607" s="46" t="inlineStr">
        <is>
          <t>R_0358</t>
        </is>
      </c>
      <c r="C607" s="46" t="inlineStr">
        <is>
          <t>Strategy 3 – One-Shot + Structured Template</t>
        </is>
      </c>
      <c r="D607" s="46" t="inlineStr">
        <is>
          <t>SC01</t>
        </is>
      </c>
      <c r="E607" s="46" t="inlineStr">
        <is>
          <t>Ransomware</t>
        </is>
      </c>
      <c r="F607" s="47" t="n">
        <v>4</v>
      </c>
      <c r="G607" s="46" t="inlineStr">
        <is>
          <t>Gemma3:27b via Ollama</t>
        </is>
      </c>
      <c r="H607" s="48" t="n">
        <v>46164</v>
      </c>
      <c r="I607" s="46" t="inlineStr">
        <is>
          <t>7.290</t>
        </is>
      </c>
      <c r="J607" s="46" t="inlineStr">
        <is>
          <t>66.80</t>
        </is>
      </c>
      <c r="K607" s="46" t="inlineStr">
        <is>
          <t>Gemma3:27b</t>
        </is>
      </c>
      <c r="L607" s="46" t="inlineStr">
        <is>
          <t>0.3</t>
        </is>
      </c>
      <c r="M607" s="73" t="inlineStr">
        <is>
          <t>Complete</t>
        </is>
      </c>
    </row>
    <row r="608" ht="13.5" customHeight="1" s="38">
      <c r="A608" s="46" t="inlineStr">
        <is>
          <t>R_S3_SC01_I05</t>
        </is>
      </c>
      <c r="B608" s="46" t="inlineStr">
        <is>
          <t>R_0817</t>
        </is>
      </c>
      <c r="C608" s="46" t="inlineStr">
        <is>
          <t>Strategy 3 – One-Shot + Structured Template</t>
        </is>
      </c>
      <c r="D608" s="46" t="inlineStr">
        <is>
          <t>SC01</t>
        </is>
      </c>
      <c r="E608" s="46" t="inlineStr">
        <is>
          <t>Ransomware</t>
        </is>
      </c>
      <c r="F608" s="47" t="n">
        <v>5</v>
      </c>
      <c r="G608" s="46" t="inlineStr">
        <is>
          <t>Gemma3:27b via Ollama</t>
        </is>
      </c>
      <c r="H608" s="48" t="n">
        <v>46164</v>
      </c>
      <c r="I608" s="46" t="inlineStr">
        <is>
          <t>7.264</t>
        </is>
      </c>
      <c r="J608" s="46" t="inlineStr">
        <is>
          <t>66.35</t>
        </is>
      </c>
      <c r="K608" s="46" t="inlineStr">
        <is>
          <t>Gemma3:27b</t>
        </is>
      </c>
      <c r="L608" s="46" t="inlineStr">
        <is>
          <t>0.3</t>
        </is>
      </c>
      <c r="M608" s="73" t="inlineStr">
        <is>
          <t>Complete</t>
        </is>
      </c>
    </row>
    <row r="609" ht="13.5" customHeight="1" s="38">
      <c r="A609" s="46" t="inlineStr">
        <is>
          <t>R_S3_SC01_I06</t>
        </is>
      </c>
      <c r="B609" s="46" t="inlineStr">
        <is>
          <t>R_0621</t>
        </is>
      </c>
      <c r="C609" s="46" t="inlineStr">
        <is>
          <t>Strategy 3 – One-Shot + Structured Template</t>
        </is>
      </c>
      <c r="D609" s="46" t="inlineStr">
        <is>
          <t>SC01</t>
        </is>
      </c>
      <c r="E609" s="46" t="inlineStr">
        <is>
          <t>Ransomware</t>
        </is>
      </c>
      <c r="F609" s="47" t="n">
        <v>6</v>
      </c>
      <c r="G609" s="46" t="inlineStr">
        <is>
          <t>Gemma3:27b via Ollama</t>
        </is>
      </c>
      <c r="H609" s="48" t="n">
        <v>46164</v>
      </c>
      <c r="I609" s="46" t="inlineStr">
        <is>
          <t>7.694</t>
        </is>
      </c>
      <c r="J609" s="46" t="inlineStr">
        <is>
          <t>67.46</t>
        </is>
      </c>
      <c r="K609" s="46" t="inlineStr">
        <is>
          <t>Gemma3:27b</t>
        </is>
      </c>
      <c r="L609" s="46" t="inlineStr">
        <is>
          <t>0.3</t>
        </is>
      </c>
      <c r="M609" s="73" t="inlineStr">
        <is>
          <t>Complete</t>
        </is>
      </c>
    </row>
    <row r="610" ht="13.5" customHeight="1" s="38">
      <c r="A610" s="46" t="inlineStr">
        <is>
          <t>R_S3_SC01_I07</t>
        </is>
      </c>
      <c r="B610" s="46" t="inlineStr">
        <is>
          <t>R_0519</t>
        </is>
      </c>
      <c r="C610" s="46" t="inlineStr">
        <is>
          <t>Strategy 3 – One-Shot + Structured Template</t>
        </is>
      </c>
      <c r="D610" s="46" t="inlineStr">
        <is>
          <t>SC01</t>
        </is>
      </c>
      <c r="E610" s="46" t="inlineStr">
        <is>
          <t>Ransomware</t>
        </is>
      </c>
      <c r="F610" s="47" t="n">
        <v>7</v>
      </c>
      <c r="G610" s="46" t="inlineStr">
        <is>
          <t>Gemma3:27b via Ollama</t>
        </is>
      </c>
      <c r="H610" s="48" t="n">
        <v>46164</v>
      </c>
      <c r="I610" s="46" t="inlineStr">
        <is>
          <t>7.098</t>
        </is>
      </c>
      <c r="J610" s="46" t="inlineStr">
        <is>
          <t>67.49</t>
        </is>
      </c>
      <c r="K610" s="46" t="inlineStr">
        <is>
          <t>Gemma3:27b</t>
        </is>
      </c>
      <c r="L610" s="46" t="inlineStr">
        <is>
          <t>0.3</t>
        </is>
      </c>
      <c r="M610" s="73" t="inlineStr">
        <is>
          <t>Complete</t>
        </is>
      </c>
    </row>
    <row r="611" ht="13.5" customHeight="1" s="38">
      <c r="A611" s="46" t="inlineStr">
        <is>
          <t>R_S3_SC01_I08</t>
        </is>
      </c>
      <c r="B611" s="46" t="inlineStr">
        <is>
          <t>R_0973</t>
        </is>
      </c>
      <c r="C611" s="46" t="inlineStr">
        <is>
          <t>Strategy 3 – One-Shot + Structured Template</t>
        </is>
      </c>
      <c r="D611" s="46" t="inlineStr">
        <is>
          <t>SC01</t>
        </is>
      </c>
      <c r="E611" s="46" t="inlineStr">
        <is>
          <t>Ransomware</t>
        </is>
      </c>
      <c r="F611" s="47" t="n">
        <v>8</v>
      </c>
      <c r="G611" s="46" t="inlineStr">
        <is>
          <t>Gemma3:27b via Ollama</t>
        </is>
      </c>
      <c r="H611" s="48" t="n">
        <v>46164</v>
      </c>
      <c r="I611" s="46" t="inlineStr">
        <is>
          <t>7.366</t>
        </is>
      </c>
      <c r="J611" s="46" t="inlineStr">
        <is>
          <t>67.61</t>
        </is>
      </c>
      <c r="K611" s="46" t="inlineStr">
        <is>
          <t>Gemma3:27b</t>
        </is>
      </c>
      <c r="L611" s="46" t="inlineStr">
        <is>
          <t>0.3</t>
        </is>
      </c>
      <c r="M611" s="73" t="inlineStr">
        <is>
          <t>Complete</t>
        </is>
      </c>
    </row>
    <row r="612" ht="13.5" customHeight="1" s="38">
      <c r="A612" s="46" t="inlineStr">
        <is>
          <t>R_S3_SC01_I09</t>
        </is>
      </c>
      <c r="B612" s="46" t="inlineStr">
        <is>
          <t>R_0551</t>
        </is>
      </c>
      <c r="C612" s="46" t="inlineStr">
        <is>
          <t>Strategy 3 – One-Shot + Structured Template</t>
        </is>
      </c>
      <c r="D612" s="46" t="inlineStr">
        <is>
          <t>SC01</t>
        </is>
      </c>
      <c r="E612" s="46" t="inlineStr">
        <is>
          <t>Ransomware</t>
        </is>
      </c>
      <c r="F612" s="47" t="n">
        <v>9</v>
      </c>
      <c r="G612" s="46" t="inlineStr">
        <is>
          <t>Gemma3:27b via Ollama</t>
        </is>
      </c>
      <c r="H612" s="48" t="n">
        <v>46164</v>
      </c>
      <c r="I612" s="46" t="inlineStr">
        <is>
          <t>7.774</t>
        </is>
      </c>
      <c r="J612" s="46" t="inlineStr">
        <is>
          <t>67.41</t>
        </is>
      </c>
      <c r="K612" s="46" t="inlineStr">
        <is>
          <t>Gemma3:27b</t>
        </is>
      </c>
      <c r="L612" s="46" t="inlineStr">
        <is>
          <t>0.3</t>
        </is>
      </c>
      <c r="M612" s="73" t="inlineStr">
        <is>
          <t>Complete</t>
        </is>
      </c>
    </row>
    <row r="613" ht="13.5" customHeight="1" s="38">
      <c r="A613" s="46" t="inlineStr">
        <is>
          <t>R_S3_SC01_I10</t>
        </is>
      </c>
      <c r="B613" s="46" t="inlineStr">
        <is>
          <t>R_0076</t>
        </is>
      </c>
      <c r="C613" s="46" t="inlineStr">
        <is>
          <t>Strategy 3 – One-Shot + Structured Template</t>
        </is>
      </c>
      <c r="D613" s="46" t="inlineStr">
        <is>
          <t>SC01</t>
        </is>
      </c>
      <c r="E613" s="46" t="inlineStr">
        <is>
          <t>Ransomware</t>
        </is>
      </c>
      <c r="F613" s="47" t="n">
        <v>10</v>
      </c>
      <c r="G613" s="46" t="inlineStr">
        <is>
          <t>Gemma3:27b via Ollama</t>
        </is>
      </c>
      <c r="H613" s="48" t="n">
        <v>46164</v>
      </c>
      <c r="I613" s="46" t="inlineStr">
        <is>
          <t>7.986</t>
        </is>
      </c>
      <c r="J613" s="46" t="inlineStr">
        <is>
          <t>67.49</t>
        </is>
      </c>
      <c r="K613" s="46" t="inlineStr">
        <is>
          <t>Gemma3:27b</t>
        </is>
      </c>
      <c r="L613" s="46" t="inlineStr">
        <is>
          <t>0.3</t>
        </is>
      </c>
      <c r="M613" s="73" t="inlineStr">
        <is>
          <t>Complete</t>
        </is>
      </c>
    </row>
    <row r="614" ht="13.5" customHeight="1" s="38">
      <c r="A614" s="46" t="inlineStr">
        <is>
          <t>R_S3_SC02_I01</t>
        </is>
      </c>
      <c r="B614" s="46" t="inlineStr">
        <is>
          <t>R_0103</t>
        </is>
      </c>
      <c r="C614" s="46" t="inlineStr">
        <is>
          <t>Strategy 3 – One-Shot + Structured Template</t>
        </is>
      </c>
      <c r="D614" s="46" t="inlineStr">
        <is>
          <t>SC02</t>
        </is>
      </c>
      <c r="E614" s="46" t="inlineStr">
        <is>
          <t>Ransomware</t>
        </is>
      </c>
      <c r="F614" s="47" t="n">
        <v>1</v>
      </c>
      <c r="G614" s="46" t="inlineStr">
        <is>
          <t>Gemma3:27b via Ollama</t>
        </is>
      </c>
      <c r="H614" s="48" t="n">
        <v>46164</v>
      </c>
      <c r="I614" s="46" t="inlineStr">
        <is>
          <t>7.830</t>
        </is>
      </c>
      <c r="J614" s="46" t="inlineStr">
        <is>
          <t>66.79</t>
        </is>
      </c>
      <c r="K614" s="46" t="inlineStr">
        <is>
          <t>Gemma3:27b</t>
        </is>
      </c>
      <c r="L614" s="46" t="inlineStr">
        <is>
          <t>0.3</t>
        </is>
      </c>
      <c r="M614" s="73" t="inlineStr">
        <is>
          <t>Complete</t>
        </is>
      </c>
    </row>
    <row r="615" ht="13.5" customHeight="1" s="38">
      <c r="A615" s="46" t="inlineStr">
        <is>
          <t>R_S3_SC02_I02</t>
        </is>
      </c>
      <c r="B615" s="46" t="inlineStr">
        <is>
          <t>R_0577</t>
        </is>
      </c>
      <c r="C615" s="46" t="inlineStr">
        <is>
          <t>Strategy 3 – One-Shot + Structured Template</t>
        </is>
      </c>
      <c r="D615" s="46" t="inlineStr">
        <is>
          <t>SC02</t>
        </is>
      </c>
      <c r="E615" s="46" t="inlineStr">
        <is>
          <t>Ransomware</t>
        </is>
      </c>
      <c r="F615" s="47" t="n">
        <v>2</v>
      </c>
      <c r="G615" s="46" t="inlineStr">
        <is>
          <t>Gemma3:27b via Ollama</t>
        </is>
      </c>
      <c r="H615" s="48" t="n">
        <v>46164</v>
      </c>
      <c r="I615" s="46" t="inlineStr">
        <is>
          <t>7.907</t>
        </is>
      </c>
      <c r="J615" s="46" t="inlineStr">
        <is>
          <t>67.53</t>
        </is>
      </c>
      <c r="K615" s="46" t="inlineStr">
        <is>
          <t>Gemma3:27b</t>
        </is>
      </c>
      <c r="L615" s="46" t="inlineStr">
        <is>
          <t>0.3</t>
        </is>
      </c>
      <c r="M615" s="73" t="inlineStr">
        <is>
          <t>Complete</t>
        </is>
      </c>
    </row>
    <row r="616" ht="13.5" customHeight="1" s="38">
      <c r="A616" s="46" t="inlineStr">
        <is>
          <t>R_S3_SC02_I03</t>
        </is>
      </c>
      <c r="B616" s="46" t="inlineStr">
        <is>
          <t>R_0872</t>
        </is>
      </c>
      <c r="C616" s="46" t="inlineStr">
        <is>
          <t>Strategy 3 – One-Shot + Structured Template</t>
        </is>
      </c>
      <c r="D616" s="46" t="inlineStr">
        <is>
          <t>SC02</t>
        </is>
      </c>
      <c r="E616" s="46" t="inlineStr">
        <is>
          <t>Ransomware</t>
        </is>
      </c>
      <c r="F616" s="47" t="n">
        <v>3</v>
      </c>
      <c r="G616" s="46" t="inlineStr">
        <is>
          <t>Gemma3:27b via Ollama</t>
        </is>
      </c>
      <c r="H616" s="48" t="n">
        <v>46164</v>
      </c>
      <c r="I616" s="46" t="inlineStr">
        <is>
          <t>7.852</t>
        </is>
      </c>
      <c r="J616" s="46" t="inlineStr">
        <is>
          <t>65.72</t>
        </is>
      </c>
      <c r="K616" s="46" t="inlineStr">
        <is>
          <t>Gemma3:27b</t>
        </is>
      </c>
      <c r="L616" s="46" t="inlineStr">
        <is>
          <t>0.3</t>
        </is>
      </c>
      <c r="M616" s="73" t="inlineStr">
        <is>
          <t>Complete</t>
        </is>
      </c>
    </row>
    <row r="617" ht="13.5" customHeight="1" s="38">
      <c r="A617" s="46" t="inlineStr">
        <is>
          <t>R_S3_SC02_I04</t>
        </is>
      </c>
      <c r="B617" s="46" t="inlineStr">
        <is>
          <t>R_0010</t>
        </is>
      </c>
      <c r="C617" s="46" t="inlineStr">
        <is>
          <t>Strategy 3 – One-Shot + Structured Template</t>
        </is>
      </c>
      <c r="D617" s="46" t="inlineStr">
        <is>
          <t>SC02</t>
        </is>
      </c>
      <c r="E617" s="46" t="inlineStr">
        <is>
          <t>Ransomware</t>
        </is>
      </c>
      <c r="F617" s="47" t="n">
        <v>4</v>
      </c>
      <c r="G617" s="46" t="inlineStr">
        <is>
          <t>Gemma3:27b via Ollama</t>
        </is>
      </c>
      <c r="H617" s="48" t="n">
        <v>46164</v>
      </c>
      <c r="I617" s="46" t="inlineStr">
        <is>
          <t>7.694</t>
        </is>
      </c>
      <c r="J617" s="46" t="inlineStr">
        <is>
          <t>65.63</t>
        </is>
      </c>
      <c r="K617" s="46" t="inlineStr">
        <is>
          <t>Gemma3:27b</t>
        </is>
      </c>
      <c r="L617" s="46" t="inlineStr">
        <is>
          <t>0.3</t>
        </is>
      </c>
      <c r="M617" s="73" t="inlineStr">
        <is>
          <t>Complete</t>
        </is>
      </c>
    </row>
    <row r="618" ht="13.5" customHeight="1" s="38">
      <c r="A618" s="46" t="inlineStr">
        <is>
          <t>R_S3_SC02_I05</t>
        </is>
      </c>
      <c r="B618" s="46" t="inlineStr">
        <is>
          <t>R_0075</t>
        </is>
      </c>
      <c r="C618" s="46" t="inlineStr">
        <is>
          <t>Strategy 3 – One-Shot + Structured Template</t>
        </is>
      </c>
      <c r="D618" s="46" t="inlineStr">
        <is>
          <t>SC02</t>
        </is>
      </c>
      <c r="E618" s="46" t="inlineStr">
        <is>
          <t>Ransomware</t>
        </is>
      </c>
      <c r="F618" s="47" t="n">
        <v>5</v>
      </c>
      <c r="G618" s="46" t="inlineStr">
        <is>
          <t>Gemma3:27b via Ollama</t>
        </is>
      </c>
      <c r="H618" s="48" t="n">
        <v>46164</v>
      </c>
      <c r="I618" s="46" t="inlineStr">
        <is>
          <t>7.291</t>
        </is>
      </c>
      <c r="J618" s="46" t="inlineStr">
        <is>
          <t>66.66</t>
        </is>
      </c>
      <c r="K618" s="46" t="inlineStr">
        <is>
          <t>Gemma3:27b</t>
        </is>
      </c>
      <c r="L618" s="46" t="inlineStr">
        <is>
          <t>0.3</t>
        </is>
      </c>
      <c r="M618" s="73" t="inlineStr">
        <is>
          <t>Complete</t>
        </is>
      </c>
    </row>
    <row r="619" ht="13.5" customHeight="1" s="38">
      <c r="A619" s="46" t="inlineStr">
        <is>
          <t>R_S3_SC02_I06</t>
        </is>
      </c>
      <c r="B619" s="46" t="inlineStr">
        <is>
          <t>R_0626</t>
        </is>
      </c>
      <c r="C619" s="46" t="inlineStr">
        <is>
          <t>Strategy 3 – One-Shot + Structured Template</t>
        </is>
      </c>
      <c r="D619" s="46" t="inlineStr">
        <is>
          <t>SC02</t>
        </is>
      </c>
      <c r="E619" s="46" t="inlineStr">
        <is>
          <t>Ransomware</t>
        </is>
      </c>
      <c r="F619" s="47" t="n">
        <v>6</v>
      </c>
      <c r="G619" s="46" t="inlineStr">
        <is>
          <t>Gemma3:27b via Ollama</t>
        </is>
      </c>
      <c r="H619" s="48" t="n">
        <v>46164</v>
      </c>
      <c r="I619" s="46" t="inlineStr">
        <is>
          <t>8.243</t>
        </is>
      </c>
      <c r="J619" s="46" t="inlineStr">
        <is>
          <t>66.48</t>
        </is>
      </c>
      <c r="K619" s="46" t="inlineStr">
        <is>
          <t>Gemma3:27b</t>
        </is>
      </c>
      <c r="L619" s="46" t="inlineStr">
        <is>
          <t>0.3</t>
        </is>
      </c>
      <c r="M619" s="73" t="inlineStr">
        <is>
          <t>Complete</t>
        </is>
      </c>
    </row>
    <row r="620" ht="13.5" customHeight="1" s="38">
      <c r="A620" s="46" t="inlineStr">
        <is>
          <t>R_S3_SC02_I07</t>
        </is>
      </c>
      <c r="B620" s="46" t="inlineStr">
        <is>
          <t>R_0469</t>
        </is>
      </c>
      <c r="C620" s="46" t="inlineStr">
        <is>
          <t>Strategy 3 – One-Shot + Structured Template</t>
        </is>
      </c>
      <c r="D620" s="46" t="inlineStr">
        <is>
          <t>SC02</t>
        </is>
      </c>
      <c r="E620" s="46" t="inlineStr">
        <is>
          <t>Ransomware</t>
        </is>
      </c>
      <c r="F620" s="47" t="n">
        <v>7</v>
      </c>
      <c r="G620" s="46" t="inlineStr">
        <is>
          <t>Gemma3:27b via Ollama</t>
        </is>
      </c>
      <c r="H620" s="48" t="n">
        <v>46164</v>
      </c>
      <c r="I620" s="46" t="inlineStr">
        <is>
          <t>8.572</t>
        </is>
      </c>
      <c r="J620" s="46" t="inlineStr">
        <is>
          <t>65.68</t>
        </is>
      </c>
      <c r="K620" s="46" t="inlineStr">
        <is>
          <t>Gemma3:27b</t>
        </is>
      </c>
      <c r="L620" s="46" t="inlineStr">
        <is>
          <t>0.3</t>
        </is>
      </c>
      <c r="M620" s="73" t="inlineStr">
        <is>
          <t>Complete</t>
        </is>
      </c>
    </row>
    <row r="621" ht="13.5" customHeight="1" s="38">
      <c r="A621" s="46" t="inlineStr">
        <is>
          <t>R_S3_SC02_I08</t>
        </is>
      </c>
      <c r="B621" s="46" t="inlineStr">
        <is>
          <t>R_0308</t>
        </is>
      </c>
      <c r="C621" s="46" t="inlineStr">
        <is>
          <t>Strategy 3 – One-Shot + Structured Template</t>
        </is>
      </c>
      <c r="D621" s="46" t="inlineStr">
        <is>
          <t>SC02</t>
        </is>
      </c>
      <c r="E621" s="46" t="inlineStr">
        <is>
          <t>Ransomware</t>
        </is>
      </c>
      <c r="F621" s="47" t="n">
        <v>8</v>
      </c>
      <c r="G621" s="46" t="inlineStr">
        <is>
          <t>Gemma3:27b via Ollama</t>
        </is>
      </c>
      <c r="H621" s="48" t="n">
        <v>46164</v>
      </c>
      <c r="I621" s="46" t="inlineStr">
        <is>
          <t>8.070</t>
        </is>
      </c>
      <c r="J621" s="46" t="inlineStr">
        <is>
          <t>66.72</t>
        </is>
      </c>
      <c r="K621" s="46" t="inlineStr">
        <is>
          <t>Gemma3:27b</t>
        </is>
      </c>
      <c r="L621" s="46" t="inlineStr">
        <is>
          <t>0.3</t>
        </is>
      </c>
      <c r="M621" s="73" t="inlineStr">
        <is>
          <t>Complete</t>
        </is>
      </c>
    </row>
    <row r="622" ht="13.5" customHeight="1" s="38">
      <c r="A622" s="46" t="inlineStr">
        <is>
          <t>R_S3_SC02_I09</t>
        </is>
      </c>
      <c r="B622" s="46" t="inlineStr">
        <is>
          <t>R_0135</t>
        </is>
      </c>
      <c r="C622" s="46" t="inlineStr">
        <is>
          <t>Strategy 3 – One-Shot + Structured Template</t>
        </is>
      </c>
      <c r="D622" s="46" t="inlineStr">
        <is>
          <t>SC02</t>
        </is>
      </c>
      <c r="E622" s="46" t="inlineStr">
        <is>
          <t>Ransomware</t>
        </is>
      </c>
      <c r="F622" s="47" t="n">
        <v>9</v>
      </c>
      <c r="G622" s="46" t="inlineStr">
        <is>
          <t>Gemma3:27b via Ollama</t>
        </is>
      </c>
      <c r="H622" s="48" t="n">
        <v>46164</v>
      </c>
      <c r="I622" s="46" t="inlineStr">
        <is>
          <t>7.475</t>
        </is>
      </c>
      <c r="J622" s="46" t="inlineStr">
        <is>
          <t>67.43</t>
        </is>
      </c>
      <c r="K622" s="46" t="inlineStr">
        <is>
          <t>Gemma3:27b</t>
        </is>
      </c>
      <c r="L622" s="46" t="inlineStr">
        <is>
          <t>0.3</t>
        </is>
      </c>
      <c r="M622" s="73" t="inlineStr">
        <is>
          <t>Complete</t>
        </is>
      </c>
    </row>
    <row r="623" ht="13.5" customHeight="1" s="38">
      <c r="A623" s="46" t="inlineStr">
        <is>
          <t>R_S3_SC02_I10</t>
        </is>
      </c>
      <c r="B623" s="46" t="inlineStr">
        <is>
          <t>R_0874</t>
        </is>
      </c>
      <c r="C623" s="46" t="inlineStr">
        <is>
          <t>Strategy 3 – One-Shot + Structured Template</t>
        </is>
      </c>
      <c r="D623" s="46" t="inlineStr">
        <is>
          <t>SC02</t>
        </is>
      </c>
      <c r="E623" s="46" t="inlineStr">
        <is>
          <t>Ransomware</t>
        </is>
      </c>
      <c r="F623" s="47" t="n">
        <v>10</v>
      </c>
      <c r="G623" s="46" t="inlineStr">
        <is>
          <t>Gemma3:27b via Ollama</t>
        </is>
      </c>
      <c r="H623" s="48" t="n">
        <v>46164</v>
      </c>
      <c r="I623" s="46" t="inlineStr">
        <is>
          <t>7.583</t>
        </is>
      </c>
      <c r="J623" s="46" t="inlineStr">
        <is>
          <t>67.39</t>
        </is>
      </c>
      <c r="K623" s="46" t="inlineStr">
        <is>
          <t>Gemma3:27b</t>
        </is>
      </c>
      <c r="L623" s="46" t="inlineStr">
        <is>
          <t>0.3</t>
        </is>
      </c>
      <c r="M623" s="73" t="inlineStr">
        <is>
          <t>Complete</t>
        </is>
      </c>
    </row>
    <row r="624" ht="13.5" customHeight="1" s="38">
      <c r="A624" s="46" t="inlineStr">
        <is>
          <t>R_S3_SC03_I01</t>
        </is>
      </c>
      <c r="B624" s="46" t="inlineStr">
        <is>
          <t>R_0684</t>
        </is>
      </c>
      <c r="C624" s="46" t="inlineStr">
        <is>
          <t>Strategy 3 – One-Shot + Structured Template</t>
        </is>
      </c>
      <c r="D624" s="46" t="inlineStr">
        <is>
          <t>SC03</t>
        </is>
      </c>
      <c r="E624" s="46" t="inlineStr">
        <is>
          <t>Ransomware</t>
        </is>
      </c>
      <c r="F624" s="47" t="n">
        <v>1</v>
      </c>
      <c r="G624" s="46" t="inlineStr">
        <is>
          <t>Gemma3:27b via Ollama</t>
        </is>
      </c>
      <c r="H624" s="48" t="n">
        <v>46164</v>
      </c>
      <c r="I624" s="46" t="inlineStr">
        <is>
          <t>6.763</t>
        </is>
      </c>
      <c r="J624" s="46" t="inlineStr">
        <is>
          <t>67.58</t>
        </is>
      </c>
      <c r="K624" s="46" t="inlineStr">
        <is>
          <t>Gemma3:27b</t>
        </is>
      </c>
      <c r="L624" s="46" t="inlineStr">
        <is>
          <t>0.3</t>
        </is>
      </c>
      <c r="M624" s="73" t="inlineStr">
        <is>
          <t>Complete</t>
        </is>
      </c>
    </row>
    <row r="625" ht="13.5" customHeight="1" s="38">
      <c r="A625" s="46" t="inlineStr">
        <is>
          <t>R_S3_SC03_I02</t>
        </is>
      </c>
      <c r="B625" s="46" t="inlineStr">
        <is>
          <t>R_0245</t>
        </is>
      </c>
      <c r="C625" s="46" t="inlineStr">
        <is>
          <t>Strategy 3 – One-Shot + Structured Template</t>
        </is>
      </c>
      <c r="D625" s="46" t="inlineStr">
        <is>
          <t>SC03</t>
        </is>
      </c>
      <c r="E625" s="46" t="inlineStr">
        <is>
          <t>Ransomware</t>
        </is>
      </c>
      <c r="F625" s="47" t="n">
        <v>2</v>
      </c>
      <c r="G625" s="46" t="inlineStr">
        <is>
          <t>Gemma3:27b via Ollama</t>
        </is>
      </c>
      <c r="H625" s="48" t="n">
        <v>46164</v>
      </c>
      <c r="I625" s="46" t="inlineStr">
        <is>
          <t>8.253</t>
        </is>
      </c>
      <c r="J625" s="46" t="inlineStr">
        <is>
          <t>67.49</t>
        </is>
      </c>
      <c r="K625" s="46" t="inlineStr">
        <is>
          <t>Gemma3:27b</t>
        </is>
      </c>
      <c r="L625" s="46" t="inlineStr">
        <is>
          <t>0.3</t>
        </is>
      </c>
      <c r="M625" s="73" t="inlineStr">
        <is>
          <t>Complete</t>
        </is>
      </c>
    </row>
    <row r="626" ht="13.5" customHeight="1" s="38">
      <c r="A626" s="46" t="inlineStr">
        <is>
          <t>R_S3_SC03_I03</t>
        </is>
      </c>
      <c r="B626" s="46" t="inlineStr">
        <is>
          <t>R_0654</t>
        </is>
      </c>
      <c r="C626" s="46" t="inlineStr">
        <is>
          <t>Strategy 3 – One-Shot + Structured Template</t>
        </is>
      </c>
      <c r="D626" s="46" t="inlineStr">
        <is>
          <t>SC03</t>
        </is>
      </c>
      <c r="E626" s="46" t="inlineStr">
        <is>
          <t>Ransomware</t>
        </is>
      </c>
      <c r="F626" s="47" t="n">
        <v>3</v>
      </c>
      <c r="G626" s="46" t="inlineStr">
        <is>
          <t>Gemma3:27b via Ollama</t>
        </is>
      </c>
      <c r="H626" s="48" t="n">
        <v>46164</v>
      </c>
      <c r="I626" s="46" t="inlineStr">
        <is>
          <t>7.458</t>
        </is>
      </c>
      <c r="J626" s="46" t="inlineStr">
        <is>
          <t>67.58</t>
        </is>
      </c>
      <c r="K626" s="46" t="inlineStr">
        <is>
          <t>Gemma3:27b</t>
        </is>
      </c>
      <c r="L626" s="46" t="inlineStr">
        <is>
          <t>0.3</t>
        </is>
      </c>
      <c r="M626" s="73" t="inlineStr">
        <is>
          <t>Complete</t>
        </is>
      </c>
    </row>
    <row r="627" ht="13.5" customHeight="1" s="38">
      <c r="A627" s="46" t="inlineStr">
        <is>
          <t>R_S3_SC03_I04</t>
        </is>
      </c>
      <c r="B627" s="46" t="inlineStr">
        <is>
          <t>R_0210</t>
        </is>
      </c>
      <c r="C627" s="46" t="inlineStr">
        <is>
          <t>Strategy 3 – One-Shot + Structured Template</t>
        </is>
      </c>
      <c r="D627" s="46" t="inlineStr">
        <is>
          <t>SC03</t>
        </is>
      </c>
      <c r="E627" s="46" t="inlineStr">
        <is>
          <t>Ransomware</t>
        </is>
      </c>
      <c r="F627" s="47" t="n">
        <v>4</v>
      </c>
      <c r="G627" s="46" t="inlineStr">
        <is>
          <t>Gemma3:27b via Ollama</t>
        </is>
      </c>
      <c r="H627" s="48" t="n">
        <v>46164</v>
      </c>
      <c r="I627" s="46" t="inlineStr">
        <is>
          <t>8.936</t>
        </is>
      </c>
      <c r="J627" s="46" t="inlineStr">
        <is>
          <t>67.48</t>
        </is>
      </c>
      <c r="K627" s="46" t="inlineStr">
        <is>
          <t>Gemma3:27b</t>
        </is>
      </c>
      <c r="L627" s="46" t="inlineStr">
        <is>
          <t>0.3</t>
        </is>
      </c>
      <c r="M627" s="73" t="inlineStr">
        <is>
          <t>Complete</t>
        </is>
      </c>
    </row>
    <row r="628" ht="13.5" customHeight="1" s="38">
      <c r="A628" s="46" t="inlineStr">
        <is>
          <t>R_S3_SC03_I05</t>
        </is>
      </c>
      <c r="B628" s="46" t="inlineStr">
        <is>
          <t>R_0268</t>
        </is>
      </c>
      <c r="C628" s="46" t="inlineStr">
        <is>
          <t>Strategy 3 – One-Shot + Structured Template</t>
        </is>
      </c>
      <c r="D628" s="46" t="inlineStr">
        <is>
          <t>SC03</t>
        </is>
      </c>
      <c r="E628" s="46" t="inlineStr">
        <is>
          <t>Ransomware</t>
        </is>
      </c>
      <c r="F628" s="47" t="n">
        <v>5</v>
      </c>
      <c r="G628" s="46" t="inlineStr">
        <is>
          <t>Gemma3:27b via Ollama</t>
        </is>
      </c>
      <c r="H628" s="48" t="n">
        <v>46164</v>
      </c>
      <c r="I628" s="46" t="inlineStr">
        <is>
          <t>7.184</t>
        </is>
      </c>
      <c r="J628" s="46" t="inlineStr">
        <is>
          <t>65.56</t>
        </is>
      </c>
      <c r="K628" s="46" t="inlineStr">
        <is>
          <t>Gemma3:27b</t>
        </is>
      </c>
      <c r="L628" s="46" t="inlineStr">
        <is>
          <t>0.3</t>
        </is>
      </c>
      <c r="M628" s="73" t="inlineStr">
        <is>
          <t>Complete</t>
        </is>
      </c>
    </row>
    <row r="629" ht="13.5" customHeight="1" s="38">
      <c r="A629" s="46" t="inlineStr">
        <is>
          <t>R_S3_SC03_I06</t>
        </is>
      </c>
      <c r="B629" s="46" t="inlineStr">
        <is>
          <t>R_0885</t>
        </is>
      </c>
      <c r="C629" s="46" t="inlineStr">
        <is>
          <t>Strategy 3 – One-Shot + Structured Template</t>
        </is>
      </c>
      <c r="D629" s="46" t="inlineStr">
        <is>
          <t>SC03</t>
        </is>
      </c>
      <c r="E629" s="46" t="inlineStr">
        <is>
          <t>Ransomware</t>
        </is>
      </c>
      <c r="F629" s="47" t="n">
        <v>6</v>
      </c>
      <c r="G629" s="46" t="inlineStr">
        <is>
          <t>Gemma3:27b via Ollama</t>
        </is>
      </c>
      <c r="H629" s="48" t="n">
        <v>46164</v>
      </c>
      <c r="I629" s="46" t="inlineStr">
        <is>
          <t>7.620</t>
        </is>
      </c>
      <c r="J629" s="46" t="inlineStr">
        <is>
          <t>67.06</t>
        </is>
      </c>
      <c r="K629" s="46" t="inlineStr">
        <is>
          <t>Gemma3:27b</t>
        </is>
      </c>
      <c r="L629" s="46" t="inlineStr">
        <is>
          <t>0.3</t>
        </is>
      </c>
      <c r="M629" s="73" t="inlineStr">
        <is>
          <t>Complete</t>
        </is>
      </c>
    </row>
    <row r="630" ht="13.5" customHeight="1" s="38">
      <c r="A630" s="46" t="inlineStr">
        <is>
          <t>R_S3_SC03_I07</t>
        </is>
      </c>
      <c r="B630" s="46" t="inlineStr">
        <is>
          <t>R_0536</t>
        </is>
      </c>
      <c r="C630" s="46" t="inlineStr">
        <is>
          <t>Strategy 3 – One-Shot + Structured Template</t>
        </is>
      </c>
      <c r="D630" s="46" t="inlineStr">
        <is>
          <t>SC03</t>
        </is>
      </c>
      <c r="E630" s="46" t="inlineStr">
        <is>
          <t>Ransomware</t>
        </is>
      </c>
      <c r="F630" s="47" t="n">
        <v>7</v>
      </c>
      <c r="G630" s="46" t="inlineStr">
        <is>
          <t>Gemma3:27b via Ollama</t>
        </is>
      </c>
      <c r="H630" s="48" t="n">
        <v>46164</v>
      </c>
      <c r="I630" s="46" t="inlineStr">
        <is>
          <t>8.334</t>
        </is>
      </c>
      <c r="J630" s="46" t="inlineStr">
        <is>
          <t>65.75</t>
        </is>
      </c>
      <c r="K630" s="46" t="inlineStr">
        <is>
          <t>Gemma3:27b</t>
        </is>
      </c>
      <c r="L630" s="46" t="inlineStr">
        <is>
          <t>0.3</t>
        </is>
      </c>
      <c r="M630" s="73" t="inlineStr">
        <is>
          <t>Complete</t>
        </is>
      </c>
    </row>
    <row r="631" ht="13.5" customHeight="1" s="38">
      <c r="A631" s="46" t="inlineStr">
        <is>
          <t>R_S3_SC03_I08</t>
        </is>
      </c>
      <c r="B631" s="46" t="inlineStr">
        <is>
          <t>R_0579</t>
        </is>
      </c>
      <c r="C631" s="46" t="inlineStr">
        <is>
          <t>Strategy 3 – One-Shot + Structured Template</t>
        </is>
      </c>
      <c r="D631" s="46" t="inlineStr">
        <is>
          <t>SC03</t>
        </is>
      </c>
      <c r="E631" s="46" t="inlineStr">
        <is>
          <t>Ransomware</t>
        </is>
      </c>
      <c r="F631" s="47" t="n">
        <v>8</v>
      </c>
      <c r="G631" s="46" t="inlineStr">
        <is>
          <t>Gemma3:27b via Ollama</t>
        </is>
      </c>
      <c r="H631" s="48" t="n">
        <v>46164</v>
      </c>
      <c r="I631" s="46" t="inlineStr">
        <is>
          <t>7.850</t>
        </is>
      </c>
      <c r="J631" s="46" t="inlineStr">
        <is>
          <t>67.39</t>
        </is>
      </c>
      <c r="K631" s="46" t="inlineStr">
        <is>
          <t>Gemma3:27b</t>
        </is>
      </c>
      <c r="L631" s="46" t="inlineStr">
        <is>
          <t>0.3</t>
        </is>
      </c>
      <c r="M631" s="73" t="inlineStr">
        <is>
          <t>Complete</t>
        </is>
      </c>
    </row>
    <row r="632" ht="13.5" customHeight="1" s="38">
      <c r="A632" s="46" t="inlineStr">
        <is>
          <t>R_S3_SC03_I09</t>
        </is>
      </c>
      <c r="B632" s="46" t="inlineStr">
        <is>
          <t>R_0860</t>
        </is>
      </c>
      <c r="C632" s="46" t="inlineStr">
        <is>
          <t>Strategy 3 – One-Shot + Structured Template</t>
        </is>
      </c>
      <c r="D632" s="46" t="inlineStr">
        <is>
          <t>SC03</t>
        </is>
      </c>
      <c r="E632" s="46" t="inlineStr">
        <is>
          <t>Ransomware</t>
        </is>
      </c>
      <c r="F632" s="47" t="n">
        <v>9</v>
      </c>
      <c r="G632" s="46" t="inlineStr">
        <is>
          <t>Gemma3:27b via Ollama</t>
        </is>
      </c>
      <c r="H632" s="48" t="n">
        <v>46164</v>
      </c>
      <c r="I632" s="46" t="inlineStr">
        <is>
          <t>8.758</t>
        </is>
      </c>
      <c r="J632" s="46" t="inlineStr">
        <is>
          <t>67.36</t>
        </is>
      </c>
      <c r="K632" s="46" t="inlineStr">
        <is>
          <t>Gemma3:27b</t>
        </is>
      </c>
      <c r="L632" s="46" t="inlineStr">
        <is>
          <t>0.3</t>
        </is>
      </c>
      <c r="M632" s="73" t="inlineStr">
        <is>
          <t>Complete</t>
        </is>
      </c>
    </row>
    <row r="633" ht="13.5" customHeight="1" s="38">
      <c r="A633" s="46" t="inlineStr">
        <is>
          <t>R_S3_SC03_I10</t>
        </is>
      </c>
      <c r="B633" s="46" t="inlineStr">
        <is>
          <t>R_0984</t>
        </is>
      </c>
      <c r="C633" s="46" t="inlineStr">
        <is>
          <t>Strategy 3 – One-Shot + Structured Template</t>
        </is>
      </c>
      <c r="D633" s="46" t="inlineStr">
        <is>
          <t>SC03</t>
        </is>
      </c>
      <c r="E633" s="46" t="inlineStr">
        <is>
          <t>Ransomware</t>
        </is>
      </c>
      <c r="F633" s="47" t="n">
        <v>10</v>
      </c>
      <c r="G633" s="46" t="inlineStr">
        <is>
          <t>Gemma3:27b via Ollama</t>
        </is>
      </c>
      <c r="H633" s="48" t="n">
        <v>46164</v>
      </c>
      <c r="I633" s="46" t="inlineStr">
        <is>
          <t>8.163</t>
        </is>
      </c>
      <c r="J633" s="46" t="inlineStr">
        <is>
          <t>67.38</t>
        </is>
      </c>
      <c r="K633" s="46" t="inlineStr">
        <is>
          <t>Gemma3:27b</t>
        </is>
      </c>
      <c r="L633" s="46" t="inlineStr">
        <is>
          <t>0.3</t>
        </is>
      </c>
      <c r="M633" s="73" t="inlineStr">
        <is>
          <t>Complete</t>
        </is>
      </c>
    </row>
    <row r="634" ht="13.5" customHeight="1" s="38">
      <c r="A634" s="46" t="inlineStr">
        <is>
          <t>R_S3_SC04_I01</t>
        </is>
      </c>
      <c r="B634" s="46" t="inlineStr">
        <is>
          <t>R_0084</t>
        </is>
      </c>
      <c r="C634" s="46" t="inlineStr">
        <is>
          <t>Strategy 3 – One-Shot + Structured Template</t>
        </is>
      </c>
      <c r="D634" s="46" t="inlineStr">
        <is>
          <t>SC04</t>
        </is>
      </c>
      <c r="E634" s="46" t="inlineStr">
        <is>
          <t>Ransomware</t>
        </is>
      </c>
      <c r="F634" s="47" t="n">
        <v>1</v>
      </c>
      <c r="G634" s="46" t="inlineStr">
        <is>
          <t>Gemma3:27b via Ollama</t>
        </is>
      </c>
      <c r="H634" s="48" t="n">
        <v>46166</v>
      </c>
      <c r="I634" s="46" t="inlineStr">
        <is>
          <t>7.587</t>
        </is>
      </c>
      <c r="J634" s="46" t="inlineStr">
        <is>
          <t>66.96</t>
        </is>
      </c>
      <c r="K634" s="46" t="inlineStr">
        <is>
          <t>Gemma3:27b</t>
        </is>
      </c>
      <c r="L634" s="46" t="inlineStr">
        <is>
          <t>0.3</t>
        </is>
      </c>
      <c r="M634" s="73" t="inlineStr">
        <is>
          <t>Complete</t>
        </is>
      </c>
    </row>
    <row r="635" ht="13.5" customHeight="1" s="38">
      <c r="A635" s="46" t="inlineStr">
        <is>
          <t>R_S3_SC04_I02</t>
        </is>
      </c>
      <c r="B635" s="46" t="inlineStr">
        <is>
          <t>R_0041</t>
        </is>
      </c>
      <c r="C635" s="46" t="inlineStr">
        <is>
          <t>Strategy 3 – One-Shot + Structured Template</t>
        </is>
      </c>
      <c r="D635" s="46" t="inlineStr">
        <is>
          <t>SC04</t>
        </is>
      </c>
      <c r="E635" s="46" t="inlineStr">
        <is>
          <t>Ransomware</t>
        </is>
      </c>
      <c r="F635" s="47" t="n">
        <v>2</v>
      </c>
      <c r="G635" s="46" t="inlineStr">
        <is>
          <t>Gemma3:27b via Ollama</t>
        </is>
      </c>
      <c r="H635" s="48" t="n">
        <v>46166</v>
      </c>
      <c r="I635" s="46" t="inlineStr">
        <is>
          <t>8.627</t>
        </is>
      </c>
      <c r="J635" s="46" t="inlineStr">
        <is>
          <t>67.58</t>
        </is>
      </c>
      <c r="K635" s="46" t="inlineStr">
        <is>
          <t>Gemma3:27b</t>
        </is>
      </c>
      <c r="L635" s="46" t="inlineStr">
        <is>
          <t>0.3</t>
        </is>
      </c>
      <c r="M635" s="73" t="inlineStr">
        <is>
          <t>Complete</t>
        </is>
      </c>
    </row>
    <row r="636" ht="13.5" customHeight="1" s="38">
      <c r="A636" s="46" t="inlineStr">
        <is>
          <t>R_S3_SC04_I03</t>
        </is>
      </c>
      <c r="B636" s="46" t="inlineStr">
        <is>
          <t>R_0609</t>
        </is>
      </c>
      <c r="C636" s="46" t="inlineStr">
        <is>
          <t>Strategy 3 – One-Shot + Structured Template</t>
        </is>
      </c>
      <c r="D636" s="46" t="inlineStr">
        <is>
          <t>SC04</t>
        </is>
      </c>
      <c r="E636" s="46" t="inlineStr">
        <is>
          <t>Ransomware</t>
        </is>
      </c>
      <c r="F636" s="47" t="n">
        <v>3</v>
      </c>
      <c r="G636" s="46" t="inlineStr">
        <is>
          <t>Gemma3:27b via Ollama</t>
        </is>
      </c>
      <c r="H636" s="48" t="n">
        <v>46166</v>
      </c>
      <c r="I636" s="46" t="inlineStr">
        <is>
          <t>7.510</t>
        </is>
      </c>
      <c r="J636" s="46" t="inlineStr">
        <is>
          <t>65.38</t>
        </is>
      </c>
      <c r="K636" s="46" t="inlineStr">
        <is>
          <t>Gemma3:27b</t>
        </is>
      </c>
      <c r="L636" s="46" t="inlineStr">
        <is>
          <t>0.3</t>
        </is>
      </c>
      <c r="M636" s="73" t="inlineStr">
        <is>
          <t>Complete</t>
        </is>
      </c>
    </row>
    <row r="637" ht="13.5" customHeight="1" s="38">
      <c r="A637" s="46" t="inlineStr">
        <is>
          <t>R_S3_SC04_I04</t>
        </is>
      </c>
      <c r="B637" s="46" t="inlineStr">
        <is>
          <t>R_0593</t>
        </is>
      </c>
      <c r="C637" s="46" t="inlineStr">
        <is>
          <t>Strategy 3 – One-Shot + Structured Template</t>
        </is>
      </c>
      <c r="D637" s="46" t="inlineStr">
        <is>
          <t>SC04</t>
        </is>
      </c>
      <c r="E637" s="46" t="inlineStr">
        <is>
          <t>Ransomware</t>
        </is>
      </c>
      <c r="F637" s="47" t="n">
        <v>4</v>
      </c>
      <c r="G637" s="46" t="inlineStr">
        <is>
          <t>Gemma3:27b via Ollama</t>
        </is>
      </c>
      <c r="H637" s="48" t="n">
        <v>46166</v>
      </c>
      <c r="I637" s="46" t="inlineStr">
        <is>
          <t>7.662</t>
        </is>
      </c>
      <c r="J637" s="46" t="inlineStr">
        <is>
          <t>66.17</t>
        </is>
      </c>
      <c r="K637" s="46" t="inlineStr">
        <is>
          <t>Gemma3:27b</t>
        </is>
      </c>
      <c r="L637" s="46" t="inlineStr">
        <is>
          <t>0.3</t>
        </is>
      </c>
      <c r="M637" s="73" t="inlineStr">
        <is>
          <t>Complete</t>
        </is>
      </c>
    </row>
    <row r="638" ht="13.5" customHeight="1" s="38">
      <c r="A638" s="46" t="inlineStr">
        <is>
          <t>R_S3_SC04_I05</t>
        </is>
      </c>
      <c r="B638" s="46" t="inlineStr">
        <is>
          <t>R_0960</t>
        </is>
      </c>
      <c r="C638" s="46" t="inlineStr">
        <is>
          <t>Strategy 3 – One-Shot + Structured Template</t>
        </is>
      </c>
      <c r="D638" s="46" t="inlineStr">
        <is>
          <t>SC04</t>
        </is>
      </c>
      <c r="E638" s="46" t="inlineStr">
        <is>
          <t>Ransomware</t>
        </is>
      </c>
      <c r="F638" s="47" t="n">
        <v>5</v>
      </c>
      <c r="G638" s="46" t="inlineStr">
        <is>
          <t>Gemma3:27b via Ollama</t>
        </is>
      </c>
      <c r="H638" s="48" t="n">
        <v>46166</v>
      </c>
      <c r="I638" s="46" t="inlineStr">
        <is>
          <t>7.029</t>
        </is>
      </c>
      <c r="J638" s="46" t="inlineStr">
        <is>
          <t>67.58</t>
        </is>
      </c>
      <c r="K638" s="46" t="inlineStr">
        <is>
          <t>Gemma3:27b</t>
        </is>
      </c>
      <c r="L638" s="46" t="inlineStr">
        <is>
          <t>0.3</t>
        </is>
      </c>
      <c r="M638" s="73" t="inlineStr">
        <is>
          <t>Complete</t>
        </is>
      </c>
    </row>
    <row r="639" ht="13.5" customHeight="1" s="38">
      <c r="A639" s="46" t="inlineStr">
        <is>
          <t>R_S3_SC04_I06</t>
        </is>
      </c>
      <c r="B639" s="46" t="inlineStr">
        <is>
          <t>R_0584</t>
        </is>
      </c>
      <c r="C639" s="46" t="inlineStr">
        <is>
          <t>Strategy 3 – One-Shot + Structured Template</t>
        </is>
      </c>
      <c r="D639" s="46" t="inlineStr">
        <is>
          <t>SC04</t>
        </is>
      </c>
      <c r="E639" s="46" t="inlineStr">
        <is>
          <t>Ransomware</t>
        </is>
      </c>
      <c r="F639" s="47" t="n">
        <v>6</v>
      </c>
      <c r="G639" s="46" t="inlineStr">
        <is>
          <t>Gemma3:27b via Ollama</t>
        </is>
      </c>
      <c r="H639" s="48" t="n">
        <v>46166</v>
      </c>
      <c r="I639" s="46" t="inlineStr">
        <is>
          <t>7.702</t>
        </is>
      </c>
      <c r="J639" s="46" t="inlineStr">
        <is>
          <t>67.51</t>
        </is>
      </c>
      <c r="K639" s="46" t="inlineStr">
        <is>
          <t>Gemma3:27b</t>
        </is>
      </c>
      <c r="L639" s="46" t="inlineStr">
        <is>
          <t>0.3</t>
        </is>
      </c>
      <c r="M639" s="73" t="inlineStr">
        <is>
          <t>Complete</t>
        </is>
      </c>
    </row>
    <row r="640" ht="13.5" customHeight="1" s="38">
      <c r="A640" s="46" t="inlineStr">
        <is>
          <t>R_S3_SC04_I07</t>
        </is>
      </c>
      <c r="B640" s="46" t="inlineStr">
        <is>
          <t>R_0123</t>
        </is>
      </c>
      <c r="C640" s="46" t="inlineStr">
        <is>
          <t>Strategy 3 – One-Shot + Structured Template</t>
        </is>
      </c>
      <c r="D640" s="46" t="inlineStr">
        <is>
          <t>SC04</t>
        </is>
      </c>
      <c r="E640" s="46" t="inlineStr">
        <is>
          <t>Ransomware</t>
        </is>
      </c>
      <c r="F640" s="47" t="n">
        <v>7</v>
      </c>
      <c r="G640" s="46" t="inlineStr">
        <is>
          <t>Gemma3:27b via Ollama</t>
        </is>
      </c>
      <c r="H640" s="48" t="n">
        <v>46166</v>
      </c>
      <c r="I640" s="46" t="inlineStr">
        <is>
          <t>7.424</t>
        </is>
      </c>
      <c r="J640" s="46" t="inlineStr">
        <is>
          <t>67.48</t>
        </is>
      </c>
      <c r="K640" s="46" t="inlineStr">
        <is>
          <t>Gemma3:27b</t>
        </is>
      </c>
      <c r="L640" s="46" t="inlineStr">
        <is>
          <t>0.3</t>
        </is>
      </c>
      <c r="M640" s="73" t="inlineStr">
        <is>
          <t>Complete</t>
        </is>
      </c>
    </row>
    <row r="641" ht="13.5" customHeight="1" s="38">
      <c r="A641" s="46" t="inlineStr">
        <is>
          <t>R_S3_SC04_I08</t>
        </is>
      </c>
      <c r="B641" s="46" t="inlineStr">
        <is>
          <t>R_0414</t>
        </is>
      </c>
      <c r="C641" s="46" t="inlineStr">
        <is>
          <t>Strategy 3 – One-Shot + Structured Template</t>
        </is>
      </c>
      <c r="D641" s="46" t="inlineStr">
        <is>
          <t>SC04</t>
        </is>
      </c>
      <c r="E641" s="46" t="inlineStr">
        <is>
          <t>Ransomware</t>
        </is>
      </c>
      <c r="F641" s="47" t="n">
        <v>8</v>
      </c>
      <c r="G641" s="46" t="inlineStr">
        <is>
          <t>Gemma3:27b via Ollama</t>
        </is>
      </c>
      <c r="H641" s="48" t="n">
        <v>46166</v>
      </c>
      <c r="I641" s="46" t="inlineStr">
        <is>
          <t>7.782</t>
        </is>
      </c>
      <c r="J641" s="46" t="inlineStr">
        <is>
          <t>67.59</t>
        </is>
      </c>
      <c r="K641" s="46" t="inlineStr">
        <is>
          <t>Gemma3:27b</t>
        </is>
      </c>
      <c r="L641" s="46" t="inlineStr">
        <is>
          <t>0.3</t>
        </is>
      </c>
      <c r="M641" s="73" t="inlineStr">
        <is>
          <t>Complete</t>
        </is>
      </c>
    </row>
    <row r="642" ht="13.5" customHeight="1" s="38">
      <c r="A642" s="46" t="inlineStr">
        <is>
          <t>R_S3_SC04_I09</t>
        </is>
      </c>
      <c r="B642" s="46" t="inlineStr">
        <is>
          <t>R_0241</t>
        </is>
      </c>
      <c r="C642" s="46" t="inlineStr">
        <is>
          <t>Strategy 3 – One-Shot + Structured Template</t>
        </is>
      </c>
      <c r="D642" s="46" t="inlineStr">
        <is>
          <t>SC04</t>
        </is>
      </c>
      <c r="E642" s="46" t="inlineStr">
        <is>
          <t>Ransomware</t>
        </is>
      </c>
      <c r="F642" s="47" t="n">
        <v>9</v>
      </c>
      <c r="G642" s="46" t="inlineStr">
        <is>
          <t>Gemma3:27b via Ollama</t>
        </is>
      </c>
      <c r="H642" s="48" t="n">
        <v>46166</v>
      </c>
      <c r="I642" s="46" t="inlineStr">
        <is>
          <t>7.793</t>
        </is>
      </c>
      <c r="J642" s="46" t="inlineStr">
        <is>
          <t>67.50</t>
        </is>
      </c>
      <c r="K642" s="46" t="inlineStr">
        <is>
          <t>Gemma3:27b</t>
        </is>
      </c>
      <c r="L642" s="46" t="inlineStr">
        <is>
          <t>0.3</t>
        </is>
      </c>
      <c r="M642" s="73" t="inlineStr">
        <is>
          <t>Complete</t>
        </is>
      </c>
    </row>
    <row r="643" ht="13.5" customHeight="1" s="38">
      <c r="A643" s="46" t="inlineStr">
        <is>
          <t>R_S3_SC04_I10</t>
        </is>
      </c>
      <c r="B643" s="46" t="inlineStr">
        <is>
          <t>R_0879</t>
        </is>
      </c>
      <c r="C643" s="46" t="inlineStr">
        <is>
          <t>Strategy 3 – One-Shot + Structured Template</t>
        </is>
      </c>
      <c r="D643" s="46" t="inlineStr">
        <is>
          <t>SC04</t>
        </is>
      </c>
      <c r="E643" s="46" t="inlineStr">
        <is>
          <t>Ransomware</t>
        </is>
      </c>
      <c r="F643" s="47" t="n">
        <v>10</v>
      </c>
      <c r="G643" s="46" t="inlineStr">
        <is>
          <t>Gemma3:27b via Ollama</t>
        </is>
      </c>
      <c r="H643" s="48" t="n">
        <v>46166</v>
      </c>
      <c r="I643" s="46" t="inlineStr">
        <is>
          <t>7.816</t>
        </is>
      </c>
      <c r="J643" s="46" t="inlineStr">
        <is>
          <t>67.68</t>
        </is>
      </c>
      <c r="K643" s="46" t="inlineStr">
        <is>
          <t>Gemma3:27b</t>
        </is>
      </c>
      <c r="L643" s="46" t="inlineStr">
        <is>
          <t>0.3</t>
        </is>
      </c>
      <c r="M643" s="73" t="inlineStr">
        <is>
          <t>Complete</t>
        </is>
      </c>
    </row>
    <row r="644" ht="13.5" customHeight="1" s="38">
      <c r="A644" s="46" t="inlineStr">
        <is>
          <t>R_S3_SC05_I01</t>
        </is>
      </c>
      <c r="B644" s="46" t="inlineStr">
        <is>
          <t>R_0610</t>
        </is>
      </c>
      <c r="C644" s="46" t="inlineStr">
        <is>
          <t>Strategy 3 – One-Shot + Structured Template</t>
        </is>
      </c>
      <c r="D644" s="46" t="inlineStr">
        <is>
          <t>SC05</t>
        </is>
      </c>
      <c r="E644" s="46" t="inlineStr">
        <is>
          <t>Ransomware</t>
        </is>
      </c>
      <c r="F644" s="47" t="n">
        <v>1</v>
      </c>
      <c r="G644" s="46" t="inlineStr">
        <is>
          <t>Gemma3:27b via Ollama</t>
        </is>
      </c>
      <c r="H644" s="48" t="n">
        <v>46166</v>
      </c>
      <c r="I644" s="46" t="inlineStr">
        <is>
          <t>8.652</t>
        </is>
      </c>
      <c r="J644" s="46" t="inlineStr">
        <is>
          <t>66.46</t>
        </is>
      </c>
      <c r="K644" s="46" t="inlineStr">
        <is>
          <t>Gemma3:27b</t>
        </is>
      </c>
      <c r="L644" s="46" t="inlineStr">
        <is>
          <t>0.3</t>
        </is>
      </c>
      <c r="M644" s="73" t="inlineStr">
        <is>
          <t>Complete</t>
        </is>
      </c>
    </row>
    <row r="645" ht="13.5" customHeight="1" s="38">
      <c r="A645" s="46" t="inlineStr">
        <is>
          <t>R_S3_SC05_I02</t>
        </is>
      </c>
      <c r="B645" s="46" t="inlineStr">
        <is>
          <t>R_0780</t>
        </is>
      </c>
      <c r="C645" s="46" t="inlineStr">
        <is>
          <t>Strategy 3 – One-Shot + Structured Template</t>
        </is>
      </c>
      <c r="D645" s="46" t="inlineStr">
        <is>
          <t>SC05</t>
        </is>
      </c>
      <c r="E645" s="46" t="inlineStr">
        <is>
          <t>Ransomware</t>
        </is>
      </c>
      <c r="F645" s="47" t="n">
        <v>2</v>
      </c>
      <c r="G645" s="46" t="inlineStr">
        <is>
          <t>Gemma3:27b via Ollama</t>
        </is>
      </c>
      <c r="H645" s="48" t="n">
        <v>46166</v>
      </c>
      <c r="I645" s="46" t="inlineStr">
        <is>
          <t>7.740</t>
        </is>
      </c>
      <c r="J645" s="46" t="inlineStr">
        <is>
          <t>67.83</t>
        </is>
      </c>
      <c r="K645" s="46" t="inlineStr">
        <is>
          <t>Gemma3:27b</t>
        </is>
      </c>
      <c r="L645" s="46" t="inlineStr">
        <is>
          <t>0.3</t>
        </is>
      </c>
      <c r="M645" s="73" t="inlineStr">
        <is>
          <t>Complete</t>
        </is>
      </c>
    </row>
    <row r="646" ht="13.5" customHeight="1" s="38">
      <c r="A646" s="46" t="inlineStr">
        <is>
          <t>R_S3_SC05_I03</t>
        </is>
      </c>
      <c r="B646" s="46" t="inlineStr">
        <is>
          <t>R_0191</t>
        </is>
      </c>
      <c r="C646" s="46" t="inlineStr">
        <is>
          <t>Strategy 3 – One-Shot + Structured Template</t>
        </is>
      </c>
      <c r="D646" s="46" t="inlineStr">
        <is>
          <t>SC05</t>
        </is>
      </c>
      <c r="E646" s="46" t="inlineStr">
        <is>
          <t>Ransomware</t>
        </is>
      </c>
      <c r="F646" s="47" t="n">
        <v>3</v>
      </c>
      <c r="G646" s="46" t="inlineStr">
        <is>
          <t>Gemma3:27b via Ollama</t>
        </is>
      </c>
      <c r="H646" s="48" t="n">
        <v>46166</v>
      </c>
      <c r="I646" s="46" t="inlineStr">
        <is>
          <t>8.227</t>
        </is>
      </c>
      <c r="J646" s="46" t="inlineStr">
        <is>
          <t>65.88</t>
        </is>
      </c>
      <c r="K646" s="46" t="inlineStr">
        <is>
          <t>Gemma3:27b</t>
        </is>
      </c>
      <c r="L646" s="46" t="inlineStr">
        <is>
          <t>0.3</t>
        </is>
      </c>
      <c r="M646" s="73" t="inlineStr">
        <is>
          <t>Complete</t>
        </is>
      </c>
    </row>
    <row r="647" ht="13.5" customHeight="1" s="38">
      <c r="A647" s="46" t="inlineStr">
        <is>
          <t>R_S3_SC05_I04</t>
        </is>
      </c>
      <c r="B647" s="46" t="inlineStr">
        <is>
          <t>R_0083</t>
        </is>
      </c>
      <c r="C647" s="46" t="inlineStr">
        <is>
          <t>Strategy 3 – One-Shot + Structured Template</t>
        </is>
      </c>
      <c r="D647" s="46" t="inlineStr">
        <is>
          <t>SC05</t>
        </is>
      </c>
      <c r="E647" s="46" t="inlineStr">
        <is>
          <t>Ransomware</t>
        </is>
      </c>
      <c r="F647" s="47" t="n">
        <v>4</v>
      </c>
      <c r="G647" s="46" t="inlineStr">
        <is>
          <t>Gemma3:27b via Ollama</t>
        </is>
      </c>
      <c r="H647" s="48" t="n">
        <v>46166</v>
      </c>
      <c r="I647" s="46" t="inlineStr">
        <is>
          <t>8.102</t>
        </is>
      </c>
      <c r="J647" s="46" t="inlineStr">
        <is>
          <t>67.64</t>
        </is>
      </c>
      <c r="K647" s="46" t="inlineStr">
        <is>
          <t>Gemma3:27b</t>
        </is>
      </c>
      <c r="L647" s="46" t="inlineStr">
        <is>
          <t>0.3</t>
        </is>
      </c>
      <c r="M647" s="73" t="inlineStr">
        <is>
          <t>Complete</t>
        </is>
      </c>
    </row>
    <row r="648" ht="13.5" customHeight="1" s="38">
      <c r="A648" s="46" t="inlineStr">
        <is>
          <t>R_S3_SC05_I05</t>
        </is>
      </c>
      <c r="B648" s="46" t="inlineStr">
        <is>
          <t>R_0521</t>
        </is>
      </c>
      <c r="C648" s="46" t="inlineStr">
        <is>
          <t>Strategy 3 – One-Shot + Structured Template</t>
        </is>
      </c>
      <c r="D648" s="46" t="inlineStr">
        <is>
          <t>SC05</t>
        </is>
      </c>
      <c r="E648" s="46" t="inlineStr">
        <is>
          <t>Ransomware</t>
        </is>
      </c>
      <c r="F648" s="47" t="n">
        <v>5</v>
      </c>
      <c r="G648" s="46" t="inlineStr">
        <is>
          <t>Gemma3:27b via Ollama</t>
        </is>
      </c>
      <c r="H648" s="48" t="n">
        <v>46166</v>
      </c>
      <c r="I648" s="46" t="inlineStr">
        <is>
          <t>8.135</t>
        </is>
      </c>
      <c r="J648" s="46" t="inlineStr">
        <is>
          <t>66.99</t>
        </is>
      </c>
      <c r="K648" s="46" t="inlineStr">
        <is>
          <t>Gemma3:27b</t>
        </is>
      </c>
      <c r="L648" s="46" t="inlineStr">
        <is>
          <t>0.3</t>
        </is>
      </c>
      <c r="M648" s="73" t="inlineStr">
        <is>
          <t>Complete</t>
        </is>
      </c>
    </row>
    <row r="649" ht="13.5" customHeight="1" s="38">
      <c r="A649" s="46" t="inlineStr">
        <is>
          <t>R_S3_SC05_I06</t>
        </is>
      </c>
      <c r="B649" s="46" t="inlineStr">
        <is>
          <t>R_0653</t>
        </is>
      </c>
      <c r="C649" s="46" t="inlineStr">
        <is>
          <t>Strategy 3 – One-Shot + Structured Template</t>
        </is>
      </c>
      <c r="D649" s="46" t="inlineStr">
        <is>
          <t>SC05</t>
        </is>
      </c>
      <c r="E649" s="46" t="inlineStr">
        <is>
          <t>Ransomware</t>
        </is>
      </c>
      <c r="F649" s="47" t="n">
        <v>6</v>
      </c>
      <c r="G649" s="46" t="inlineStr">
        <is>
          <t>Gemma3:27b via Ollama</t>
        </is>
      </c>
      <c r="H649" s="48" t="n">
        <v>46166</v>
      </c>
      <c r="I649" s="46" t="inlineStr">
        <is>
          <t>7.616</t>
        </is>
      </c>
      <c r="J649" s="46" t="inlineStr">
        <is>
          <t>67.23</t>
        </is>
      </c>
      <c r="K649" s="46" t="inlineStr">
        <is>
          <t>Gemma3:27b</t>
        </is>
      </c>
      <c r="L649" s="46" t="inlineStr">
        <is>
          <t>0.3</t>
        </is>
      </c>
      <c r="M649" s="73" t="inlineStr">
        <is>
          <t>Complete</t>
        </is>
      </c>
    </row>
    <row r="650" ht="13.5" customHeight="1" s="38">
      <c r="A650" s="46" t="inlineStr">
        <is>
          <t>R_S3_SC05_I07</t>
        </is>
      </c>
      <c r="B650" s="46" t="inlineStr">
        <is>
          <t>R_0820</t>
        </is>
      </c>
      <c r="C650" s="46" t="inlineStr">
        <is>
          <t>Strategy 3 – One-Shot + Structured Template</t>
        </is>
      </c>
      <c r="D650" s="46" t="inlineStr">
        <is>
          <t>SC05</t>
        </is>
      </c>
      <c r="E650" s="46" t="inlineStr">
        <is>
          <t>Ransomware</t>
        </is>
      </c>
      <c r="F650" s="47" t="n">
        <v>7</v>
      </c>
      <c r="G650" s="46" t="inlineStr">
        <is>
          <t>Gemma3:27b via Ollama</t>
        </is>
      </c>
      <c r="H650" s="48" t="n">
        <v>46166</v>
      </c>
      <c r="I650" s="46" t="inlineStr">
        <is>
          <t>8.443</t>
        </is>
      </c>
      <c r="J650" s="46" t="inlineStr">
        <is>
          <t>67.63</t>
        </is>
      </c>
      <c r="K650" s="46" t="inlineStr">
        <is>
          <t>Gemma3:27b</t>
        </is>
      </c>
      <c r="L650" s="46" t="inlineStr">
        <is>
          <t>0.3</t>
        </is>
      </c>
      <c r="M650" s="73" t="inlineStr">
        <is>
          <t>Complete</t>
        </is>
      </c>
    </row>
    <row r="651" ht="13.5" customHeight="1" s="38">
      <c r="A651" s="46" t="inlineStr">
        <is>
          <t>R_S3_SC05_I08</t>
        </is>
      </c>
      <c r="B651" s="46" t="inlineStr">
        <is>
          <t>R_0797</t>
        </is>
      </c>
      <c r="C651" s="46" t="inlineStr">
        <is>
          <t>Strategy 3 – One-Shot + Structured Template</t>
        </is>
      </c>
      <c r="D651" s="46" t="inlineStr">
        <is>
          <t>SC05</t>
        </is>
      </c>
      <c r="E651" s="46" t="inlineStr">
        <is>
          <t>Ransomware</t>
        </is>
      </c>
      <c r="F651" s="47" t="n">
        <v>8</v>
      </c>
      <c r="G651" s="46" t="inlineStr">
        <is>
          <t>Gemma3:27b via Ollama</t>
        </is>
      </c>
      <c r="H651" s="48" t="n">
        <v>46166</v>
      </c>
      <c r="I651" s="46" t="inlineStr">
        <is>
          <t>8.290</t>
        </is>
      </c>
      <c r="J651" s="46" t="inlineStr">
        <is>
          <t>67.67</t>
        </is>
      </c>
      <c r="K651" s="46" t="inlineStr">
        <is>
          <t>Gemma3:27b</t>
        </is>
      </c>
      <c r="L651" s="46" t="inlineStr">
        <is>
          <t>0.3</t>
        </is>
      </c>
      <c r="M651" s="73" t="inlineStr">
        <is>
          <t>Complete</t>
        </is>
      </c>
    </row>
    <row r="652" ht="13.5" customHeight="1" s="38">
      <c r="A652" s="46" t="inlineStr">
        <is>
          <t>R_S3_SC05_I09</t>
        </is>
      </c>
      <c r="B652" s="46" t="inlineStr">
        <is>
          <t>R_0515</t>
        </is>
      </c>
      <c r="C652" s="46" t="inlineStr">
        <is>
          <t>Strategy 3 – One-Shot + Structured Template</t>
        </is>
      </c>
      <c r="D652" s="46" t="inlineStr">
        <is>
          <t>SC05</t>
        </is>
      </c>
      <c r="E652" s="46" t="inlineStr">
        <is>
          <t>Ransomware</t>
        </is>
      </c>
      <c r="F652" s="47" t="n">
        <v>9</v>
      </c>
      <c r="G652" s="46" t="inlineStr">
        <is>
          <t>Gemma3:27b via Ollama</t>
        </is>
      </c>
      <c r="H652" s="48" t="n">
        <v>46166</v>
      </c>
      <c r="I652" s="46" t="inlineStr">
        <is>
          <t>7.450</t>
        </is>
      </c>
      <c r="J652" s="46" t="inlineStr">
        <is>
          <t>67.78</t>
        </is>
      </c>
      <c r="K652" s="46" t="inlineStr">
        <is>
          <t>Gemma3:27b</t>
        </is>
      </c>
      <c r="L652" s="46" t="inlineStr">
        <is>
          <t>0.3</t>
        </is>
      </c>
      <c r="M652" s="73" t="inlineStr">
        <is>
          <t>Complete</t>
        </is>
      </c>
    </row>
    <row r="653" ht="13.5" customHeight="1" s="38">
      <c r="A653" s="46" t="inlineStr">
        <is>
          <t>R_S3_SC05_I10</t>
        </is>
      </c>
      <c r="B653" s="46" t="inlineStr">
        <is>
          <t>R_0489</t>
        </is>
      </c>
      <c r="C653" s="46" t="inlineStr">
        <is>
          <t>Strategy 3 – One-Shot + Structured Template</t>
        </is>
      </c>
      <c r="D653" s="46" t="inlineStr">
        <is>
          <t>SC05</t>
        </is>
      </c>
      <c r="E653" s="46" t="inlineStr">
        <is>
          <t>Ransomware</t>
        </is>
      </c>
      <c r="F653" s="47" t="n">
        <v>10</v>
      </c>
      <c r="G653" s="46" t="inlineStr">
        <is>
          <t>Gemma3:27b via Ollama</t>
        </is>
      </c>
      <c r="H653" s="48" t="n">
        <v>46166</v>
      </c>
      <c r="I653" s="46" t="inlineStr">
        <is>
          <t>8.079</t>
        </is>
      </c>
      <c r="J653" s="46" t="inlineStr">
        <is>
          <t>67.71</t>
        </is>
      </c>
      <c r="K653" s="46" t="inlineStr">
        <is>
          <t>Gemma3:27b</t>
        </is>
      </c>
      <c r="L653" s="46" t="inlineStr">
        <is>
          <t>0.3</t>
        </is>
      </c>
      <c r="M653" s="73" t="inlineStr">
        <is>
          <t>Complete</t>
        </is>
      </c>
    </row>
    <row r="654" ht="13.5" customHeight="1" s="38">
      <c r="A654" s="46" t="inlineStr">
        <is>
          <t>S_S3_SC01_I01</t>
        </is>
      </c>
      <c r="B654" s="46" t="inlineStr">
        <is>
          <t>R_0862</t>
        </is>
      </c>
      <c r="C654" s="46" t="inlineStr">
        <is>
          <t>Strategy 3 – One-Shot + Structured Template</t>
        </is>
      </c>
      <c r="D654" s="46" t="inlineStr">
        <is>
          <t>SC01</t>
        </is>
      </c>
      <c r="E654" s="46" t="inlineStr">
        <is>
          <t>Supply Chain</t>
        </is>
      </c>
      <c r="F654" s="47" t="n">
        <v>1</v>
      </c>
      <c r="G654" s="46" t="inlineStr">
        <is>
          <t>Gemma3:27b via Ollama</t>
        </is>
      </c>
      <c r="H654" s="48" t="n">
        <v>46164</v>
      </c>
      <c r="I654" s="46" t="inlineStr">
        <is>
          <t>7.535</t>
        </is>
      </c>
      <c r="J654" s="46" t="inlineStr">
        <is>
          <t>67.55</t>
        </is>
      </c>
      <c r="K654" s="46" t="inlineStr">
        <is>
          <t>Gemma3:27b</t>
        </is>
      </c>
      <c r="L654" s="46" t="inlineStr">
        <is>
          <t>0.3</t>
        </is>
      </c>
      <c r="M654" s="73" t="inlineStr">
        <is>
          <t>Complete</t>
        </is>
      </c>
    </row>
    <row r="655" ht="13.5" customHeight="1" s="38">
      <c r="A655" s="46" t="inlineStr">
        <is>
          <t>S_S3_SC01_I02</t>
        </is>
      </c>
      <c r="B655" s="46" t="inlineStr">
        <is>
          <t>R_0685</t>
        </is>
      </c>
      <c r="C655" s="46" t="inlineStr">
        <is>
          <t>Strategy 3 – One-Shot + Structured Template</t>
        </is>
      </c>
      <c r="D655" s="46" t="inlineStr">
        <is>
          <t>SC01</t>
        </is>
      </c>
      <c r="E655" s="46" t="inlineStr">
        <is>
          <t>Supply Chain</t>
        </is>
      </c>
      <c r="F655" s="47" t="n">
        <v>2</v>
      </c>
      <c r="G655" s="46" t="inlineStr">
        <is>
          <t>Gemma3:27b via Ollama</t>
        </is>
      </c>
      <c r="H655" s="48" t="n">
        <v>46164</v>
      </c>
      <c r="I655" s="46" t="inlineStr">
        <is>
          <t>7.940</t>
        </is>
      </c>
      <c r="J655" s="46" t="inlineStr">
        <is>
          <t>65.61</t>
        </is>
      </c>
      <c r="K655" s="46" t="inlineStr">
        <is>
          <t>Gemma3:27b</t>
        </is>
      </c>
      <c r="L655" s="46" t="inlineStr">
        <is>
          <t>0.3</t>
        </is>
      </c>
      <c r="M655" s="73" t="inlineStr">
        <is>
          <t>Complete</t>
        </is>
      </c>
    </row>
    <row r="656" ht="13.5" customHeight="1" s="38">
      <c r="A656" s="46" t="inlineStr">
        <is>
          <t>S_S3_SC01_I03</t>
        </is>
      </c>
      <c r="B656" s="46" t="inlineStr">
        <is>
          <t>R_0059</t>
        </is>
      </c>
      <c r="C656" s="46" t="inlineStr">
        <is>
          <t>Strategy 3 – One-Shot + Structured Template</t>
        </is>
      </c>
      <c r="D656" s="46" t="inlineStr">
        <is>
          <t>SC01</t>
        </is>
      </c>
      <c r="E656" s="46" t="inlineStr">
        <is>
          <t>Supply Chain</t>
        </is>
      </c>
      <c r="F656" s="47" t="n">
        <v>3</v>
      </c>
      <c r="G656" s="46" t="inlineStr">
        <is>
          <t>Gemma3:27b via Ollama</t>
        </is>
      </c>
      <c r="H656" s="48" t="n">
        <v>46164</v>
      </c>
      <c r="I656" s="46" t="inlineStr">
        <is>
          <t>8.233</t>
        </is>
      </c>
      <c r="J656" s="46" t="inlineStr">
        <is>
          <t>65.47</t>
        </is>
      </c>
      <c r="K656" s="46" t="inlineStr">
        <is>
          <t>Gemma3:27b</t>
        </is>
      </c>
      <c r="L656" s="46" t="inlineStr">
        <is>
          <t>0.3</t>
        </is>
      </c>
      <c r="M656" s="73" t="inlineStr">
        <is>
          <t>Complete</t>
        </is>
      </c>
    </row>
    <row r="657" ht="13.5" customHeight="1" s="38">
      <c r="A657" s="46" t="inlineStr">
        <is>
          <t>S_S3_SC01_I04</t>
        </is>
      </c>
      <c r="B657" s="46" t="inlineStr">
        <is>
          <t>R_0322</t>
        </is>
      </c>
      <c r="C657" s="46" t="inlineStr">
        <is>
          <t>Strategy 3 – One-Shot + Structured Template</t>
        </is>
      </c>
      <c r="D657" s="46" t="inlineStr">
        <is>
          <t>SC01</t>
        </is>
      </c>
      <c r="E657" s="46" t="inlineStr">
        <is>
          <t>Supply Chain</t>
        </is>
      </c>
      <c r="F657" s="47" t="n">
        <v>4</v>
      </c>
      <c r="G657" s="46" t="inlineStr">
        <is>
          <t>Gemma3:27b via Ollama</t>
        </is>
      </c>
      <c r="H657" s="48" t="n">
        <v>46164</v>
      </c>
      <c r="I657" s="46" t="inlineStr">
        <is>
          <t>7.647</t>
        </is>
      </c>
      <c r="J657" s="46" t="inlineStr">
        <is>
          <t>67.35</t>
        </is>
      </c>
      <c r="K657" s="46" t="inlineStr">
        <is>
          <t>Gemma3:27b</t>
        </is>
      </c>
      <c r="L657" s="46" t="inlineStr">
        <is>
          <t>0.3</t>
        </is>
      </c>
      <c r="M657" s="73" t="inlineStr">
        <is>
          <t>Complete</t>
        </is>
      </c>
    </row>
    <row r="658" ht="13.5" customHeight="1" s="38">
      <c r="A658" s="46" t="inlineStr">
        <is>
          <t>S_S3_SC01_I05</t>
        </is>
      </c>
      <c r="B658" s="46" t="inlineStr">
        <is>
          <t>R_0704</t>
        </is>
      </c>
      <c r="C658" s="46" t="inlineStr">
        <is>
          <t>Strategy 3 – One-Shot + Structured Template</t>
        </is>
      </c>
      <c r="D658" s="46" t="inlineStr">
        <is>
          <t>SC01</t>
        </is>
      </c>
      <c r="E658" s="46" t="inlineStr">
        <is>
          <t>Supply Chain</t>
        </is>
      </c>
      <c r="F658" s="47" t="n">
        <v>5</v>
      </c>
      <c r="G658" s="46" t="inlineStr">
        <is>
          <t>Gemma3:27b via Ollama</t>
        </is>
      </c>
      <c r="H658" s="48" t="n">
        <v>46164</v>
      </c>
      <c r="I658" s="46" t="inlineStr">
        <is>
          <t>8.096</t>
        </is>
      </c>
      <c r="J658" s="46" t="inlineStr">
        <is>
          <t>67.44</t>
        </is>
      </c>
      <c r="K658" s="46" t="inlineStr">
        <is>
          <t>Gemma3:27b</t>
        </is>
      </c>
      <c r="L658" s="46" t="inlineStr">
        <is>
          <t>0.3</t>
        </is>
      </c>
      <c r="M658" s="73" t="inlineStr">
        <is>
          <t>Complete</t>
        </is>
      </c>
    </row>
    <row r="659" ht="13.5" customHeight="1" s="38">
      <c r="A659" s="46" t="inlineStr">
        <is>
          <t>S_S3_SC01_I06</t>
        </is>
      </c>
      <c r="B659" s="46" t="inlineStr">
        <is>
          <t>R_0556</t>
        </is>
      </c>
      <c r="C659" s="46" t="inlineStr">
        <is>
          <t>Strategy 3 – One-Shot + Structured Template</t>
        </is>
      </c>
      <c r="D659" s="46" t="inlineStr">
        <is>
          <t>SC01</t>
        </is>
      </c>
      <c r="E659" s="46" t="inlineStr">
        <is>
          <t>Supply Chain</t>
        </is>
      </c>
      <c r="F659" s="47" t="n">
        <v>6</v>
      </c>
      <c r="G659" s="46" t="inlineStr">
        <is>
          <t>Gemma3:27b via Ollama</t>
        </is>
      </c>
      <c r="H659" s="48" t="n">
        <v>46164</v>
      </c>
      <c r="I659" s="46" t="inlineStr">
        <is>
          <t>8.001</t>
        </is>
      </c>
      <c r="J659" s="46" t="inlineStr">
        <is>
          <t>67.37</t>
        </is>
      </c>
      <c r="K659" s="46" t="inlineStr">
        <is>
          <t>Gemma3:27b</t>
        </is>
      </c>
      <c r="L659" s="46" t="inlineStr">
        <is>
          <t>0.3</t>
        </is>
      </c>
      <c r="M659" s="73" t="inlineStr">
        <is>
          <t>Complete</t>
        </is>
      </c>
    </row>
    <row r="660" ht="13.5" customHeight="1" s="38">
      <c r="A660" s="46" t="inlineStr">
        <is>
          <t>S_S3_SC01_I07</t>
        </is>
      </c>
      <c r="B660" s="46" t="inlineStr">
        <is>
          <t>R_0594</t>
        </is>
      </c>
      <c r="C660" s="46" t="inlineStr">
        <is>
          <t>Strategy 3 – One-Shot + Structured Template</t>
        </is>
      </c>
      <c r="D660" s="46" t="inlineStr">
        <is>
          <t>SC01</t>
        </is>
      </c>
      <c r="E660" s="46" t="inlineStr">
        <is>
          <t>Supply Chain</t>
        </is>
      </c>
      <c r="F660" s="47" t="n">
        <v>7</v>
      </c>
      <c r="G660" s="46" t="inlineStr">
        <is>
          <t>Gemma3:27b via Ollama</t>
        </is>
      </c>
      <c r="H660" s="48" t="n">
        <v>46164</v>
      </c>
      <c r="I660" s="46" t="inlineStr">
        <is>
          <t>8.839</t>
        </is>
      </c>
      <c r="J660" s="46" t="inlineStr">
        <is>
          <t>67.20</t>
        </is>
      </c>
      <c r="K660" s="46" t="inlineStr">
        <is>
          <t>Gemma3:27b</t>
        </is>
      </c>
      <c r="L660" s="46" t="inlineStr">
        <is>
          <t>0.3</t>
        </is>
      </c>
      <c r="M660" s="73" t="inlineStr">
        <is>
          <t>Complete</t>
        </is>
      </c>
    </row>
    <row r="661" ht="13.5" customHeight="1" s="38">
      <c r="A661" s="46" t="inlineStr">
        <is>
          <t>S_S3_SC01_I08</t>
        </is>
      </c>
      <c r="B661" s="46" t="inlineStr">
        <is>
          <t>R_0892</t>
        </is>
      </c>
      <c r="C661" s="46" t="inlineStr">
        <is>
          <t>Strategy 3 – One-Shot + Structured Template</t>
        </is>
      </c>
      <c r="D661" s="46" t="inlineStr">
        <is>
          <t>SC01</t>
        </is>
      </c>
      <c r="E661" s="46" t="inlineStr">
        <is>
          <t>Supply Chain</t>
        </is>
      </c>
      <c r="F661" s="47" t="n">
        <v>8</v>
      </c>
      <c r="G661" s="46" t="inlineStr">
        <is>
          <t>Gemma3:27b via Ollama</t>
        </is>
      </c>
      <c r="H661" s="48" t="n">
        <v>46164</v>
      </c>
      <c r="I661" s="46" t="inlineStr">
        <is>
          <t>8.093</t>
        </is>
      </c>
      <c r="J661" s="46" t="inlineStr">
        <is>
          <t>66.48</t>
        </is>
      </c>
      <c r="K661" s="46" t="inlineStr">
        <is>
          <t>Gemma3:27b</t>
        </is>
      </c>
      <c r="L661" s="46" t="inlineStr">
        <is>
          <t>0.3</t>
        </is>
      </c>
      <c r="M661" s="73" t="inlineStr">
        <is>
          <t>Complete</t>
        </is>
      </c>
    </row>
    <row r="662" ht="13.5" customHeight="1" s="38">
      <c r="A662" s="46" t="inlineStr">
        <is>
          <t>S_S3_SC01_I09</t>
        </is>
      </c>
      <c r="B662" s="46" t="inlineStr">
        <is>
          <t>R_0223</t>
        </is>
      </c>
      <c r="C662" s="46" t="inlineStr">
        <is>
          <t>Strategy 3 – One-Shot + Structured Template</t>
        </is>
      </c>
      <c r="D662" s="46" t="inlineStr">
        <is>
          <t>SC01</t>
        </is>
      </c>
      <c r="E662" s="46" t="inlineStr">
        <is>
          <t>Supply Chain</t>
        </is>
      </c>
      <c r="F662" s="47" t="n">
        <v>9</v>
      </c>
      <c r="G662" s="46" t="inlineStr">
        <is>
          <t>Gemma3:27b via Ollama</t>
        </is>
      </c>
      <c r="H662" s="48" t="n">
        <v>46164</v>
      </c>
      <c r="I662" s="46" t="inlineStr">
        <is>
          <t>7.706</t>
        </is>
      </c>
      <c r="J662" s="46" t="inlineStr">
        <is>
          <t>67.35</t>
        </is>
      </c>
      <c r="K662" s="46" t="inlineStr">
        <is>
          <t>Gemma3:27b</t>
        </is>
      </c>
      <c r="L662" s="46" t="inlineStr">
        <is>
          <t>0.3</t>
        </is>
      </c>
      <c r="M662" s="73" t="inlineStr">
        <is>
          <t>Complete</t>
        </is>
      </c>
    </row>
    <row r="663" ht="13.5" customHeight="1" s="38">
      <c r="A663" s="46" t="inlineStr">
        <is>
          <t>S_S3_SC01_I10</t>
        </is>
      </c>
      <c r="B663" s="46" t="inlineStr">
        <is>
          <t>R_0304</t>
        </is>
      </c>
      <c r="C663" s="46" t="inlineStr">
        <is>
          <t>Strategy 3 – One-Shot + Structured Template</t>
        </is>
      </c>
      <c r="D663" s="46" t="inlineStr">
        <is>
          <t>SC01</t>
        </is>
      </c>
      <c r="E663" s="46" t="inlineStr">
        <is>
          <t>Supply Chain</t>
        </is>
      </c>
      <c r="F663" s="47" t="n">
        <v>10</v>
      </c>
      <c r="G663" s="46" t="inlineStr">
        <is>
          <t>Gemma3:27b via Ollama</t>
        </is>
      </c>
      <c r="H663" s="48" t="n">
        <v>46164</v>
      </c>
      <c r="I663" s="46" t="inlineStr">
        <is>
          <t>7.803</t>
        </is>
      </c>
      <c r="J663" s="46" t="inlineStr">
        <is>
          <t>65.49</t>
        </is>
      </c>
      <c r="K663" s="46" t="inlineStr">
        <is>
          <t>Gemma3:27b</t>
        </is>
      </c>
      <c r="L663" s="46" t="inlineStr">
        <is>
          <t>0.3</t>
        </is>
      </c>
      <c r="M663" s="73" t="inlineStr">
        <is>
          <t>Complete</t>
        </is>
      </c>
    </row>
    <row r="664" ht="13.5" customHeight="1" s="38">
      <c r="A664" s="46" t="inlineStr">
        <is>
          <t>S_S3_SC02_I01</t>
        </is>
      </c>
      <c r="B664" s="46" t="inlineStr">
        <is>
          <t>R_0698</t>
        </is>
      </c>
      <c r="C664" s="46" t="inlineStr">
        <is>
          <t>Strategy 3 – One-Shot + Structured Template</t>
        </is>
      </c>
      <c r="D664" s="46" t="inlineStr">
        <is>
          <t>SC02</t>
        </is>
      </c>
      <c r="E664" s="46" t="inlineStr">
        <is>
          <t>Supply Chain</t>
        </is>
      </c>
      <c r="F664" s="47" t="n">
        <v>1</v>
      </c>
      <c r="G664" s="46" t="inlineStr">
        <is>
          <t>Gemma3:27b via Ollama</t>
        </is>
      </c>
      <c r="H664" s="48" t="n">
        <v>46164</v>
      </c>
      <c r="I664" s="46" t="inlineStr">
        <is>
          <t>7.080</t>
        </is>
      </c>
      <c r="J664" s="46" t="inlineStr">
        <is>
          <t>67.52</t>
        </is>
      </c>
      <c r="K664" s="46" t="inlineStr">
        <is>
          <t>Gemma3:27b</t>
        </is>
      </c>
      <c r="L664" s="46" t="inlineStr">
        <is>
          <t>0.3</t>
        </is>
      </c>
      <c r="M664" s="73" t="inlineStr">
        <is>
          <t>Complete</t>
        </is>
      </c>
    </row>
    <row r="665" ht="13.5" customHeight="1" s="38">
      <c r="A665" s="46" t="inlineStr">
        <is>
          <t>S_S3_SC02_I02</t>
        </is>
      </c>
      <c r="B665" s="46" t="inlineStr">
        <is>
          <t>R_0159</t>
        </is>
      </c>
      <c r="C665" s="46" t="inlineStr">
        <is>
          <t>Strategy 3 – One-Shot + Structured Template</t>
        </is>
      </c>
      <c r="D665" s="46" t="inlineStr">
        <is>
          <t>SC02</t>
        </is>
      </c>
      <c r="E665" s="46" t="inlineStr">
        <is>
          <t>Supply Chain</t>
        </is>
      </c>
      <c r="F665" s="47" t="n">
        <v>2</v>
      </c>
      <c r="G665" s="46" t="inlineStr">
        <is>
          <t>Gemma3:27b via Ollama</t>
        </is>
      </c>
      <c r="H665" s="48" t="n">
        <v>46164</v>
      </c>
      <c r="I665" s="46" t="inlineStr">
        <is>
          <t>7.913</t>
        </is>
      </c>
      <c r="J665" s="46" t="inlineStr">
        <is>
          <t>65.46</t>
        </is>
      </c>
      <c r="K665" s="46" t="inlineStr">
        <is>
          <t>Gemma3:27b</t>
        </is>
      </c>
      <c r="L665" s="46" t="inlineStr">
        <is>
          <t>0.3</t>
        </is>
      </c>
      <c r="M665" s="73" t="inlineStr">
        <is>
          <t>Complete</t>
        </is>
      </c>
    </row>
    <row r="666" ht="13.5" customHeight="1" s="38">
      <c r="A666" s="46" t="inlineStr">
        <is>
          <t>S_S3_SC02_I03</t>
        </is>
      </c>
      <c r="B666" s="46" t="inlineStr">
        <is>
          <t>R_0499</t>
        </is>
      </c>
      <c r="C666" s="46" t="inlineStr">
        <is>
          <t>Strategy 3 – One-Shot + Structured Template</t>
        </is>
      </c>
      <c r="D666" s="46" t="inlineStr">
        <is>
          <t>SC02</t>
        </is>
      </c>
      <c r="E666" s="46" t="inlineStr">
        <is>
          <t>Supply Chain</t>
        </is>
      </c>
      <c r="F666" s="47" t="n">
        <v>3</v>
      </c>
      <c r="G666" s="46" t="inlineStr">
        <is>
          <t>Gemma3:27b via Ollama</t>
        </is>
      </c>
      <c r="H666" s="48" t="n">
        <v>46164</v>
      </c>
      <c r="I666" s="46" t="inlineStr">
        <is>
          <t>7.041</t>
        </is>
      </c>
      <c r="J666" s="46" t="inlineStr">
        <is>
          <t>65.33</t>
        </is>
      </c>
      <c r="K666" s="46" t="inlineStr">
        <is>
          <t>Gemma3:27b</t>
        </is>
      </c>
      <c r="L666" s="46" t="inlineStr">
        <is>
          <t>0.3</t>
        </is>
      </c>
      <c r="M666" s="73" t="inlineStr">
        <is>
          <t>Complete</t>
        </is>
      </c>
    </row>
    <row r="667" ht="13.5" customHeight="1" s="38">
      <c r="A667" s="46" t="inlineStr">
        <is>
          <t>S_S3_SC02_I04</t>
        </is>
      </c>
      <c r="B667" s="46" t="inlineStr">
        <is>
          <t>R_0570</t>
        </is>
      </c>
      <c r="C667" s="46" t="inlineStr">
        <is>
          <t>Strategy 3 – One-Shot + Structured Template</t>
        </is>
      </c>
      <c r="D667" s="46" t="inlineStr">
        <is>
          <t>SC02</t>
        </is>
      </c>
      <c r="E667" s="46" t="inlineStr">
        <is>
          <t>Supply Chain</t>
        </is>
      </c>
      <c r="F667" s="47" t="n">
        <v>4</v>
      </c>
      <c r="G667" s="46" t="inlineStr">
        <is>
          <t>Gemma3:27b via Ollama</t>
        </is>
      </c>
      <c r="H667" s="48" t="n">
        <v>46164</v>
      </c>
      <c r="I667" s="46" t="inlineStr">
        <is>
          <t>7.970</t>
        </is>
      </c>
      <c r="J667" s="46" t="inlineStr">
        <is>
          <t>66.50</t>
        </is>
      </c>
      <c r="K667" s="46" t="inlineStr">
        <is>
          <t>Gemma3:27b</t>
        </is>
      </c>
      <c r="L667" s="46" t="inlineStr">
        <is>
          <t>0.3</t>
        </is>
      </c>
      <c r="M667" s="73" t="inlineStr">
        <is>
          <t>Complete</t>
        </is>
      </c>
    </row>
    <row r="668" ht="13.5" customHeight="1" s="38">
      <c r="A668" s="46" t="inlineStr">
        <is>
          <t>S_S3_SC02_I05</t>
        </is>
      </c>
      <c r="B668" s="46" t="inlineStr">
        <is>
          <t>R_0712</t>
        </is>
      </c>
      <c r="C668" s="46" t="inlineStr">
        <is>
          <t>Strategy 3 – One-Shot + Structured Template</t>
        </is>
      </c>
      <c r="D668" s="46" t="inlineStr">
        <is>
          <t>SC02</t>
        </is>
      </c>
      <c r="E668" s="46" t="inlineStr">
        <is>
          <t>Supply Chain</t>
        </is>
      </c>
      <c r="F668" s="47" t="n">
        <v>5</v>
      </c>
      <c r="G668" s="46" t="inlineStr">
        <is>
          <t>Gemma3:27b via Ollama</t>
        </is>
      </c>
      <c r="H668" s="48" t="n">
        <v>46164</v>
      </c>
      <c r="I668" s="46" t="inlineStr">
        <is>
          <t>6.795</t>
        </is>
      </c>
      <c r="J668" s="46" t="inlineStr">
        <is>
          <t>67.41</t>
        </is>
      </c>
      <c r="K668" s="46" t="inlineStr">
        <is>
          <t>Gemma3:27b</t>
        </is>
      </c>
      <c r="L668" s="46" t="inlineStr">
        <is>
          <t>0.3</t>
        </is>
      </c>
      <c r="M668" s="73" t="inlineStr">
        <is>
          <t>Complete</t>
        </is>
      </c>
    </row>
    <row r="669" ht="13.5" customHeight="1" s="38">
      <c r="A669" s="46" t="inlineStr">
        <is>
          <t>S_S3_SC02_I06</t>
        </is>
      </c>
      <c r="B669" s="46" t="inlineStr">
        <is>
          <t>R_0293</t>
        </is>
      </c>
      <c r="C669" s="46" t="inlineStr">
        <is>
          <t>Strategy 3 – One-Shot + Structured Template</t>
        </is>
      </c>
      <c r="D669" s="46" t="inlineStr">
        <is>
          <t>SC02</t>
        </is>
      </c>
      <c r="E669" s="46" t="inlineStr">
        <is>
          <t>Supply Chain</t>
        </is>
      </c>
      <c r="F669" s="47" t="n">
        <v>6</v>
      </c>
      <c r="G669" s="46" t="inlineStr">
        <is>
          <t>Gemma3:27b via Ollama</t>
        </is>
      </c>
      <c r="H669" s="48" t="n">
        <v>46164</v>
      </c>
      <c r="I669" s="46" t="inlineStr">
        <is>
          <t>8.975</t>
        </is>
      </c>
      <c r="J669" s="46" t="inlineStr">
        <is>
          <t>66.07</t>
        </is>
      </c>
      <c r="K669" s="46" t="inlineStr">
        <is>
          <t>Gemma3:27b</t>
        </is>
      </c>
      <c r="L669" s="46" t="inlineStr">
        <is>
          <t>0.3</t>
        </is>
      </c>
      <c r="M669" s="73" t="inlineStr">
        <is>
          <t>Complete</t>
        </is>
      </c>
    </row>
    <row r="670" ht="13.5" customHeight="1" s="38">
      <c r="A670" s="46" t="inlineStr">
        <is>
          <t>S_S3_SC02_I07</t>
        </is>
      </c>
      <c r="B670" s="46" t="inlineStr">
        <is>
          <t>R_0466</t>
        </is>
      </c>
      <c r="C670" s="46" t="inlineStr">
        <is>
          <t>Strategy 3 – One-Shot + Structured Template</t>
        </is>
      </c>
      <c r="D670" s="46" t="inlineStr">
        <is>
          <t>SC02</t>
        </is>
      </c>
      <c r="E670" s="46" t="inlineStr">
        <is>
          <t>Supply Chain</t>
        </is>
      </c>
      <c r="F670" s="47" t="n">
        <v>7</v>
      </c>
      <c r="G670" s="46" t="inlineStr">
        <is>
          <t>Gemma3:27b via Ollama</t>
        </is>
      </c>
      <c r="H670" s="48" t="n">
        <v>46164</v>
      </c>
      <c r="I670" s="46" t="inlineStr">
        <is>
          <t>7.314</t>
        </is>
      </c>
      <c r="J670" s="46" t="inlineStr">
        <is>
          <t>67.41</t>
        </is>
      </c>
      <c r="K670" s="46" t="inlineStr">
        <is>
          <t>Gemma3:27b</t>
        </is>
      </c>
      <c r="L670" s="46" t="inlineStr">
        <is>
          <t>0.3</t>
        </is>
      </c>
      <c r="M670" s="73" t="inlineStr">
        <is>
          <t>Complete</t>
        </is>
      </c>
    </row>
    <row r="671" ht="13.5" customHeight="1" s="38">
      <c r="A671" s="46" t="inlineStr">
        <is>
          <t>S_S3_SC02_I08</t>
        </is>
      </c>
      <c r="B671" s="46" t="inlineStr">
        <is>
          <t>R_0771</t>
        </is>
      </c>
      <c r="C671" s="46" t="inlineStr">
        <is>
          <t>Strategy 3 – One-Shot + Structured Template</t>
        </is>
      </c>
      <c r="D671" s="46" t="inlineStr">
        <is>
          <t>SC02</t>
        </is>
      </c>
      <c r="E671" s="46" t="inlineStr">
        <is>
          <t>Supply Chain</t>
        </is>
      </c>
      <c r="F671" s="47" t="n">
        <v>8</v>
      </c>
      <c r="G671" s="46" t="inlineStr">
        <is>
          <t>Gemma3:27b via Ollama</t>
        </is>
      </c>
      <c r="H671" s="48" t="n">
        <v>46164</v>
      </c>
      <c r="I671" s="46" t="inlineStr">
        <is>
          <t>7.236</t>
        </is>
      </c>
      <c r="J671" s="46" t="inlineStr">
        <is>
          <t>67.44</t>
        </is>
      </c>
      <c r="K671" s="46" t="inlineStr">
        <is>
          <t>Gemma3:27b</t>
        </is>
      </c>
      <c r="L671" s="46" t="inlineStr">
        <is>
          <t>0.3</t>
        </is>
      </c>
      <c r="M671" s="73" t="inlineStr">
        <is>
          <t>Complete</t>
        </is>
      </c>
    </row>
    <row r="672" ht="13.5" customHeight="1" s="38">
      <c r="A672" s="46" t="inlineStr">
        <is>
          <t>S_S3_SC02_I09</t>
        </is>
      </c>
      <c r="B672" s="46" t="inlineStr">
        <is>
          <t>R_0400</t>
        </is>
      </c>
      <c r="C672" s="46" t="inlineStr">
        <is>
          <t>Strategy 3 – One-Shot + Structured Template</t>
        </is>
      </c>
      <c r="D672" s="46" t="inlineStr">
        <is>
          <t>SC02</t>
        </is>
      </c>
      <c r="E672" s="46" t="inlineStr">
        <is>
          <t>Supply Chain</t>
        </is>
      </c>
      <c r="F672" s="47" t="n">
        <v>9</v>
      </c>
      <c r="G672" s="46" t="inlineStr">
        <is>
          <t>Gemma3:27b via Ollama</t>
        </is>
      </c>
      <c r="H672" s="48" t="n">
        <v>46164</v>
      </c>
      <c r="I672" s="46" t="inlineStr">
        <is>
          <t>7.506</t>
        </is>
      </c>
      <c r="J672" s="46" t="inlineStr">
        <is>
          <t>66.08</t>
        </is>
      </c>
      <c r="K672" s="46" t="inlineStr">
        <is>
          <t>Gemma3:27b</t>
        </is>
      </c>
      <c r="L672" s="46" t="inlineStr">
        <is>
          <t>0.3</t>
        </is>
      </c>
      <c r="M672" s="73" t="inlineStr">
        <is>
          <t>Complete</t>
        </is>
      </c>
    </row>
    <row r="673" ht="13.5" customHeight="1" s="38">
      <c r="A673" s="46" t="inlineStr">
        <is>
          <t>S_S3_SC02_I10</t>
        </is>
      </c>
      <c r="B673" s="46" t="inlineStr">
        <is>
          <t>R_0003</t>
        </is>
      </c>
      <c r="C673" s="46" t="inlineStr">
        <is>
          <t>Strategy 3 – One-Shot + Structured Template</t>
        </is>
      </c>
      <c r="D673" s="46" t="inlineStr">
        <is>
          <t>SC02</t>
        </is>
      </c>
      <c r="E673" s="46" t="inlineStr">
        <is>
          <t>Supply Chain</t>
        </is>
      </c>
      <c r="F673" s="47" t="n">
        <v>10</v>
      </c>
      <c r="G673" s="46" t="inlineStr">
        <is>
          <t>Gemma3:27b via Ollama</t>
        </is>
      </c>
      <c r="H673" s="48" t="n">
        <v>46164</v>
      </c>
      <c r="I673" s="46" t="inlineStr">
        <is>
          <t>7.417</t>
        </is>
      </c>
      <c r="J673" s="46" t="inlineStr">
        <is>
          <t>67.28</t>
        </is>
      </c>
      <c r="K673" s="46" t="inlineStr">
        <is>
          <t>Gemma3:27b</t>
        </is>
      </c>
      <c r="L673" s="46" t="inlineStr">
        <is>
          <t>0.3</t>
        </is>
      </c>
      <c r="M673" s="73" t="inlineStr">
        <is>
          <t>Complete</t>
        </is>
      </c>
    </row>
    <row r="674" ht="13.5" customHeight="1" s="38">
      <c r="A674" s="46" t="inlineStr">
        <is>
          <t>S_S3_SC03_I01</t>
        </is>
      </c>
      <c r="B674" s="46" t="inlineStr">
        <is>
          <t>R_0901</t>
        </is>
      </c>
      <c r="C674" s="46" t="inlineStr">
        <is>
          <t>Strategy 3 – One-Shot + Structured Template</t>
        </is>
      </c>
      <c r="D674" s="46" t="inlineStr">
        <is>
          <t>SC03</t>
        </is>
      </c>
      <c r="E674" s="46" t="inlineStr">
        <is>
          <t>Supply Chain</t>
        </is>
      </c>
      <c r="F674" s="47" t="n">
        <v>1</v>
      </c>
      <c r="G674" s="46" t="inlineStr">
        <is>
          <t>Gemma3:27b via Ollama</t>
        </is>
      </c>
      <c r="H674" s="48" t="n">
        <v>46164</v>
      </c>
      <c r="I674" s="46" t="inlineStr">
        <is>
          <t>7.176</t>
        </is>
      </c>
      <c r="J674" s="46" t="inlineStr">
        <is>
          <t>67.59</t>
        </is>
      </c>
      <c r="K674" s="46" t="inlineStr">
        <is>
          <t>Gemma3:27b</t>
        </is>
      </c>
      <c r="L674" s="46" t="inlineStr">
        <is>
          <t>0.3</t>
        </is>
      </c>
      <c r="M674" s="73" t="inlineStr">
        <is>
          <t>Complete</t>
        </is>
      </c>
    </row>
    <row r="675" ht="13.5" customHeight="1" s="38">
      <c r="A675" s="46" t="inlineStr">
        <is>
          <t>S_S3_SC03_I02</t>
        </is>
      </c>
      <c r="B675" s="46" t="inlineStr">
        <is>
          <t>R_0169</t>
        </is>
      </c>
      <c r="C675" s="46" t="inlineStr">
        <is>
          <t>Strategy 3 – One-Shot + Structured Template</t>
        </is>
      </c>
      <c r="D675" s="46" t="inlineStr">
        <is>
          <t>SC03</t>
        </is>
      </c>
      <c r="E675" s="46" t="inlineStr">
        <is>
          <t>Supply Chain</t>
        </is>
      </c>
      <c r="F675" s="47" t="n">
        <v>2</v>
      </c>
      <c r="G675" s="46" t="inlineStr">
        <is>
          <t>Gemma3:27b via Ollama</t>
        </is>
      </c>
      <c r="H675" s="48" t="n">
        <v>46164</v>
      </c>
      <c r="I675" s="46" t="inlineStr">
        <is>
          <t>6.793</t>
        </is>
      </c>
      <c r="J675" s="46" t="inlineStr">
        <is>
          <t>65.66</t>
        </is>
      </c>
      <c r="K675" s="46" t="inlineStr">
        <is>
          <t>Gemma3:27b</t>
        </is>
      </c>
      <c r="L675" s="46" t="inlineStr">
        <is>
          <t>0.3</t>
        </is>
      </c>
      <c r="M675" s="73" t="inlineStr">
        <is>
          <t>Complete</t>
        </is>
      </c>
    </row>
    <row r="676" ht="13.5" customHeight="1" s="38">
      <c r="A676" s="46" t="inlineStr">
        <is>
          <t>S_S3_SC03_I03</t>
        </is>
      </c>
      <c r="B676" s="46" t="inlineStr">
        <is>
          <t>R_0738</t>
        </is>
      </c>
      <c r="C676" s="46" t="inlineStr">
        <is>
          <t>Strategy 3 – One-Shot + Structured Template</t>
        </is>
      </c>
      <c r="D676" s="46" t="inlineStr">
        <is>
          <t>SC03</t>
        </is>
      </c>
      <c r="E676" s="46" t="inlineStr">
        <is>
          <t>Supply Chain</t>
        </is>
      </c>
      <c r="F676" s="47" t="n">
        <v>3</v>
      </c>
      <c r="G676" s="46" t="inlineStr">
        <is>
          <t>Gemma3:27b via Ollama</t>
        </is>
      </c>
      <c r="H676" s="48" t="n">
        <v>46164</v>
      </c>
      <c r="I676" s="46" t="inlineStr">
        <is>
          <t>6.511</t>
        </is>
      </c>
      <c r="J676" s="46" t="inlineStr">
        <is>
          <t>66.96</t>
        </is>
      </c>
      <c r="K676" s="46" t="inlineStr">
        <is>
          <t>Gemma3:27b</t>
        </is>
      </c>
      <c r="L676" s="46" t="inlineStr">
        <is>
          <t>0.3</t>
        </is>
      </c>
      <c r="M676" s="73" t="inlineStr">
        <is>
          <t>Complete</t>
        </is>
      </c>
    </row>
    <row r="677" ht="13.5" customHeight="1" s="38">
      <c r="A677" s="46" t="inlineStr">
        <is>
          <t>S_S3_SC03_I04</t>
        </is>
      </c>
      <c r="B677" s="46" t="inlineStr">
        <is>
          <t>R_0884</t>
        </is>
      </c>
      <c r="C677" s="46" t="inlineStr">
        <is>
          <t>Strategy 3 – One-Shot + Structured Template</t>
        </is>
      </c>
      <c r="D677" s="46" t="inlineStr">
        <is>
          <t>SC03</t>
        </is>
      </c>
      <c r="E677" s="46" t="inlineStr">
        <is>
          <t>Supply Chain</t>
        </is>
      </c>
      <c r="F677" s="47" t="n">
        <v>4</v>
      </c>
      <c r="G677" s="46" t="inlineStr">
        <is>
          <t>Gemma3:27b via Ollama</t>
        </is>
      </c>
      <c r="H677" s="48" t="n">
        <v>46164</v>
      </c>
      <c r="I677" s="46" t="inlineStr">
        <is>
          <t>6.790</t>
        </is>
      </c>
      <c r="J677" s="46" t="inlineStr">
        <is>
          <t>67.74</t>
        </is>
      </c>
      <c r="K677" s="46" t="inlineStr">
        <is>
          <t>Gemma3:27b</t>
        </is>
      </c>
      <c r="L677" s="46" t="inlineStr">
        <is>
          <t>0.3</t>
        </is>
      </c>
      <c r="M677" s="73" t="inlineStr">
        <is>
          <t>Complete</t>
        </is>
      </c>
    </row>
    <row r="678" ht="13.5" customHeight="1" s="38">
      <c r="A678" s="46" t="inlineStr">
        <is>
          <t>S_S3_SC03_I05</t>
        </is>
      </c>
      <c r="B678" s="46" t="inlineStr">
        <is>
          <t>R_0219</t>
        </is>
      </c>
      <c r="C678" s="46" t="inlineStr">
        <is>
          <t>Strategy 3 – One-Shot + Structured Template</t>
        </is>
      </c>
      <c r="D678" s="46" t="inlineStr">
        <is>
          <t>SC03</t>
        </is>
      </c>
      <c r="E678" s="46" t="inlineStr">
        <is>
          <t>Supply Chain</t>
        </is>
      </c>
      <c r="F678" s="47" t="n">
        <v>5</v>
      </c>
      <c r="G678" s="46" t="inlineStr">
        <is>
          <t>Gemma3:27b via Ollama</t>
        </is>
      </c>
      <c r="H678" s="48" t="n">
        <v>46164</v>
      </c>
      <c r="I678" s="46" t="inlineStr">
        <is>
          <t>7.735</t>
        </is>
      </c>
      <c r="J678" s="46" t="inlineStr">
        <is>
          <t>65.67</t>
        </is>
      </c>
      <c r="K678" s="46" t="inlineStr">
        <is>
          <t>Gemma3:27b</t>
        </is>
      </c>
      <c r="L678" s="46" t="inlineStr">
        <is>
          <t>0.3</t>
        </is>
      </c>
      <c r="M678" s="73" t="inlineStr">
        <is>
          <t>Complete</t>
        </is>
      </c>
    </row>
    <row r="679" ht="13.5" customHeight="1" s="38">
      <c r="A679" s="46" t="inlineStr">
        <is>
          <t>S_S3_SC03_I06</t>
        </is>
      </c>
      <c r="B679" s="46" t="inlineStr">
        <is>
          <t>R_0493</t>
        </is>
      </c>
      <c r="C679" s="46" t="inlineStr">
        <is>
          <t>Strategy 3 – One-Shot + Structured Template</t>
        </is>
      </c>
      <c r="D679" s="46" t="inlineStr">
        <is>
          <t>SC03</t>
        </is>
      </c>
      <c r="E679" s="46" t="inlineStr">
        <is>
          <t>Supply Chain</t>
        </is>
      </c>
      <c r="F679" s="47" t="n">
        <v>6</v>
      </c>
      <c r="G679" s="46" t="inlineStr">
        <is>
          <t>Gemma3:27b via Ollama</t>
        </is>
      </c>
      <c r="H679" s="48" t="n">
        <v>46164</v>
      </c>
      <c r="I679" s="46" t="inlineStr">
        <is>
          <t>7.443</t>
        </is>
      </c>
      <c r="J679" s="46" t="inlineStr">
        <is>
          <t>67.58</t>
        </is>
      </c>
      <c r="K679" s="46" t="inlineStr">
        <is>
          <t>Gemma3:27b</t>
        </is>
      </c>
      <c r="L679" s="46" t="inlineStr">
        <is>
          <t>0.3</t>
        </is>
      </c>
      <c r="M679" s="73" t="inlineStr">
        <is>
          <t>Complete</t>
        </is>
      </c>
    </row>
    <row r="680" ht="13.5" customHeight="1" s="38">
      <c r="A680" s="46" t="inlineStr">
        <is>
          <t>S_S3_SC03_I07</t>
        </is>
      </c>
      <c r="B680" s="46" t="inlineStr">
        <is>
          <t>R_0728</t>
        </is>
      </c>
      <c r="C680" s="46" t="inlineStr">
        <is>
          <t>Strategy 3 – One-Shot + Structured Template</t>
        </is>
      </c>
      <c r="D680" s="46" t="inlineStr">
        <is>
          <t>SC03</t>
        </is>
      </c>
      <c r="E680" s="46" t="inlineStr">
        <is>
          <t>Supply Chain</t>
        </is>
      </c>
      <c r="F680" s="47" t="n">
        <v>7</v>
      </c>
      <c r="G680" s="46" t="inlineStr">
        <is>
          <t>Gemma3:27b via Ollama</t>
        </is>
      </c>
      <c r="H680" s="48" t="n">
        <v>46164</v>
      </c>
      <c r="I680" s="46" t="inlineStr">
        <is>
          <t>7.907</t>
        </is>
      </c>
      <c r="J680" s="46" t="inlineStr">
        <is>
          <t>67.66</t>
        </is>
      </c>
      <c r="K680" s="46" t="inlineStr">
        <is>
          <t>Gemma3:27b</t>
        </is>
      </c>
      <c r="L680" s="46" t="inlineStr">
        <is>
          <t>0.3</t>
        </is>
      </c>
      <c r="M680" s="73" t="inlineStr">
        <is>
          <t>Complete</t>
        </is>
      </c>
    </row>
    <row r="681" ht="13.5" customHeight="1" s="38">
      <c r="A681" s="46" t="inlineStr">
        <is>
          <t>S_S3_SC03_I08</t>
        </is>
      </c>
      <c r="B681" s="46" t="inlineStr">
        <is>
          <t>R_0913</t>
        </is>
      </c>
      <c r="C681" s="46" t="inlineStr">
        <is>
          <t>Strategy 3 – One-Shot + Structured Template</t>
        </is>
      </c>
      <c r="D681" s="46" t="inlineStr">
        <is>
          <t>SC03</t>
        </is>
      </c>
      <c r="E681" s="46" t="inlineStr">
        <is>
          <t>Supply Chain</t>
        </is>
      </c>
      <c r="F681" s="47" t="n">
        <v>8</v>
      </c>
      <c r="G681" s="46" t="inlineStr">
        <is>
          <t>Gemma3:27b via Ollama</t>
        </is>
      </c>
      <c r="H681" s="48" t="n">
        <v>46164</v>
      </c>
      <c r="I681" s="46" t="inlineStr">
        <is>
          <t>6.775</t>
        </is>
      </c>
      <c r="J681" s="46" t="inlineStr">
        <is>
          <t>67.61</t>
        </is>
      </c>
      <c r="K681" s="46" t="inlineStr">
        <is>
          <t>Gemma3:27b</t>
        </is>
      </c>
      <c r="L681" s="46" t="inlineStr">
        <is>
          <t>0.3</t>
        </is>
      </c>
      <c r="M681" s="73" t="inlineStr">
        <is>
          <t>Complete</t>
        </is>
      </c>
    </row>
    <row r="682" ht="13.5" customHeight="1" s="38">
      <c r="A682" s="46" t="inlineStr">
        <is>
          <t>S_S3_SC03_I09</t>
        </is>
      </c>
      <c r="B682" s="46" t="inlineStr">
        <is>
          <t>R_0171</t>
        </is>
      </c>
      <c r="C682" s="46" t="inlineStr">
        <is>
          <t>Strategy 3 – One-Shot + Structured Template</t>
        </is>
      </c>
      <c r="D682" s="46" t="inlineStr">
        <is>
          <t>SC03</t>
        </is>
      </c>
      <c r="E682" s="46" t="inlineStr">
        <is>
          <t>Supply Chain</t>
        </is>
      </c>
      <c r="F682" s="47" t="n">
        <v>9</v>
      </c>
      <c r="G682" s="46" t="inlineStr">
        <is>
          <t>Gemma3:27b via Ollama</t>
        </is>
      </c>
      <c r="H682" s="48" t="n">
        <v>46164</v>
      </c>
      <c r="I682" s="46" t="inlineStr">
        <is>
          <t>6.856</t>
        </is>
      </c>
      <c r="J682" s="46" t="inlineStr">
        <is>
          <t>67.53</t>
        </is>
      </c>
      <c r="K682" s="46" t="inlineStr">
        <is>
          <t>Gemma3:27b</t>
        </is>
      </c>
      <c r="L682" s="46" t="inlineStr">
        <is>
          <t>0.3</t>
        </is>
      </c>
      <c r="M682" s="73" t="inlineStr">
        <is>
          <t>Complete</t>
        </is>
      </c>
    </row>
    <row r="683" ht="13.5" customHeight="1" s="38">
      <c r="A683" s="46" t="inlineStr">
        <is>
          <t>S_S3_SC03_I10</t>
        </is>
      </c>
      <c r="B683" s="46" t="inlineStr">
        <is>
          <t>R_0243</t>
        </is>
      </c>
      <c r="C683" s="46" t="inlineStr">
        <is>
          <t>Strategy 3 – One-Shot + Structured Template</t>
        </is>
      </c>
      <c r="D683" s="46" t="inlineStr">
        <is>
          <t>SC03</t>
        </is>
      </c>
      <c r="E683" s="46" t="inlineStr">
        <is>
          <t>Supply Chain</t>
        </is>
      </c>
      <c r="F683" s="47" t="n">
        <v>10</v>
      </c>
      <c r="G683" s="46" t="inlineStr">
        <is>
          <t>Gemma3:27b via Ollama</t>
        </is>
      </c>
      <c r="H683" s="48" t="n">
        <v>46164</v>
      </c>
      <c r="I683" s="46" t="inlineStr">
        <is>
          <t>6.616</t>
        </is>
      </c>
      <c r="J683" s="46" t="inlineStr">
        <is>
          <t>66.66</t>
        </is>
      </c>
      <c r="K683" s="46" t="inlineStr">
        <is>
          <t>Gemma3:27b</t>
        </is>
      </c>
      <c r="L683" s="46" t="inlineStr">
        <is>
          <t>0.3</t>
        </is>
      </c>
      <c r="M683" s="73" t="inlineStr">
        <is>
          <t>Complete</t>
        </is>
      </c>
    </row>
    <row r="684" ht="13.5" customHeight="1" s="38">
      <c r="A684" s="46" t="inlineStr">
        <is>
          <t>S_S3_SC04_I01</t>
        </is>
      </c>
      <c r="B684" s="46" t="inlineStr">
        <is>
          <t>R_0996</t>
        </is>
      </c>
      <c r="C684" s="46" t="inlineStr">
        <is>
          <t>Strategy 3 – One-Shot + Structured Template</t>
        </is>
      </c>
      <c r="D684" s="46" t="inlineStr">
        <is>
          <t>SC04</t>
        </is>
      </c>
      <c r="E684" s="46" t="inlineStr">
        <is>
          <t>Supply Chain</t>
        </is>
      </c>
      <c r="F684" s="47" t="n">
        <v>1</v>
      </c>
      <c r="G684" s="46" t="inlineStr">
        <is>
          <t>Gemma3:27b via Ollama</t>
        </is>
      </c>
      <c r="H684" s="48" t="n">
        <v>46166</v>
      </c>
      <c r="I684" s="46" t="inlineStr">
        <is>
          <t>6.632</t>
        </is>
      </c>
      <c r="J684" s="46" t="inlineStr">
        <is>
          <t>67.25</t>
        </is>
      </c>
      <c r="K684" s="46" t="inlineStr">
        <is>
          <t>Gemma3:27b</t>
        </is>
      </c>
      <c r="L684" s="46" t="inlineStr">
        <is>
          <t>0.3</t>
        </is>
      </c>
      <c r="M684" s="73" t="inlineStr">
        <is>
          <t>Complete</t>
        </is>
      </c>
    </row>
    <row r="685" ht="13.5" customHeight="1" s="38">
      <c r="A685" s="46" t="inlineStr">
        <is>
          <t>S_S3_SC04_I02</t>
        </is>
      </c>
      <c r="B685" s="46" t="inlineStr">
        <is>
          <t>R_0016</t>
        </is>
      </c>
      <c r="C685" s="46" t="inlineStr">
        <is>
          <t>Strategy 3 – One-Shot + Structured Template</t>
        </is>
      </c>
      <c r="D685" s="46" t="inlineStr">
        <is>
          <t>SC04</t>
        </is>
      </c>
      <c r="E685" s="46" t="inlineStr">
        <is>
          <t>Supply Chain</t>
        </is>
      </c>
      <c r="F685" s="47" t="n">
        <v>2</v>
      </c>
      <c r="G685" s="46" t="inlineStr">
        <is>
          <t>Gemma3:27b via Ollama</t>
        </is>
      </c>
      <c r="H685" s="48" t="n">
        <v>46166</v>
      </c>
      <c r="I685" s="46" t="inlineStr">
        <is>
          <t>8.110</t>
        </is>
      </c>
      <c r="J685" s="46" t="inlineStr">
        <is>
          <t>67.33</t>
        </is>
      </c>
      <c r="K685" s="46" t="inlineStr">
        <is>
          <t>Gemma3:27b</t>
        </is>
      </c>
      <c r="L685" s="46" t="inlineStr">
        <is>
          <t>0.3</t>
        </is>
      </c>
      <c r="M685" s="73" t="inlineStr">
        <is>
          <t>Complete</t>
        </is>
      </c>
    </row>
    <row r="686" ht="13.5" customHeight="1" s="38">
      <c r="A686" s="46" t="inlineStr">
        <is>
          <t>S_S3_SC04_I03</t>
        </is>
      </c>
      <c r="B686" s="46" t="inlineStr">
        <is>
          <t>R_0554</t>
        </is>
      </c>
      <c r="C686" s="46" t="inlineStr">
        <is>
          <t>Strategy 3 – One-Shot + Structured Template</t>
        </is>
      </c>
      <c r="D686" s="46" t="inlineStr">
        <is>
          <t>SC04</t>
        </is>
      </c>
      <c r="E686" s="46" t="inlineStr">
        <is>
          <t>Supply Chain</t>
        </is>
      </c>
      <c r="F686" s="47" t="n">
        <v>3</v>
      </c>
      <c r="G686" s="46" t="inlineStr">
        <is>
          <t>Gemma3:27b via Ollama</t>
        </is>
      </c>
      <c r="H686" s="48" t="n">
        <v>46166</v>
      </c>
      <c r="I686" s="46" t="inlineStr">
        <is>
          <t>7.837</t>
        </is>
      </c>
      <c r="J686" s="46" t="inlineStr">
        <is>
          <t>67.75</t>
        </is>
      </c>
      <c r="K686" s="46" t="inlineStr">
        <is>
          <t>Gemma3:27b</t>
        </is>
      </c>
      <c r="L686" s="46" t="inlineStr">
        <is>
          <t>0.3</t>
        </is>
      </c>
      <c r="M686" s="73" t="inlineStr">
        <is>
          <t>Complete</t>
        </is>
      </c>
    </row>
    <row r="687" ht="13.5" customHeight="1" s="38">
      <c r="A687" s="46" t="inlineStr">
        <is>
          <t>S_S3_SC04_I04</t>
        </is>
      </c>
      <c r="B687" s="46" t="inlineStr">
        <is>
          <t>R_0668</t>
        </is>
      </c>
      <c r="C687" s="46" t="inlineStr">
        <is>
          <t>Strategy 3 – One-Shot + Structured Template</t>
        </is>
      </c>
      <c r="D687" s="46" t="inlineStr">
        <is>
          <t>SC04</t>
        </is>
      </c>
      <c r="E687" s="46" t="inlineStr">
        <is>
          <t>Supply Chain</t>
        </is>
      </c>
      <c r="F687" s="47" t="n">
        <v>4</v>
      </c>
      <c r="G687" s="46" t="inlineStr">
        <is>
          <t>Gemma3:27b via Ollama</t>
        </is>
      </c>
      <c r="H687" s="48" t="n">
        <v>46166</v>
      </c>
      <c r="I687" s="46" t="inlineStr">
        <is>
          <t>7.382</t>
        </is>
      </c>
      <c r="J687" s="46" t="inlineStr">
        <is>
          <t>67.46</t>
        </is>
      </c>
      <c r="K687" s="46" t="inlineStr">
        <is>
          <t>Gemma3:27b</t>
        </is>
      </c>
      <c r="L687" s="46" t="inlineStr">
        <is>
          <t>0.3</t>
        </is>
      </c>
      <c r="M687" s="73" t="inlineStr">
        <is>
          <t>Complete</t>
        </is>
      </c>
    </row>
    <row r="688" ht="13.5" customHeight="1" s="38">
      <c r="A688" s="46" t="inlineStr">
        <is>
          <t>S_S3_SC04_I05</t>
        </is>
      </c>
      <c r="B688" s="46" t="inlineStr">
        <is>
          <t>R_0052</t>
        </is>
      </c>
      <c r="C688" s="46" t="inlineStr">
        <is>
          <t>Strategy 3 – One-Shot + Structured Template</t>
        </is>
      </c>
      <c r="D688" s="46" t="inlineStr">
        <is>
          <t>SC04</t>
        </is>
      </c>
      <c r="E688" s="46" t="inlineStr">
        <is>
          <t>Supply Chain</t>
        </is>
      </c>
      <c r="F688" s="47" t="n">
        <v>5</v>
      </c>
      <c r="G688" s="46" t="inlineStr">
        <is>
          <t>Gemma3:27b via Ollama</t>
        </is>
      </c>
      <c r="H688" s="48" t="n">
        <v>46166</v>
      </c>
      <c r="I688" s="46" t="inlineStr">
        <is>
          <t>8.197</t>
        </is>
      </c>
      <c r="J688" s="46" t="inlineStr">
        <is>
          <t>66.00</t>
        </is>
      </c>
      <c r="K688" s="46" t="inlineStr">
        <is>
          <t>Gemma3:27b</t>
        </is>
      </c>
      <c r="L688" s="46" t="inlineStr">
        <is>
          <t>0.3</t>
        </is>
      </c>
      <c r="M688" s="73" t="inlineStr">
        <is>
          <t>Complete</t>
        </is>
      </c>
    </row>
    <row r="689" ht="13.5" customHeight="1" s="38">
      <c r="A689" s="46" t="inlineStr">
        <is>
          <t>S_S3_SC04_I06</t>
        </is>
      </c>
      <c r="B689" s="46" t="inlineStr">
        <is>
          <t>R_0898</t>
        </is>
      </c>
      <c r="C689" s="46" t="inlineStr">
        <is>
          <t>Strategy 3 – One-Shot + Structured Template</t>
        </is>
      </c>
      <c r="D689" s="46" t="inlineStr">
        <is>
          <t>SC04</t>
        </is>
      </c>
      <c r="E689" s="46" t="inlineStr">
        <is>
          <t>Supply Chain</t>
        </is>
      </c>
      <c r="F689" s="47" t="n">
        <v>6</v>
      </c>
      <c r="G689" s="46" t="inlineStr">
        <is>
          <t>Gemma3:27b via Ollama</t>
        </is>
      </c>
      <c r="H689" s="48" t="n">
        <v>46166</v>
      </c>
      <c r="I689" s="46" t="inlineStr">
        <is>
          <t>8.208</t>
        </is>
      </c>
      <c r="J689" s="46" t="inlineStr">
        <is>
          <t>67.50</t>
        </is>
      </c>
      <c r="K689" s="46" t="inlineStr">
        <is>
          <t>Gemma3:27b</t>
        </is>
      </c>
      <c r="L689" s="46" t="inlineStr">
        <is>
          <t>0.3</t>
        </is>
      </c>
      <c r="M689" s="73" t="inlineStr">
        <is>
          <t>Complete</t>
        </is>
      </c>
    </row>
    <row r="690" ht="13.5" customHeight="1" s="38">
      <c r="A690" s="46" t="inlineStr">
        <is>
          <t>S_S3_SC04_I07</t>
        </is>
      </c>
      <c r="B690" s="46" t="inlineStr">
        <is>
          <t>R_0564</t>
        </is>
      </c>
      <c r="C690" s="46" t="inlineStr">
        <is>
          <t>Strategy 3 – One-Shot + Structured Template</t>
        </is>
      </c>
      <c r="D690" s="46" t="inlineStr">
        <is>
          <t>SC04</t>
        </is>
      </c>
      <c r="E690" s="46" t="inlineStr">
        <is>
          <t>Supply Chain</t>
        </is>
      </c>
      <c r="F690" s="47" t="n">
        <v>7</v>
      </c>
      <c r="G690" s="46" t="inlineStr">
        <is>
          <t>Gemma3:27b via Ollama</t>
        </is>
      </c>
      <c r="H690" s="48" t="n">
        <v>46166</v>
      </c>
      <c r="I690" s="46" t="inlineStr">
        <is>
          <t>7.481</t>
        </is>
      </c>
      <c r="J690" s="46" t="inlineStr">
        <is>
          <t>67.64</t>
        </is>
      </c>
      <c r="K690" s="46" t="inlineStr">
        <is>
          <t>Gemma3:27b</t>
        </is>
      </c>
      <c r="L690" s="46" t="inlineStr">
        <is>
          <t>0.3</t>
        </is>
      </c>
      <c r="M690" s="73" t="inlineStr">
        <is>
          <t>Complete</t>
        </is>
      </c>
    </row>
    <row r="691" ht="13.5" customHeight="1" s="38">
      <c r="A691" s="46" t="inlineStr">
        <is>
          <t>S_S3_SC04_I08</t>
        </is>
      </c>
      <c r="B691" s="46" t="inlineStr">
        <is>
          <t>R_0454</t>
        </is>
      </c>
      <c r="C691" s="46" t="inlineStr">
        <is>
          <t>Strategy 3 – One-Shot + Structured Template</t>
        </is>
      </c>
      <c r="D691" s="46" t="inlineStr">
        <is>
          <t>SC04</t>
        </is>
      </c>
      <c r="E691" s="46" t="inlineStr">
        <is>
          <t>Supply Chain</t>
        </is>
      </c>
      <c r="F691" s="47" t="n">
        <v>8</v>
      </c>
      <c r="G691" s="46" t="inlineStr">
        <is>
          <t>Gemma3:27b via Ollama</t>
        </is>
      </c>
      <c r="H691" s="48" t="n">
        <v>46166</v>
      </c>
      <c r="I691" s="46" t="inlineStr">
        <is>
          <t>7.572</t>
        </is>
      </c>
      <c r="J691" s="46" t="inlineStr">
        <is>
          <t>67.49</t>
        </is>
      </c>
      <c r="K691" s="46" t="inlineStr">
        <is>
          <t>Gemma3:27b</t>
        </is>
      </c>
      <c r="L691" s="46" t="inlineStr">
        <is>
          <t>0.3</t>
        </is>
      </c>
      <c r="M691" s="73" t="inlineStr">
        <is>
          <t>Complete</t>
        </is>
      </c>
    </row>
    <row r="692" ht="13.5" customHeight="1" s="38">
      <c r="A692" s="46" t="inlineStr">
        <is>
          <t>S_S3_SC04_I09</t>
        </is>
      </c>
      <c r="B692" s="46" t="inlineStr">
        <is>
          <t>R_0078</t>
        </is>
      </c>
      <c r="C692" s="46" t="inlineStr">
        <is>
          <t>Strategy 3 – One-Shot + Structured Template</t>
        </is>
      </c>
      <c r="D692" s="46" t="inlineStr">
        <is>
          <t>SC04</t>
        </is>
      </c>
      <c r="E692" s="46" t="inlineStr">
        <is>
          <t>Supply Chain</t>
        </is>
      </c>
      <c r="F692" s="47" t="n">
        <v>9</v>
      </c>
      <c r="G692" s="46" t="inlineStr">
        <is>
          <t>Gemma3:27b via Ollama</t>
        </is>
      </c>
      <c r="H692" s="48" t="n">
        <v>46166</v>
      </c>
      <c r="I692" s="46" t="inlineStr">
        <is>
          <t>7.750</t>
        </is>
      </c>
      <c r="J692" s="46" t="inlineStr">
        <is>
          <t>67.74</t>
        </is>
      </c>
      <c r="K692" s="46" t="inlineStr">
        <is>
          <t>Gemma3:27b</t>
        </is>
      </c>
      <c r="L692" s="46" t="inlineStr">
        <is>
          <t>0.3</t>
        </is>
      </c>
      <c r="M692" s="73" t="inlineStr">
        <is>
          <t>Complete</t>
        </is>
      </c>
    </row>
    <row r="693" ht="13.5" customHeight="1" s="38">
      <c r="A693" s="46" t="inlineStr">
        <is>
          <t>S_S3_SC04_I10</t>
        </is>
      </c>
      <c r="B693" s="46" t="inlineStr">
        <is>
          <t>R_0256</t>
        </is>
      </c>
      <c r="C693" s="46" t="inlineStr">
        <is>
          <t>Strategy 3 – One-Shot + Structured Template</t>
        </is>
      </c>
      <c r="D693" s="46" t="inlineStr">
        <is>
          <t>SC04</t>
        </is>
      </c>
      <c r="E693" s="46" t="inlineStr">
        <is>
          <t>Supply Chain</t>
        </is>
      </c>
      <c r="F693" s="47" t="n">
        <v>10</v>
      </c>
      <c r="G693" s="46" t="inlineStr">
        <is>
          <t>Gemma3:27b via Ollama</t>
        </is>
      </c>
      <c r="H693" s="48" t="n">
        <v>46166</v>
      </c>
      <c r="I693" s="46" t="inlineStr">
        <is>
          <t>7.640</t>
        </is>
      </c>
      <c r="J693" s="46" t="inlineStr">
        <is>
          <t>65.71</t>
        </is>
      </c>
      <c r="K693" s="46" t="inlineStr">
        <is>
          <t>Gemma3:27b</t>
        </is>
      </c>
      <c r="L693" s="46" t="inlineStr">
        <is>
          <t>0.3</t>
        </is>
      </c>
      <c r="M693" s="73" t="inlineStr">
        <is>
          <t>Complete</t>
        </is>
      </c>
    </row>
    <row r="694" ht="13.5" customHeight="1" s="38">
      <c r="A694" s="46" t="inlineStr">
        <is>
          <t>S_S3_SC05_I01</t>
        </is>
      </c>
      <c r="B694" s="46" t="inlineStr">
        <is>
          <t>R_0902</t>
        </is>
      </c>
      <c r="C694" s="46" t="inlineStr">
        <is>
          <t>Strategy 3 – One-Shot + Structured Template</t>
        </is>
      </c>
      <c r="D694" s="46" t="inlineStr">
        <is>
          <t>SC05</t>
        </is>
      </c>
      <c r="E694" s="46" t="inlineStr">
        <is>
          <t>Supply Chain</t>
        </is>
      </c>
      <c r="F694" s="47" t="n">
        <v>1</v>
      </c>
      <c r="G694" s="46" t="inlineStr">
        <is>
          <t>Gemma3:27b via Ollama</t>
        </is>
      </c>
      <c r="H694" s="48" t="n">
        <v>46166</v>
      </c>
      <c r="I694" s="46" t="inlineStr">
        <is>
          <t>7.364</t>
        </is>
      </c>
      <c r="J694" s="46" t="inlineStr">
        <is>
          <t>67.76</t>
        </is>
      </c>
      <c r="K694" s="46" t="inlineStr">
        <is>
          <t>Gemma3:27b</t>
        </is>
      </c>
      <c r="L694" s="46" t="inlineStr">
        <is>
          <t>0.3</t>
        </is>
      </c>
      <c r="M694" s="73" t="inlineStr">
        <is>
          <t>Complete</t>
        </is>
      </c>
    </row>
    <row r="695" ht="13.5" customHeight="1" s="38">
      <c r="A695" s="46" t="inlineStr">
        <is>
          <t>S_S3_SC05_I02</t>
        </is>
      </c>
      <c r="B695" s="46" t="inlineStr">
        <is>
          <t>R_0730</t>
        </is>
      </c>
      <c r="C695" s="46" t="inlineStr">
        <is>
          <t>Strategy 3 – One-Shot + Structured Template</t>
        </is>
      </c>
      <c r="D695" s="46" t="inlineStr">
        <is>
          <t>SC05</t>
        </is>
      </c>
      <c r="E695" s="46" t="inlineStr">
        <is>
          <t>Supply Chain</t>
        </is>
      </c>
      <c r="F695" s="47" t="n">
        <v>2</v>
      </c>
      <c r="G695" s="46" t="inlineStr">
        <is>
          <t>Gemma3:27b via Ollama</t>
        </is>
      </c>
      <c r="H695" s="48" t="n">
        <v>46166</v>
      </c>
      <c r="I695" s="46" t="inlineStr">
        <is>
          <t>8.689</t>
        </is>
      </c>
      <c r="J695" s="46" t="inlineStr">
        <is>
          <t>66.29</t>
        </is>
      </c>
      <c r="K695" s="46" t="inlineStr">
        <is>
          <t>Gemma3:27b</t>
        </is>
      </c>
      <c r="L695" s="46" t="inlineStr">
        <is>
          <t>0.3</t>
        </is>
      </c>
      <c r="M695" s="73" t="inlineStr">
        <is>
          <t>Complete</t>
        </is>
      </c>
    </row>
    <row r="696" ht="13.5" customHeight="1" s="38">
      <c r="A696" s="46" t="inlineStr">
        <is>
          <t>S_S3_SC05_I03</t>
        </is>
      </c>
      <c r="B696" s="46" t="inlineStr">
        <is>
          <t>R_0188</t>
        </is>
      </c>
      <c r="C696" s="46" t="inlineStr">
        <is>
          <t>Strategy 3 – One-Shot + Structured Template</t>
        </is>
      </c>
      <c r="D696" s="46" t="inlineStr">
        <is>
          <t>SC05</t>
        </is>
      </c>
      <c r="E696" s="46" t="inlineStr">
        <is>
          <t>Supply Chain</t>
        </is>
      </c>
      <c r="F696" s="47" t="n">
        <v>3</v>
      </c>
      <c r="G696" s="46" t="inlineStr">
        <is>
          <t>Gemma3:27b via Ollama</t>
        </is>
      </c>
      <c r="H696" s="48" t="n">
        <v>46166</v>
      </c>
      <c r="I696" s="46" t="inlineStr">
        <is>
          <t>8.169</t>
        </is>
      </c>
      <c r="J696" s="46" t="inlineStr">
        <is>
          <t>67.21</t>
        </is>
      </c>
      <c r="K696" s="46" t="inlineStr">
        <is>
          <t>Gemma3:27b</t>
        </is>
      </c>
      <c r="L696" s="46" t="inlineStr">
        <is>
          <t>0.3</t>
        </is>
      </c>
      <c r="M696" s="73" t="inlineStr">
        <is>
          <t>Complete</t>
        </is>
      </c>
    </row>
    <row r="697" ht="13.5" customHeight="1" s="38">
      <c r="A697" s="46" t="inlineStr">
        <is>
          <t>S_S3_SC05_I04</t>
        </is>
      </c>
      <c r="B697" s="46" t="inlineStr">
        <is>
          <t>R_0844</t>
        </is>
      </c>
      <c r="C697" s="46" t="inlineStr">
        <is>
          <t>Strategy 3 – One-Shot + Structured Template</t>
        </is>
      </c>
      <c r="D697" s="46" t="inlineStr">
        <is>
          <t>SC05</t>
        </is>
      </c>
      <c r="E697" s="46" t="inlineStr">
        <is>
          <t>Supply Chain</t>
        </is>
      </c>
      <c r="F697" s="47" t="n">
        <v>4</v>
      </c>
      <c r="G697" s="46" t="inlineStr">
        <is>
          <t>Gemma3:27b via Ollama</t>
        </is>
      </c>
      <c r="H697" s="48" t="n">
        <v>46166</v>
      </c>
      <c r="I697" s="46" t="inlineStr">
        <is>
          <t>8.090</t>
        </is>
      </c>
      <c r="J697" s="46" t="inlineStr">
        <is>
          <t>65.76</t>
        </is>
      </c>
      <c r="K697" s="46" t="inlineStr">
        <is>
          <t>Gemma3:27b</t>
        </is>
      </c>
      <c r="L697" s="46" t="inlineStr">
        <is>
          <t>0.3</t>
        </is>
      </c>
      <c r="M697" s="73" t="inlineStr">
        <is>
          <t>Complete</t>
        </is>
      </c>
    </row>
    <row r="698" ht="13.5" customHeight="1" s="38">
      <c r="A698" s="46" t="inlineStr">
        <is>
          <t>S_S3_SC05_I05</t>
        </is>
      </c>
      <c r="B698" s="46" t="inlineStr">
        <is>
          <t>R_0144</t>
        </is>
      </c>
      <c r="C698" s="46" t="inlineStr">
        <is>
          <t>Strategy 3 – One-Shot + Structured Template</t>
        </is>
      </c>
      <c r="D698" s="46" t="inlineStr">
        <is>
          <t>SC05</t>
        </is>
      </c>
      <c r="E698" s="46" t="inlineStr">
        <is>
          <t>Supply Chain</t>
        </is>
      </c>
      <c r="F698" s="47" t="n">
        <v>5</v>
      </c>
      <c r="G698" s="46" t="inlineStr">
        <is>
          <t>Gemma3:27b via Ollama</t>
        </is>
      </c>
      <c r="H698" s="48" t="n">
        <v>46166</v>
      </c>
      <c r="I698" s="46" t="inlineStr">
        <is>
          <t>8.117</t>
        </is>
      </c>
      <c r="J698" s="46" t="inlineStr">
        <is>
          <t>66.65</t>
        </is>
      </c>
      <c r="K698" s="46" t="inlineStr">
        <is>
          <t>Gemma3:27b</t>
        </is>
      </c>
      <c r="L698" s="46" t="inlineStr">
        <is>
          <t>0.3</t>
        </is>
      </c>
      <c r="M698" s="73" t="inlineStr">
        <is>
          <t>Complete</t>
        </is>
      </c>
    </row>
    <row r="699" ht="13.5" customHeight="1" s="38">
      <c r="A699" s="46" t="inlineStr">
        <is>
          <t>S_S3_SC05_I06</t>
        </is>
      </c>
      <c r="B699" s="46" t="inlineStr">
        <is>
          <t>R_0982</t>
        </is>
      </c>
      <c r="C699" s="46" t="inlineStr">
        <is>
          <t>Strategy 3 – One-Shot + Structured Template</t>
        </is>
      </c>
      <c r="D699" s="46" t="inlineStr">
        <is>
          <t>SC05</t>
        </is>
      </c>
      <c r="E699" s="46" t="inlineStr">
        <is>
          <t>Supply Chain</t>
        </is>
      </c>
      <c r="F699" s="47" t="n">
        <v>6</v>
      </c>
      <c r="G699" s="46" t="inlineStr">
        <is>
          <t>Gemma3:27b via Ollama</t>
        </is>
      </c>
      <c r="H699" s="48" t="n">
        <v>46166</v>
      </c>
      <c r="I699" s="46" t="inlineStr">
        <is>
          <t>7.127</t>
        </is>
      </c>
      <c r="J699" s="46" t="inlineStr">
        <is>
          <t>67.07</t>
        </is>
      </c>
      <c r="K699" s="46" t="inlineStr">
        <is>
          <t>Gemma3:27b</t>
        </is>
      </c>
      <c r="L699" s="46" t="inlineStr">
        <is>
          <t>0.3</t>
        </is>
      </c>
      <c r="M699" s="73" t="inlineStr">
        <is>
          <t>Complete</t>
        </is>
      </c>
    </row>
    <row r="700" ht="13.5" customHeight="1" s="38">
      <c r="A700" s="46" t="inlineStr">
        <is>
          <t>S_S3_SC05_I07</t>
        </is>
      </c>
      <c r="B700" s="46" t="inlineStr">
        <is>
          <t>R_0979</t>
        </is>
      </c>
      <c r="C700" s="46" t="inlineStr">
        <is>
          <t>Strategy 3 – One-Shot + Structured Template</t>
        </is>
      </c>
      <c r="D700" s="46" t="inlineStr">
        <is>
          <t>SC05</t>
        </is>
      </c>
      <c r="E700" s="46" t="inlineStr">
        <is>
          <t>Supply Chain</t>
        </is>
      </c>
      <c r="F700" s="47" t="n">
        <v>7</v>
      </c>
      <c r="G700" s="46" t="inlineStr">
        <is>
          <t>Gemma3:27b via Ollama</t>
        </is>
      </c>
      <c r="H700" s="48" t="n">
        <v>46166</v>
      </c>
      <c r="I700" s="46" t="inlineStr">
        <is>
          <t>7.852</t>
        </is>
      </c>
      <c r="J700" s="46" t="inlineStr">
        <is>
          <t>66.10</t>
        </is>
      </c>
      <c r="K700" s="46" t="inlineStr">
        <is>
          <t>Gemma3:27b</t>
        </is>
      </c>
      <c r="L700" s="46" t="inlineStr">
        <is>
          <t>0.3</t>
        </is>
      </c>
      <c r="M700" s="73" t="inlineStr">
        <is>
          <t>Complete</t>
        </is>
      </c>
    </row>
    <row r="701" ht="13.5" customHeight="1" s="38">
      <c r="A701" s="46" t="inlineStr">
        <is>
          <t>S_S3_SC05_I08</t>
        </is>
      </c>
      <c r="B701" s="46" t="inlineStr">
        <is>
          <t>R_0718</t>
        </is>
      </c>
      <c r="C701" s="46" t="inlineStr">
        <is>
          <t>Strategy 3 – One-Shot + Structured Template</t>
        </is>
      </c>
      <c r="D701" s="46" t="inlineStr">
        <is>
          <t>SC05</t>
        </is>
      </c>
      <c r="E701" s="46" t="inlineStr">
        <is>
          <t>Supply Chain</t>
        </is>
      </c>
      <c r="F701" s="47" t="n">
        <v>8</v>
      </c>
      <c r="G701" s="46" t="inlineStr">
        <is>
          <t>Gemma3:27b via Ollama</t>
        </is>
      </c>
      <c r="H701" s="48" t="n">
        <v>46166</v>
      </c>
      <c r="I701" s="46" t="inlineStr">
        <is>
          <t>7.684</t>
        </is>
      </c>
      <c r="J701" s="46" t="inlineStr">
        <is>
          <t>66.77</t>
        </is>
      </c>
      <c r="K701" s="46" t="inlineStr">
        <is>
          <t>Gemma3:27b</t>
        </is>
      </c>
      <c r="L701" s="46" t="inlineStr">
        <is>
          <t>0.3</t>
        </is>
      </c>
      <c r="M701" s="73" t="inlineStr">
        <is>
          <t>Complete</t>
        </is>
      </c>
    </row>
    <row r="702" ht="13.5" customHeight="1" s="38">
      <c r="A702" s="46" t="inlineStr">
        <is>
          <t>S_S3_SC05_I09</t>
        </is>
      </c>
      <c r="B702" s="46" t="inlineStr">
        <is>
          <t>R_0938</t>
        </is>
      </c>
      <c r="C702" s="46" t="inlineStr">
        <is>
          <t>Strategy 3 – One-Shot + Structured Template</t>
        </is>
      </c>
      <c r="D702" s="46" t="inlineStr">
        <is>
          <t>SC05</t>
        </is>
      </c>
      <c r="E702" s="46" t="inlineStr">
        <is>
          <t>Supply Chain</t>
        </is>
      </c>
      <c r="F702" s="47" t="n">
        <v>9</v>
      </c>
      <c r="G702" s="46" t="inlineStr">
        <is>
          <t>Gemma3:27b via Ollama</t>
        </is>
      </c>
      <c r="H702" s="48" t="n">
        <v>46166</v>
      </c>
      <c r="I702" s="46" t="inlineStr">
        <is>
          <t>7.731</t>
        </is>
      </c>
      <c r="J702" s="46" t="inlineStr">
        <is>
          <t>66.87</t>
        </is>
      </c>
      <c r="K702" s="46" t="inlineStr">
        <is>
          <t>Gemma3:27b</t>
        </is>
      </c>
      <c r="L702" s="46" t="inlineStr">
        <is>
          <t>0.3</t>
        </is>
      </c>
      <c r="M702" s="73" t="inlineStr">
        <is>
          <t>Complete</t>
        </is>
      </c>
    </row>
    <row r="703" ht="13.5" customHeight="1" s="38">
      <c r="A703" s="46" t="inlineStr">
        <is>
          <t>S_S3_SC05_I10</t>
        </is>
      </c>
      <c r="B703" s="46" t="inlineStr">
        <is>
          <t>R_0255</t>
        </is>
      </c>
      <c r="C703" s="46" t="inlineStr">
        <is>
          <t>Strategy 3 – One-Shot + Structured Template</t>
        </is>
      </c>
      <c r="D703" s="46" t="inlineStr">
        <is>
          <t>SC05</t>
        </is>
      </c>
      <c r="E703" s="46" t="inlineStr">
        <is>
          <t>Supply Chain</t>
        </is>
      </c>
      <c r="F703" s="47" t="n">
        <v>10</v>
      </c>
      <c r="G703" s="46" t="inlineStr">
        <is>
          <t>Gemma3:27b via Ollama</t>
        </is>
      </c>
      <c r="H703" s="48" t="n">
        <v>46166</v>
      </c>
      <c r="I703" s="46" t="inlineStr">
        <is>
          <t>8.028</t>
        </is>
      </c>
      <c r="J703" s="46" t="inlineStr">
        <is>
          <t>66.77</t>
        </is>
      </c>
      <c r="K703" s="46" t="inlineStr">
        <is>
          <t>Gemma3:27b</t>
        </is>
      </c>
      <c r="L703" s="46" t="inlineStr">
        <is>
          <t>0.3</t>
        </is>
      </c>
      <c r="M703" s="73" t="inlineStr">
        <is>
          <t>Complete</t>
        </is>
      </c>
    </row>
    <row r="704" ht="13.5" customHeight="1" s="38">
      <c r="A704" s="46" t="inlineStr">
        <is>
          <t>Z_S3_SC01_I01</t>
        </is>
      </c>
      <c r="B704" s="46" t="inlineStr">
        <is>
          <t>R_0112</t>
        </is>
      </c>
      <c r="C704" s="46" t="inlineStr">
        <is>
          <t>Strategy 3 – One-Shot + Structured Template</t>
        </is>
      </c>
      <c r="D704" s="46" t="inlineStr">
        <is>
          <t>SC01</t>
        </is>
      </c>
      <c r="E704" s="46" t="inlineStr">
        <is>
          <t>Zero-Day / Edge Device</t>
        </is>
      </c>
      <c r="F704" s="47" t="n">
        <v>1</v>
      </c>
      <c r="G704" s="46" t="inlineStr">
        <is>
          <t>Gemma3:27b via Ollama</t>
        </is>
      </c>
      <c r="H704" s="48" t="n">
        <v>46164</v>
      </c>
      <c r="I704" s="46" t="inlineStr">
        <is>
          <t>6.978</t>
        </is>
      </c>
      <c r="J704" s="46" t="inlineStr">
        <is>
          <t>67.64</t>
        </is>
      </c>
      <c r="K704" s="46" t="inlineStr">
        <is>
          <t>Gemma3:27b</t>
        </is>
      </c>
      <c r="L704" s="46" t="inlineStr">
        <is>
          <t>0.3</t>
        </is>
      </c>
      <c r="M704" s="73" t="inlineStr">
        <is>
          <t>Complete</t>
        </is>
      </c>
    </row>
    <row r="705" ht="13.5" customHeight="1" s="38">
      <c r="A705" s="46" t="inlineStr">
        <is>
          <t>Z_S3_SC01_I02</t>
        </is>
      </c>
      <c r="B705" s="46" t="inlineStr">
        <is>
          <t>R_0348</t>
        </is>
      </c>
      <c r="C705" s="46" t="inlineStr">
        <is>
          <t>Strategy 3 – One-Shot + Structured Template</t>
        </is>
      </c>
      <c r="D705" s="46" t="inlineStr">
        <is>
          <t>SC01</t>
        </is>
      </c>
      <c r="E705" s="46" t="inlineStr">
        <is>
          <t>Zero-Day / Edge Device</t>
        </is>
      </c>
      <c r="F705" s="47" t="n">
        <v>2</v>
      </c>
      <c r="G705" s="46" t="inlineStr">
        <is>
          <t>Gemma3:27b via Ollama</t>
        </is>
      </c>
      <c r="H705" s="48" t="n">
        <v>46164</v>
      </c>
      <c r="I705" s="46" t="inlineStr">
        <is>
          <t>7.746</t>
        </is>
      </c>
      <c r="J705" s="46" t="inlineStr">
        <is>
          <t>62.23</t>
        </is>
      </c>
      <c r="K705" s="46" t="inlineStr">
        <is>
          <t>Gemma3:27b</t>
        </is>
      </c>
      <c r="L705" s="46" t="inlineStr">
        <is>
          <t>0.3</t>
        </is>
      </c>
      <c r="M705" s="73" t="inlineStr">
        <is>
          <t>Complete</t>
        </is>
      </c>
    </row>
    <row r="706" ht="13.5" customHeight="1" s="38">
      <c r="A706" s="46" t="inlineStr">
        <is>
          <t>Z_S3_SC01_I03</t>
        </is>
      </c>
      <c r="B706" s="46" t="inlineStr">
        <is>
          <t>R_0413</t>
        </is>
      </c>
      <c r="C706" s="46" t="inlineStr">
        <is>
          <t>Strategy 3 – One-Shot + Structured Template</t>
        </is>
      </c>
      <c r="D706" s="46" t="inlineStr">
        <is>
          <t>SC01</t>
        </is>
      </c>
      <c r="E706" s="46" t="inlineStr">
        <is>
          <t>Zero-Day / Edge Device</t>
        </is>
      </c>
      <c r="F706" s="47" t="n">
        <v>3</v>
      </c>
      <c r="G706" s="46" t="inlineStr">
        <is>
          <t>Gemma3:27b via Ollama</t>
        </is>
      </c>
      <c r="H706" s="48" t="n">
        <v>46164</v>
      </c>
      <c r="I706" s="46" t="inlineStr">
        <is>
          <t>6.828</t>
        </is>
      </c>
      <c r="J706" s="46" t="inlineStr">
        <is>
          <t>67.81</t>
        </is>
      </c>
      <c r="K706" s="46" t="inlineStr">
        <is>
          <t>Gemma3:27b</t>
        </is>
      </c>
      <c r="L706" s="46" t="inlineStr">
        <is>
          <t>0.3</t>
        </is>
      </c>
      <c r="M706" s="73" t="inlineStr">
        <is>
          <t>Complete</t>
        </is>
      </c>
    </row>
    <row r="707" ht="13.5" customHeight="1" s="38">
      <c r="A707" s="46" t="inlineStr">
        <is>
          <t>Z_S3_SC01_I04</t>
        </is>
      </c>
      <c r="B707" s="46" t="inlineStr">
        <is>
          <t>R_0063</t>
        </is>
      </c>
      <c r="C707" s="46" t="inlineStr">
        <is>
          <t>Strategy 3 – One-Shot + Structured Template</t>
        </is>
      </c>
      <c r="D707" s="46" t="inlineStr">
        <is>
          <t>SC01</t>
        </is>
      </c>
      <c r="E707" s="46" t="inlineStr">
        <is>
          <t>Zero-Day / Edge Device</t>
        </is>
      </c>
      <c r="F707" s="47" t="n">
        <v>4</v>
      </c>
      <c r="G707" s="46" t="inlineStr">
        <is>
          <t>Gemma3:27b via Ollama</t>
        </is>
      </c>
      <c r="H707" s="48" t="n">
        <v>46164</v>
      </c>
      <c r="I707" s="46" t="inlineStr">
        <is>
          <t>6.507</t>
        </is>
      </c>
      <c r="J707" s="46" t="inlineStr">
        <is>
          <t>67.01</t>
        </is>
      </c>
      <c r="K707" s="46" t="inlineStr">
        <is>
          <t>Gemma3:27b</t>
        </is>
      </c>
      <c r="L707" s="46" t="inlineStr">
        <is>
          <t>0.3</t>
        </is>
      </c>
      <c r="M707" s="73" t="inlineStr">
        <is>
          <t>Complete</t>
        </is>
      </c>
    </row>
    <row r="708" ht="13.5" customHeight="1" s="38">
      <c r="A708" s="46" t="inlineStr">
        <is>
          <t>Z_S3_SC01_I05</t>
        </is>
      </c>
      <c r="B708" s="46" t="inlineStr">
        <is>
          <t>R_0101</t>
        </is>
      </c>
      <c r="C708" s="46" t="inlineStr">
        <is>
          <t>Strategy 3 – One-Shot + Structured Template</t>
        </is>
      </c>
      <c r="D708" s="46" t="inlineStr">
        <is>
          <t>SC01</t>
        </is>
      </c>
      <c r="E708" s="46" t="inlineStr">
        <is>
          <t>Zero-Day / Edge Device</t>
        </is>
      </c>
      <c r="F708" s="47" t="n">
        <v>5</v>
      </c>
      <c r="G708" s="46" t="inlineStr">
        <is>
          <t>Gemma3:27b via Ollama</t>
        </is>
      </c>
      <c r="H708" s="48" t="n">
        <v>46164</v>
      </c>
      <c r="I708" s="46" t="inlineStr">
        <is>
          <t>6.751</t>
        </is>
      </c>
      <c r="J708" s="46" t="inlineStr">
        <is>
          <t>67.69</t>
        </is>
      </c>
      <c r="K708" s="46" t="inlineStr">
        <is>
          <t>Gemma3:27b</t>
        </is>
      </c>
      <c r="L708" s="46" t="inlineStr">
        <is>
          <t>0.3</t>
        </is>
      </c>
      <c r="M708" s="73" t="inlineStr">
        <is>
          <t>Complete</t>
        </is>
      </c>
    </row>
    <row r="709" ht="13.5" customHeight="1" s="38">
      <c r="A709" s="46" t="inlineStr">
        <is>
          <t>Z_S3_SC01_I06</t>
        </is>
      </c>
      <c r="B709" s="46" t="inlineStr">
        <is>
          <t>R_0662</t>
        </is>
      </c>
      <c r="C709" s="46" t="inlineStr">
        <is>
          <t>Strategy 3 – One-Shot + Structured Template</t>
        </is>
      </c>
      <c r="D709" s="46" t="inlineStr">
        <is>
          <t>SC01</t>
        </is>
      </c>
      <c r="E709" s="46" t="inlineStr">
        <is>
          <t>Zero-Day / Edge Device</t>
        </is>
      </c>
      <c r="F709" s="47" t="n">
        <v>6</v>
      </c>
      <c r="G709" s="46" t="inlineStr">
        <is>
          <t>Gemma3:27b via Ollama</t>
        </is>
      </c>
      <c r="H709" s="48" t="n">
        <v>46164</v>
      </c>
      <c r="I709" s="46" t="inlineStr">
        <is>
          <t>6.901</t>
        </is>
      </c>
      <c r="J709" s="46" t="inlineStr">
        <is>
          <t>65.50</t>
        </is>
      </c>
      <c r="K709" s="46" t="inlineStr">
        <is>
          <t>Gemma3:27b</t>
        </is>
      </c>
      <c r="L709" s="46" t="inlineStr">
        <is>
          <t>0.3</t>
        </is>
      </c>
      <c r="M709" s="73" t="inlineStr">
        <is>
          <t>Complete</t>
        </is>
      </c>
    </row>
    <row r="710" ht="13.5" customHeight="1" s="38">
      <c r="A710" s="46" t="inlineStr">
        <is>
          <t>Z_S3_SC01_I07</t>
        </is>
      </c>
      <c r="B710" s="46" t="inlineStr">
        <is>
          <t>R_0670</t>
        </is>
      </c>
      <c r="C710" s="46" t="inlineStr">
        <is>
          <t>Strategy 3 – One-Shot + Structured Template</t>
        </is>
      </c>
      <c r="D710" s="46" t="inlineStr">
        <is>
          <t>SC01</t>
        </is>
      </c>
      <c r="E710" s="46" t="inlineStr">
        <is>
          <t>Zero-Day / Edge Device</t>
        </is>
      </c>
      <c r="F710" s="47" t="n">
        <v>7</v>
      </c>
      <c r="G710" s="46" t="inlineStr">
        <is>
          <t>Gemma3:27b via Ollama</t>
        </is>
      </c>
      <c r="H710" s="48" t="n">
        <v>46164</v>
      </c>
      <c r="I710" s="46" t="inlineStr">
        <is>
          <t>6.974</t>
        </is>
      </c>
      <c r="J710" s="46" t="inlineStr">
        <is>
          <t>67.68</t>
        </is>
      </c>
      <c r="K710" s="46" t="inlineStr">
        <is>
          <t>Gemma3:27b</t>
        </is>
      </c>
      <c r="L710" s="46" t="inlineStr">
        <is>
          <t>0.3</t>
        </is>
      </c>
      <c r="M710" s="73" t="inlineStr">
        <is>
          <t>Complete</t>
        </is>
      </c>
    </row>
    <row r="711" ht="13.5" customHeight="1" s="38">
      <c r="A711" s="46" t="inlineStr">
        <is>
          <t>Z_S3_SC01_I08</t>
        </is>
      </c>
      <c r="B711" s="46" t="inlineStr">
        <is>
          <t>R_0690</t>
        </is>
      </c>
      <c r="C711" s="46" t="inlineStr">
        <is>
          <t>Strategy 3 – One-Shot + Structured Template</t>
        </is>
      </c>
      <c r="D711" s="46" t="inlineStr">
        <is>
          <t>SC01</t>
        </is>
      </c>
      <c r="E711" s="46" t="inlineStr">
        <is>
          <t>Zero-Day / Edge Device</t>
        </is>
      </c>
      <c r="F711" s="47" t="n">
        <v>8</v>
      </c>
      <c r="G711" s="46" t="inlineStr">
        <is>
          <t>Gemma3:27b via Ollama</t>
        </is>
      </c>
      <c r="H711" s="48" t="n">
        <v>46164</v>
      </c>
      <c r="I711" s="46" t="inlineStr">
        <is>
          <t>7.768</t>
        </is>
      </c>
      <c r="J711" s="46" t="inlineStr">
        <is>
          <t>67.58</t>
        </is>
      </c>
      <c r="K711" s="46" t="inlineStr">
        <is>
          <t>Gemma3:27b</t>
        </is>
      </c>
      <c r="L711" s="46" t="inlineStr">
        <is>
          <t>0.3</t>
        </is>
      </c>
      <c r="M711" s="73" t="inlineStr">
        <is>
          <t>Complete</t>
        </is>
      </c>
    </row>
    <row r="712" ht="13.5" customHeight="1" s="38">
      <c r="A712" s="46" t="inlineStr">
        <is>
          <t>Z_S3_SC01_I09</t>
        </is>
      </c>
      <c r="B712" s="46" t="inlineStr">
        <is>
          <t>R_0056</t>
        </is>
      </c>
      <c r="C712" s="46" t="inlineStr">
        <is>
          <t>Strategy 3 – One-Shot + Structured Template</t>
        </is>
      </c>
      <c r="D712" s="46" t="inlineStr">
        <is>
          <t>SC01</t>
        </is>
      </c>
      <c r="E712" s="46" t="inlineStr">
        <is>
          <t>Zero-Day / Edge Device</t>
        </is>
      </c>
      <c r="F712" s="47" t="n">
        <v>9</v>
      </c>
      <c r="G712" s="46" t="inlineStr">
        <is>
          <t>Gemma3:27b via Ollama</t>
        </is>
      </c>
      <c r="H712" s="48" t="n">
        <v>46164</v>
      </c>
      <c r="I712" s="46" t="inlineStr">
        <is>
          <t>6.940</t>
        </is>
      </c>
      <c r="J712" s="46" t="inlineStr">
        <is>
          <t>65.56</t>
        </is>
      </c>
      <c r="K712" s="46" t="inlineStr">
        <is>
          <t>Gemma3:27b</t>
        </is>
      </c>
      <c r="L712" s="46" t="inlineStr">
        <is>
          <t>0.3</t>
        </is>
      </c>
      <c r="M712" s="73" t="inlineStr">
        <is>
          <t>Complete</t>
        </is>
      </c>
    </row>
    <row r="713" ht="13.5" customHeight="1" s="38">
      <c r="A713" s="46" t="inlineStr">
        <is>
          <t>Z_S3_SC01_I10</t>
        </is>
      </c>
      <c r="B713" s="46" t="inlineStr">
        <is>
          <t>R_0479</t>
        </is>
      </c>
      <c r="C713" s="46" t="inlineStr">
        <is>
          <t>Strategy 3 – One-Shot + Structured Template</t>
        </is>
      </c>
      <c r="D713" s="46" t="inlineStr">
        <is>
          <t>SC01</t>
        </is>
      </c>
      <c r="E713" s="46" t="inlineStr">
        <is>
          <t>Zero-Day / Edge Device</t>
        </is>
      </c>
      <c r="F713" s="47" t="n">
        <v>10</v>
      </c>
      <c r="G713" s="46" t="inlineStr">
        <is>
          <t>Gemma3:27b via Ollama</t>
        </is>
      </c>
      <c r="H713" s="48" t="n">
        <v>46164</v>
      </c>
      <c r="I713" s="46" t="inlineStr">
        <is>
          <t>6.935</t>
        </is>
      </c>
      <c r="J713" s="46" t="inlineStr">
        <is>
          <t>66.62</t>
        </is>
      </c>
      <c r="K713" s="46" t="inlineStr">
        <is>
          <t>Gemma3:27b</t>
        </is>
      </c>
      <c r="L713" s="46" t="inlineStr">
        <is>
          <t>0.3</t>
        </is>
      </c>
      <c r="M713" s="73" t="inlineStr">
        <is>
          <t>Complete</t>
        </is>
      </c>
    </row>
    <row r="714" ht="13.5" customHeight="1" s="38">
      <c r="A714" s="46" t="inlineStr">
        <is>
          <t>Z_S3_SC02_I01</t>
        </is>
      </c>
      <c r="B714" s="46" t="inlineStr">
        <is>
          <t>R_0421</t>
        </is>
      </c>
      <c r="C714" s="46" t="inlineStr">
        <is>
          <t>Strategy 3 – One-Shot + Structured Template</t>
        </is>
      </c>
      <c r="D714" s="46" t="inlineStr">
        <is>
          <t>SC02</t>
        </is>
      </c>
      <c r="E714" s="46" t="inlineStr">
        <is>
          <t>Zero-Day / Edge Device</t>
        </is>
      </c>
      <c r="F714" s="47" t="n">
        <v>1</v>
      </c>
      <c r="G714" s="46" t="inlineStr">
        <is>
          <t>Gemma3:27b via Ollama</t>
        </is>
      </c>
      <c r="H714" s="48" t="n">
        <v>46164</v>
      </c>
      <c r="I714" s="46" t="inlineStr">
        <is>
          <t>7.388</t>
        </is>
      </c>
      <c r="J714" s="46" t="inlineStr">
        <is>
          <t>67.82</t>
        </is>
      </c>
      <c r="K714" s="46" t="inlineStr">
        <is>
          <t>Gemma3:27b</t>
        </is>
      </c>
      <c r="L714" s="46" t="inlineStr">
        <is>
          <t>0.3</t>
        </is>
      </c>
      <c r="M714" s="73" t="inlineStr">
        <is>
          <t>Complete</t>
        </is>
      </c>
    </row>
    <row r="715" ht="13.5" customHeight="1" s="38">
      <c r="A715" s="46" t="inlineStr">
        <is>
          <t>Z_S3_SC02_I02</t>
        </is>
      </c>
      <c r="B715" s="46" t="inlineStr">
        <is>
          <t>R_0768</t>
        </is>
      </c>
      <c r="C715" s="46" t="inlineStr">
        <is>
          <t>Strategy 3 – One-Shot + Structured Template</t>
        </is>
      </c>
      <c r="D715" s="46" t="inlineStr">
        <is>
          <t>SC02</t>
        </is>
      </c>
      <c r="E715" s="46" t="inlineStr">
        <is>
          <t>Zero-Day / Edge Device</t>
        </is>
      </c>
      <c r="F715" s="47" t="n">
        <v>2</v>
      </c>
      <c r="G715" s="46" t="inlineStr">
        <is>
          <t>Gemma3:27b via Ollama</t>
        </is>
      </c>
      <c r="H715" s="48" t="n">
        <v>46164</v>
      </c>
      <c r="I715" s="46" t="inlineStr">
        <is>
          <t>7.475</t>
        </is>
      </c>
      <c r="J715" s="46" t="inlineStr">
        <is>
          <t>67.70</t>
        </is>
      </c>
      <c r="K715" s="46" t="inlineStr">
        <is>
          <t>Gemma3:27b</t>
        </is>
      </c>
      <c r="L715" s="46" t="inlineStr">
        <is>
          <t>0.3</t>
        </is>
      </c>
      <c r="M715" s="73" t="inlineStr">
        <is>
          <t>Complete</t>
        </is>
      </c>
    </row>
    <row r="716" ht="13.5" customHeight="1" s="38">
      <c r="A716" s="46" t="inlineStr">
        <is>
          <t>Z_S3_SC02_I03</t>
        </is>
      </c>
      <c r="B716" s="46" t="inlineStr">
        <is>
          <t>R_0363</t>
        </is>
      </c>
      <c r="C716" s="46" t="inlineStr">
        <is>
          <t>Strategy 3 – One-Shot + Structured Template</t>
        </is>
      </c>
      <c r="D716" s="46" t="inlineStr">
        <is>
          <t>SC02</t>
        </is>
      </c>
      <c r="E716" s="46" t="inlineStr">
        <is>
          <t>Zero-Day / Edge Device</t>
        </is>
      </c>
      <c r="F716" s="47" t="n">
        <v>3</v>
      </c>
      <c r="G716" s="46" t="inlineStr">
        <is>
          <t>Gemma3:27b via Ollama</t>
        </is>
      </c>
      <c r="H716" s="48" t="n">
        <v>46164</v>
      </c>
      <c r="I716" s="46" t="inlineStr">
        <is>
          <t>7.474</t>
        </is>
      </c>
      <c r="J716" s="46" t="inlineStr">
        <is>
          <t>67.70</t>
        </is>
      </c>
      <c r="K716" s="46" t="inlineStr">
        <is>
          <t>Gemma3:27b</t>
        </is>
      </c>
      <c r="L716" s="46" t="inlineStr">
        <is>
          <t>0.3</t>
        </is>
      </c>
      <c r="M716" s="73" t="inlineStr">
        <is>
          <t>Complete</t>
        </is>
      </c>
    </row>
    <row r="717" ht="13.5" customHeight="1" s="38">
      <c r="A717" s="46" t="inlineStr">
        <is>
          <t>Z_S3_SC02_I04</t>
        </is>
      </c>
      <c r="B717" s="46" t="inlineStr">
        <is>
          <t>R_0442</t>
        </is>
      </c>
      <c r="C717" s="46" t="inlineStr">
        <is>
          <t>Strategy 3 – One-Shot + Structured Template</t>
        </is>
      </c>
      <c r="D717" s="46" t="inlineStr">
        <is>
          <t>SC02</t>
        </is>
      </c>
      <c r="E717" s="46" t="inlineStr">
        <is>
          <t>Zero-Day / Edge Device</t>
        </is>
      </c>
      <c r="F717" s="47" t="n">
        <v>4</v>
      </c>
      <c r="G717" s="46" t="inlineStr">
        <is>
          <t>Gemma3:27b via Ollama</t>
        </is>
      </c>
      <c r="H717" s="48" t="n">
        <v>46164</v>
      </c>
      <c r="I717" s="46" t="inlineStr">
        <is>
          <t>7.626</t>
        </is>
      </c>
      <c r="J717" s="46" t="inlineStr">
        <is>
          <t>67.14</t>
        </is>
      </c>
      <c r="K717" s="46" t="inlineStr">
        <is>
          <t>Gemma3:27b</t>
        </is>
      </c>
      <c r="L717" s="46" t="inlineStr">
        <is>
          <t>0.3</t>
        </is>
      </c>
      <c r="M717" s="73" t="inlineStr">
        <is>
          <t>Complete</t>
        </is>
      </c>
    </row>
    <row r="718" ht="13.5" customHeight="1" s="38">
      <c r="A718" s="46" t="inlineStr">
        <is>
          <t>Z_S3_SC02_I05</t>
        </is>
      </c>
      <c r="B718" s="46" t="inlineStr">
        <is>
          <t>R_0675</t>
        </is>
      </c>
      <c r="C718" s="46" t="inlineStr">
        <is>
          <t>Strategy 3 – One-Shot + Structured Template</t>
        </is>
      </c>
      <c r="D718" s="46" t="inlineStr">
        <is>
          <t>SC02</t>
        </is>
      </c>
      <c r="E718" s="46" t="inlineStr">
        <is>
          <t>Zero-Day / Edge Device</t>
        </is>
      </c>
      <c r="F718" s="47" t="n">
        <v>5</v>
      </c>
      <c r="G718" s="46" t="inlineStr">
        <is>
          <t>Gemma3:27b via Ollama</t>
        </is>
      </c>
      <c r="H718" s="48" t="n">
        <v>46164</v>
      </c>
      <c r="I718" s="46" t="inlineStr">
        <is>
          <t>6.610</t>
        </is>
      </c>
      <c r="J718" s="46" t="inlineStr">
        <is>
          <t>67.77</t>
        </is>
      </c>
      <c r="K718" s="46" t="inlineStr">
        <is>
          <t>Gemma3:27b</t>
        </is>
      </c>
      <c r="L718" s="46" t="inlineStr">
        <is>
          <t>0.3</t>
        </is>
      </c>
      <c r="M718" s="73" t="inlineStr">
        <is>
          <t>Complete</t>
        </is>
      </c>
    </row>
    <row r="719" ht="13.5" customHeight="1" s="38">
      <c r="A719" s="46" t="inlineStr">
        <is>
          <t>Z_S3_SC02_I06</t>
        </is>
      </c>
      <c r="B719" s="46" t="inlineStr">
        <is>
          <t>R_0962</t>
        </is>
      </c>
      <c r="C719" s="46" t="inlineStr">
        <is>
          <t>Strategy 3 – One-Shot + Structured Template</t>
        </is>
      </c>
      <c r="D719" s="46" t="inlineStr">
        <is>
          <t>SC02</t>
        </is>
      </c>
      <c r="E719" s="46" t="inlineStr">
        <is>
          <t>Zero-Day / Edge Device</t>
        </is>
      </c>
      <c r="F719" s="47" t="n">
        <v>6</v>
      </c>
      <c r="G719" s="46" t="inlineStr">
        <is>
          <t>Gemma3:27b via Ollama</t>
        </is>
      </c>
      <c r="H719" s="48" t="n">
        <v>46164</v>
      </c>
      <c r="I719" s="46" t="inlineStr">
        <is>
          <t>6.947</t>
        </is>
      </c>
      <c r="J719" s="46" t="inlineStr">
        <is>
          <t>66.79</t>
        </is>
      </c>
      <c r="K719" s="46" t="inlineStr">
        <is>
          <t>Gemma3:27b</t>
        </is>
      </c>
      <c r="L719" s="46" t="inlineStr">
        <is>
          <t>0.3</t>
        </is>
      </c>
      <c r="M719" s="73" t="inlineStr">
        <is>
          <t>Complete</t>
        </is>
      </c>
    </row>
    <row r="720" ht="13.5" customHeight="1" s="38">
      <c r="A720" s="46" t="inlineStr">
        <is>
          <t>Z_S3_SC02_I07</t>
        </is>
      </c>
      <c r="B720" s="46" t="inlineStr">
        <is>
          <t>R_0097</t>
        </is>
      </c>
      <c r="C720" s="46" t="inlineStr">
        <is>
          <t>Strategy 3 – One-Shot + Structured Template</t>
        </is>
      </c>
      <c r="D720" s="46" t="inlineStr">
        <is>
          <t>SC02</t>
        </is>
      </c>
      <c r="E720" s="46" t="inlineStr">
        <is>
          <t>Zero-Day / Edge Device</t>
        </is>
      </c>
      <c r="F720" s="47" t="n">
        <v>7</v>
      </c>
      <c r="G720" s="46" t="inlineStr">
        <is>
          <t>Gemma3:27b via Ollama</t>
        </is>
      </c>
      <c r="H720" s="48" t="n">
        <v>46164</v>
      </c>
      <c r="I720" s="46" t="inlineStr">
        <is>
          <t>7.604</t>
        </is>
      </c>
      <c r="J720" s="46" t="inlineStr">
        <is>
          <t>67.73</t>
        </is>
      </c>
      <c r="K720" s="46" t="inlineStr">
        <is>
          <t>Gemma3:27b</t>
        </is>
      </c>
      <c r="L720" s="46" t="inlineStr">
        <is>
          <t>0.3</t>
        </is>
      </c>
      <c r="M720" s="73" t="inlineStr">
        <is>
          <t>Complete</t>
        </is>
      </c>
    </row>
    <row r="721" ht="13.5" customHeight="1" s="38">
      <c r="A721" s="46" t="inlineStr">
        <is>
          <t>Z_S3_SC02_I08</t>
        </is>
      </c>
      <c r="B721" s="46" t="inlineStr">
        <is>
          <t>R_0195</t>
        </is>
      </c>
      <c r="C721" s="46" t="inlineStr">
        <is>
          <t>Strategy 3 – One-Shot + Structured Template</t>
        </is>
      </c>
      <c r="D721" s="46" t="inlineStr">
        <is>
          <t>SC02</t>
        </is>
      </c>
      <c r="E721" s="46" t="inlineStr">
        <is>
          <t>Zero-Day / Edge Device</t>
        </is>
      </c>
      <c r="F721" s="47" t="n">
        <v>8</v>
      </c>
      <c r="G721" s="46" t="inlineStr">
        <is>
          <t>Gemma3:27b via Ollama</t>
        </is>
      </c>
      <c r="H721" s="48" t="n">
        <v>46164</v>
      </c>
      <c r="I721" s="46" t="inlineStr">
        <is>
          <t>7.363</t>
        </is>
      </c>
      <c r="J721" s="46" t="inlineStr">
        <is>
          <t>66.69</t>
        </is>
      </c>
      <c r="K721" s="46" t="inlineStr">
        <is>
          <t>Gemma3:27b</t>
        </is>
      </c>
      <c r="L721" s="46" t="inlineStr">
        <is>
          <t>0.3</t>
        </is>
      </c>
      <c r="M721" s="73" t="inlineStr">
        <is>
          <t>Complete</t>
        </is>
      </c>
    </row>
    <row r="722" ht="13.5" customHeight="1" s="38">
      <c r="A722" s="46" t="inlineStr">
        <is>
          <t>Z_S3_SC02_I09</t>
        </is>
      </c>
      <c r="B722" s="46" t="inlineStr">
        <is>
          <t>R_0417</t>
        </is>
      </c>
      <c r="C722" s="46" t="inlineStr">
        <is>
          <t>Strategy 3 – One-Shot + Structured Template</t>
        </is>
      </c>
      <c r="D722" s="46" t="inlineStr">
        <is>
          <t>SC02</t>
        </is>
      </c>
      <c r="E722" s="46" t="inlineStr">
        <is>
          <t>Zero-Day / Edge Device</t>
        </is>
      </c>
      <c r="F722" s="47" t="n">
        <v>9</v>
      </c>
      <c r="G722" s="46" t="inlineStr">
        <is>
          <t>Gemma3:27b via Ollama</t>
        </is>
      </c>
      <c r="H722" s="48" t="n">
        <v>46164</v>
      </c>
      <c r="I722" s="46" t="inlineStr">
        <is>
          <t>8.314</t>
        </is>
      </c>
      <c r="J722" s="46" t="inlineStr">
        <is>
          <t>67.59</t>
        </is>
      </c>
      <c r="K722" s="46" t="inlineStr">
        <is>
          <t>Gemma3:27b</t>
        </is>
      </c>
      <c r="L722" s="46" t="inlineStr">
        <is>
          <t>0.3</t>
        </is>
      </c>
      <c r="M722" s="73" t="inlineStr">
        <is>
          <t>Complete</t>
        </is>
      </c>
    </row>
    <row r="723" ht="13.5" customHeight="1" s="38">
      <c r="A723" s="46" t="inlineStr">
        <is>
          <t>Z_S3_SC02_I10</t>
        </is>
      </c>
      <c r="B723" s="46" t="inlineStr">
        <is>
          <t>R_0937</t>
        </is>
      </c>
      <c r="C723" s="46" t="inlineStr">
        <is>
          <t>Strategy 3 – One-Shot + Structured Template</t>
        </is>
      </c>
      <c r="D723" s="46" t="inlineStr">
        <is>
          <t>SC02</t>
        </is>
      </c>
      <c r="E723" s="46" t="inlineStr">
        <is>
          <t>Zero-Day / Edge Device</t>
        </is>
      </c>
      <c r="F723" s="47" t="n">
        <v>10</v>
      </c>
      <c r="G723" s="46" t="inlineStr">
        <is>
          <t>Gemma3:27b via Ollama</t>
        </is>
      </c>
      <c r="H723" s="48" t="n">
        <v>46164</v>
      </c>
      <c r="I723" s="46" t="inlineStr">
        <is>
          <t>7.700</t>
        </is>
      </c>
      <c r="J723" s="46" t="inlineStr">
        <is>
          <t>67.79</t>
        </is>
      </c>
      <c r="K723" s="46" t="inlineStr">
        <is>
          <t>Gemma3:27b</t>
        </is>
      </c>
      <c r="L723" s="46" t="inlineStr">
        <is>
          <t>0.3</t>
        </is>
      </c>
      <c r="M723" s="73" t="inlineStr">
        <is>
          <t>Complete</t>
        </is>
      </c>
    </row>
    <row r="724" ht="13.5" customHeight="1" s="38">
      <c r="A724" s="46" t="inlineStr">
        <is>
          <t>Z_S3_SC03_I01</t>
        </is>
      </c>
      <c r="B724" s="46" t="inlineStr">
        <is>
          <t>R_0249</t>
        </is>
      </c>
      <c r="C724" s="46" t="inlineStr">
        <is>
          <t>Strategy 3 – One-Shot + Structured Template</t>
        </is>
      </c>
      <c r="D724" s="46" t="inlineStr">
        <is>
          <t>SC03</t>
        </is>
      </c>
      <c r="E724" s="46" t="inlineStr">
        <is>
          <t>Zero-Day / Edge Device</t>
        </is>
      </c>
      <c r="F724" s="47" t="n">
        <v>1</v>
      </c>
      <c r="G724" s="46" t="inlineStr">
        <is>
          <t>Gemma3:27b via Ollama</t>
        </is>
      </c>
      <c r="H724" s="48" t="n">
        <v>46164</v>
      </c>
      <c r="I724" s="46" t="inlineStr">
        <is>
          <t>7.132</t>
        </is>
      </c>
      <c r="J724" s="46" t="inlineStr">
        <is>
          <t>68.01</t>
        </is>
      </c>
      <c r="K724" s="46" t="inlineStr">
        <is>
          <t>Gemma3:27b</t>
        </is>
      </c>
      <c r="L724" s="46" t="inlineStr">
        <is>
          <t>0.3</t>
        </is>
      </c>
      <c r="M724" s="73" t="inlineStr">
        <is>
          <t>Complete</t>
        </is>
      </c>
    </row>
    <row r="725" ht="13.5" customHeight="1" s="38">
      <c r="A725" s="46" t="inlineStr">
        <is>
          <t>Z_S3_SC03_I02</t>
        </is>
      </c>
      <c r="B725" s="46" t="inlineStr">
        <is>
          <t>R_0485</t>
        </is>
      </c>
      <c r="C725" s="46" t="inlineStr">
        <is>
          <t>Strategy 3 – One-Shot + Structured Template</t>
        </is>
      </c>
      <c r="D725" s="46" t="inlineStr">
        <is>
          <t>SC03</t>
        </is>
      </c>
      <c r="E725" s="46" t="inlineStr">
        <is>
          <t>Zero-Day / Edge Device</t>
        </is>
      </c>
      <c r="F725" s="47" t="n">
        <v>2</v>
      </c>
      <c r="G725" s="46" t="inlineStr">
        <is>
          <t>Gemma3:27b via Ollama</t>
        </is>
      </c>
      <c r="H725" s="48" t="n">
        <v>46164</v>
      </c>
      <c r="I725" s="46" t="inlineStr">
        <is>
          <t>7.250</t>
        </is>
      </c>
      <c r="J725" s="46" t="inlineStr">
        <is>
          <t>65.80</t>
        </is>
      </c>
      <c r="K725" s="46" t="inlineStr">
        <is>
          <t>Gemma3:27b</t>
        </is>
      </c>
      <c r="L725" s="46" t="inlineStr">
        <is>
          <t>0.3</t>
        </is>
      </c>
      <c r="M725" s="73" t="inlineStr">
        <is>
          <t>Complete</t>
        </is>
      </c>
    </row>
    <row r="726" ht="13.5" customHeight="1" s="38">
      <c r="A726" s="46" t="inlineStr">
        <is>
          <t>Z_S3_SC03_I03</t>
        </is>
      </c>
      <c r="B726" s="46" t="inlineStr">
        <is>
          <t>R_0591</t>
        </is>
      </c>
      <c r="C726" s="46" t="inlineStr">
        <is>
          <t>Strategy 3 – One-Shot + Structured Template</t>
        </is>
      </c>
      <c r="D726" s="46" t="inlineStr">
        <is>
          <t>SC03</t>
        </is>
      </c>
      <c r="E726" s="46" t="inlineStr">
        <is>
          <t>Zero-Day / Edge Device</t>
        </is>
      </c>
      <c r="F726" s="47" t="n">
        <v>3</v>
      </c>
      <c r="G726" s="46" t="inlineStr">
        <is>
          <t>Gemma3:27b via Ollama</t>
        </is>
      </c>
      <c r="H726" s="48" t="n">
        <v>46164</v>
      </c>
      <c r="I726" s="46" t="inlineStr">
        <is>
          <t>7.199</t>
        </is>
      </c>
      <c r="J726" s="46" t="inlineStr">
        <is>
          <t>67.78</t>
        </is>
      </c>
      <c r="K726" s="46" t="inlineStr">
        <is>
          <t>Gemma3:27b</t>
        </is>
      </c>
      <c r="L726" s="46" t="inlineStr">
        <is>
          <t>0.3</t>
        </is>
      </c>
      <c r="M726" s="73" t="inlineStr">
        <is>
          <t>Complete</t>
        </is>
      </c>
    </row>
    <row r="727" ht="13.5" customHeight="1" s="38">
      <c r="A727" s="46" t="inlineStr">
        <is>
          <t>Z_S3_SC03_I04</t>
        </is>
      </c>
      <c r="B727" s="46" t="inlineStr">
        <is>
          <t>R_0585</t>
        </is>
      </c>
      <c r="C727" s="46" t="inlineStr">
        <is>
          <t>Strategy 3 – One-Shot + Structured Template</t>
        </is>
      </c>
      <c r="D727" s="46" t="inlineStr">
        <is>
          <t>SC03</t>
        </is>
      </c>
      <c r="E727" s="46" t="inlineStr">
        <is>
          <t>Zero-Day / Edge Device</t>
        </is>
      </c>
      <c r="F727" s="47" t="n">
        <v>4</v>
      </c>
      <c r="G727" s="46" t="inlineStr">
        <is>
          <t>Gemma3:27b via Ollama</t>
        </is>
      </c>
      <c r="H727" s="48" t="n">
        <v>46164</v>
      </c>
      <c r="I727" s="46" t="inlineStr">
        <is>
          <t>7.757</t>
        </is>
      </c>
      <c r="J727" s="46" t="inlineStr">
        <is>
          <t>67.81</t>
        </is>
      </c>
      <c r="K727" s="46" t="inlineStr">
        <is>
          <t>Gemma3:27b</t>
        </is>
      </c>
      <c r="L727" s="46" t="inlineStr">
        <is>
          <t>0.3</t>
        </is>
      </c>
      <c r="M727" s="73" t="inlineStr">
        <is>
          <t>Complete</t>
        </is>
      </c>
    </row>
    <row r="728" ht="13.5" customHeight="1" s="38">
      <c r="A728" s="46" t="inlineStr">
        <is>
          <t>Z_S3_SC03_I05</t>
        </is>
      </c>
      <c r="B728" s="46" t="inlineStr">
        <is>
          <t>R_0136</t>
        </is>
      </c>
      <c r="C728" s="46" t="inlineStr">
        <is>
          <t>Strategy 3 – One-Shot + Structured Template</t>
        </is>
      </c>
      <c r="D728" s="46" t="inlineStr">
        <is>
          <t>SC03</t>
        </is>
      </c>
      <c r="E728" s="46" t="inlineStr">
        <is>
          <t>Zero-Day / Edge Device</t>
        </is>
      </c>
      <c r="F728" s="47" t="n">
        <v>5</v>
      </c>
      <c r="G728" s="46" t="inlineStr">
        <is>
          <t>Gemma3:27b via Ollama</t>
        </is>
      </c>
      <c r="H728" s="48" t="n">
        <v>46164</v>
      </c>
      <c r="I728" s="46" t="inlineStr">
        <is>
          <t>7.372</t>
        </is>
      </c>
      <c r="J728" s="46" t="inlineStr">
        <is>
          <t>67.15</t>
        </is>
      </c>
      <c r="K728" s="46" t="inlineStr">
        <is>
          <t>Gemma3:27b</t>
        </is>
      </c>
      <c r="L728" s="46" t="inlineStr">
        <is>
          <t>0.3</t>
        </is>
      </c>
      <c r="M728" s="73" t="inlineStr">
        <is>
          <t>Complete</t>
        </is>
      </c>
    </row>
    <row r="729" ht="13.5" customHeight="1" s="38">
      <c r="A729" s="46" t="inlineStr">
        <is>
          <t>Z_S3_SC03_I06</t>
        </is>
      </c>
      <c r="B729" s="46" t="inlineStr">
        <is>
          <t>R_0766</t>
        </is>
      </c>
      <c r="C729" s="46" t="inlineStr">
        <is>
          <t>Strategy 3 – One-Shot + Structured Template</t>
        </is>
      </c>
      <c r="D729" s="46" t="inlineStr">
        <is>
          <t>SC03</t>
        </is>
      </c>
      <c r="E729" s="46" t="inlineStr">
        <is>
          <t>Zero-Day / Edge Device</t>
        </is>
      </c>
      <c r="F729" s="47" t="n">
        <v>6</v>
      </c>
      <c r="G729" s="46" t="inlineStr">
        <is>
          <t>Gemma3:27b via Ollama</t>
        </is>
      </c>
      <c r="H729" s="48" t="n">
        <v>46164</v>
      </c>
      <c r="I729" s="46" t="inlineStr">
        <is>
          <t>7.068</t>
        </is>
      </c>
      <c r="J729" s="46" t="inlineStr">
        <is>
          <t>67.77</t>
        </is>
      </c>
      <c r="K729" s="46" t="inlineStr">
        <is>
          <t>Gemma3:27b</t>
        </is>
      </c>
      <c r="L729" s="46" t="inlineStr">
        <is>
          <t>0.3</t>
        </is>
      </c>
      <c r="M729" s="73" t="inlineStr">
        <is>
          <t>Complete</t>
        </is>
      </c>
    </row>
    <row r="730" ht="13.5" customHeight="1" s="38">
      <c r="A730" s="46" t="inlineStr">
        <is>
          <t>Z_S3_SC03_I07</t>
        </is>
      </c>
      <c r="B730" s="46" t="inlineStr">
        <is>
          <t>R_0220</t>
        </is>
      </c>
      <c r="C730" s="46" t="inlineStr">
        <is>
          <t>Strategy 3 – One-Shot + Structured Template</t>
        </is>
      </c>
      <c r="D730" s="46" t="inlineStr">
        <is>
          <t>SC03</t>
        </is>
      </c>
      <c r="E730" s="46" t="inlineStr">
        <is>
          <t>Zero-Day / Edge Device</t>
        </is>
      </c>
      <c r="F730" s="47" t="n">
        <v>7</v>
      </c>
      <c r="G730" s="46" t="inlineStr">
        <is>
          <t>Gemma3:27b via Ollama</t>
        </is>
      </c>
      <c r="H730" s="48" t="n">
        <v>46164</v>
      </c>
      <c r="I730" s="46" t="inlineStr">
        <is>
          <t>6.841</t>
        </is>
      </c>
      <c r="J730" s="46" t="inlineStr">
        <is>
          <t>67.97</t>
        </is>
      </c>
      <c r="K730" s="46" t="inlineStr">
        <is>
          <t>Gemma3:27b</t>
        </is>
      </c>
      <c r="L730" s="46" t="inlineStr">
        <is>
          <t>0.3</t>
        </is>
      </c>
      <c r="M730" s="73" t="inlineStr">
        <is>
          <t>Complete</t>
        </is>
      </c>
    </row>
    <row r="731" ht="13.5" customHeight="1" s="38">
      <c r="A731" s="46" t="inlineStr">
        <is>
          <t>Z_S3_SC03_I08</t>
        </is>
      </c>
      <c r="B731" s="46" t="inlineStr">
        <is>
          <t>R_0801</t>
        </is>
      </c>
      <c r="C731" s="46" t="inlineStr">
        <is>
          <t>Strategy 3 – One-Shot + Structured Template</t>
        </is>
      </c>
      <c r="D731" s="46" t="inlineStr">
        <is>
          <t>SC03</t>
        </is>
      </c>
      <c r="E731" s="46" t="inlineStr">
        <is>
          <t>Zero-Day / Edge Device</t>
        </is>
      </c>
      <c r="F731" s="47" t="n">
        <v>8</v>
      </c>
      <c r="G731" s="46" t="inlineStr">
        <is>
          <t>Gemma3:27b via Ollama</t>
        </is>
      </c>
      <c r="H731" s="48" t="n">
        <v>46164</v>
      </c>
      <c r="I731" s="46" t="inlineStr">
        <is>
          <t>7.255</t>
        </is>
      </c>
      <c r="J731" s="46" t="inlineStr">
        <is>
          <t>67.95</t>
        </is>
      </c>
      <c r="K731" s="46" t="inlineStr">
        <is>
          <t>Gemma3:27b</t>
        </is>
      </c>
      <c r="L731" s="46" t="inlineStr">
        <is>
          <t>0.3</t>
        </is>
      </c>
      <c r="M731" s="73" t="inlineStr">
        <is>
          <t>Complete</t>
        </is>
      </c>
    </row>
    <row r="732" ht="13.5" customHeight="1" s="38">
      <c r="A732" s="46" t="inlineStr">
        <is>
          <t>Z_S3_SC03_I09</t>
        </is>
      </c>
      <c r="B732" s="46" t="inlineStr">
        <is>
          <t>R_0686</t>
        </is>
      </c>
      <c r="C732" s="46" t="inlineStr">
        <is>
          <t>Strategy 3 – One-Shot + Structured Template</t>
        </is>
      </c>
      <c r="D732" s="46" t="inlineStr">
        <is>
          <t>SC03</t>
        </is>
      </c>
      <c r="E732" s="46" t="inlineStr">
        <is>
          <t>Zero-Day / Edge Device</t>
        </is>
      </c>
      <c r="F732" s="47" t="n">
        <v>9</v>
      </c>
      <c r="G732" s="46" t="inlineStr">
        <is>
          <t>Gemma3:27b via Ollama</t>
        </is>
      </c>
      <c r="H732" s="48" t="n">
        <v>46164</v>
      </c>
      <c r="I732" s="46" t="inlineStr">
        <is>
          <t>6.887</t>
        </is>
      </c>
      <c r="J732" s="46" t="inlineStr">
        <is>
          <t>67.09</t>
        </is>
      </c>
      <c r="K732" s="46" t="inlineStr">
        <is>
          <t>Gemma3:27b</t>
        </is>
      </c>
      <c r="L732" s="46" t="inlineStr">
        <is>
          <t>0.3</t>
        </is>
      </c>
      <c r="M732" s="73" t="inlineStr">
        <is>
          <t>Complete</t>
        </is>
      </c>
    </row>
    <row r="733" ht="13.5" customHeight="1" s="38">
      <c r="A733" s="46" t="inlineStr">
        <is>
          <t>Z_S3_SC03_I10</t>
        </is>
      </c>
      <c r="B733" s="46" t="inlineStr">
        <is>
          <t>R_0286</t>
        </is>
      </c>
      <c r="C733" s="46" t="inlineStr">
        <is>
          <t>Strategy 3 – One-Shot + Structured Template</t>
        </is>
      </c>
      <c r="D733" s="46" t="inlineStr">
        <is>
          <t>SC03</t>
        </is>
      </c>
      <c r="E733" s="46" t="inlineStr">
        <is>
          <t>Zero-Day / Edge Device</t>
        </is>
      </c>
      <c r="F733" s="47" t="n">
        <v>10</v>
      </c>
      <c r="G733" s="46" t="inlineStr">
        <is>
          <t>Gemma3:27b via Ollama</t>
        </is>
      </c>
      <c r="H733" s="48" t="n">
        <v>46164</v>
      </c>
      <c r="I733" s="46" t="inlineStr">
        <is>
          <t>6.529</t>
        </is>
      </c>
      <c r="J733" s="46" t="inlineStr">
        <is>
          <t>67.85</t>
        </is>
      </c>
      <c r="K733" s="46" t="inlineStr">
        <is>
          <t>Gemma3:27b</t>
        </is>
      </c>
      <c r="L733" s="46" t="inlineStr">
        <is>
          <t>0.3</t>
        </is>
      </c>
      <c r="M733" s="73" t="inlineStr">
        <is>
          <t>Complete</t>
        </is>
      </c>
    </row>
    <row r="734" ht="13.5" customHeight="1" s="38">
      <c r="A734" s="46" t="inlineStr">
        <is>
          <t>Z_S3_SC04_I01</t>
        </is>
      </c>
      <c r="B734" s="46" t="inlineStr">
        <is>
          <t>R_0244</t>
        </is>
      </c>
      <c r="C734" s="46" t="inlineStr">
        <is>
          <t>Strategy 3 – One-Shot + Structured Template</t>
        </is>
      </c>
      <c r="D734" s="46" t="inlineStr">
        <is>
          <t>SC04</t>
        </is>
      </c>
      <c r="E734" s="46" t="inlineStr">
        <is>
          <t>Zero-Day / Edge Device</t>
        </is>
      </c>
      <c r="F734" s="47" t="n">
        <v>1</v>
      </c>
      <c r="G734" s="46" t="inlineStr">
        <is>
          <t>Gemma3:27b via Ollama</t>
        </is>
      </c>
      <c r="H734" s="48" t="n">
        <v>46166</v>
      </c>
      <c r="I734" s="46" t="inlineStr">
        <is>
          <t>7.018</t>
        </is>
      </c>
      <c r="J734" s="46" t="inlineStr">
        <is>
          <t>66.41</t>
        </is>
      </c>
      <c r="K734" s="46" t="inlineStr">
        <is>
          <t>Gemma3:27b</t>
        </is>
      </c>
      <c r="L734" s="46" t="inlineStr">
        <is>
          <t>0.3</t>
        </is>
      </c>
      <c r="M734" s="73" t="inlineStr">
        <is>
          <t>Complete</t>
        </is>
      </c>
    </row>
    <row r="735" ht="13.5" customHeight="1" s="38">
      <c r="A735" s="46" t="inlineStr">
        <is>
          <t>Z_S3_SC04_I02</t>
        </is>
      </c>
      <c r="B735" s="46" t="inlineStr">
        <is>
          <t>R_0527</t>
        </is>
      </c>
      <c r="C735" s="46" t="inlineStr">
        <is>
          <t>Strategy 3 – One-Shot + Structured Template</t>
        </is>
      </c>
      <c r="D735" s="46" t="inlineStr">
        <is>
          <t>SC04</t>
        </is>
      </c>
      <c r="E735" s="46" t="inlineStr">
        <is>
          <t>Zero-Day / Edge Device</t>
        </is>
      </c>
      <c r="F735" s="47" t="n">
        <v>2</v>
      </c>
      <c r="G735" s="46" t="inlineStr">
        <is>
          <t>Gemma3:27b via Ollama</t>
        </is>
      </c>
      <c r="H735" s="48" t="n">
        <v>46166</v>
      </c>
      <c r="I735" s="46" t="inlineStr">
        <is>
          <t>7.795</t>
        </is>
      </c>
      <c r="J735" s="46" t="inlineStr">
        <is>
          <t>67.61</t>
        </is>
      </c>
      <c r="K735" s="46" t="inlineStr">
        <is>
          <t>Gemma3:27b</t>
        </is>
      </c>
      <c r="L735" s="46" t="inlineStr">
        <is>
          <t>0.3</t>
        </is>
      </c>
      <c r="M735" s="73" t="inlineStr">
        <is>
          <t>Complete</t>
        </is>
      </c>
    </row>
    <row r="736" ht="13.5" customHeight="1" s="38">
      <c r="A736" s="46" t="inlineStr">
        <is>
          <t>Z_S3_SC04_I03</t>
        </is>
      </c>
      <c r="B736" s="46" t="inlineStr">
        <is>
          <t>R_0741</t>
        </is>
      </c>
      <c r="C736" s="46" t="inlineStr">
        <is>
          <t>Strategy 3 – One-Shot + Structured Template</t>
        </is>
      </c>
      <c r="D736" s="46" t="inlineStr">
        <is>
          <t>SC04</t>
        </is>
      </c>
      <c r="E736" s="46" t="inlineStr">
        <is>
          <t>Zero-Day / Edge Device</t>
        </is>
      </c>
      <c r="F736" s="47" t="n">
        <v>3</v>
      </c>
      <c r="G736" s="46" t="inlineStr">
        <is>
          <t>Gemma3:27b via Ollama</t>
        </is>
      </c>
      <c r="H736" s="48" t="n">
        <v>46166</v>
      </c>
      <c r="I736" s="46" t="inlineStr">
        <is>
          <t>7.412</t>
        </is>
      </c>
      <c r="J736" s="46" t="inlineStr">
        <is>
          <t>65.57</t>
        </is>
      </c>
      <c r="K736" s="46" t="inlineStr">
        <is>
          <t>Gemma3:27b</t>
        </is>
      </c>
      <c r="L736" s="46" t="inlineStr">
        <is>
          <t>0.3</t>
        </is>
      </c>
      <c r="M736" s="73" t="inlineStr">
        <is>
          <t>Complete</t>
        </is>
      </c>
    </row>
    <row r="737" ht="13.5" customHeight="1" s="38">
      <c r="A737" s="46" t="inlineStr">
        <is>
          <t>Z_S3_SC04_I04</t>
        </is>
      </c>
      <c r="B737" s="46" t="inlineStr">
        <is>
          <t>R_0339</t>
        </is>
      </c>
      <c r="C737" s="46" t="inlineStr">
        <is>
          <t>Strategy 3 – One-Shot + Structured Template</t>
        </is>
      </c>
      <c r="D737" s="46" t="inlineStr">
        <is>
          <t>SC04</t>
        </is>
      </c>
      <c r="E737" s="46" t="inlineStr">
        <is>
          <t>Zero-Day / Edge Device</t>
        </is>
      </c>
      <c r="F737" s="47" t="n">
        <v>4</v>
      </c>
      <c r="G737" s="46" t="inlineStr">
        <is>
          <t>Gemma3:27b via Ollama</t>
        </is>
      </c>
      <c r="H737" s="48" t="n">
        <v>46166</v>
      </c>
      <c r="I737" s="46" t="inlineStr">
        <is>
          <t>7.991</t>
        </is>
      </c>
      <c r="J737" s="46" t="inlineStr">
        <is>
          <t>66.32</t>
        </is>
      </c>
      <c r="K737" s="46" t="inlineStr">
        <is>
          <t>Gemma3:27b</t>
        </is>
      </c>
      <c r="L737" s="46" t="inlineStr">
        <is>
          <t>0.3</t>
        </is>
      </c>
      <c r="M737" s="73" t="inlineStr">
        <is>
          <t>Complete</t>
        </is>
      </c>
    </row>
    <row r="738" ht="13.5" customHeight="1" s="38">
      <c r="A738" s="46" t="inlineStr">
        <is>
          <t>Z_S3_SC04_I05</t>
        </is>
      </c>
      <c r="B738" s="46" t="inlineStr">
        <is>
          <t>R_0887</t>
        </is>
      </c>
      <c r="C738" s="46" t="inlineStr">
        <is>
          <t>Strategy 3 – One-Shot + Structured Template</t>
        </is>
      </c>
      <c r="D738" s="46" t="inlineStr">
        <is>
          <t>SC04</t>
        </is>
      </c>
      <c r="E738" s="46" t="inlineStr">
        <is>
          <t>Zero-Day / Edge Device</t>
        </is>
      </c>
      <c r="F738" s="47" t="n">
        <v>5</v>
      </c>
      <c r="G738" s="46" t="inlineStr">
        <is>
          <t>Gemma3:27b via Ollama</t>
        </is>
      </c>
      <c r="H738" s="48" t="n">
        <v>46166</v>
      </c>
      <c r="I738" s="46" t="inlineStr">
        <is>
          <t>7.510</t>
        </is>
      </c>
      <c r="J738" s="46" t="inlineStr">
        <is>
          <t>66.31</t>
        </is>
      </c>
      <c r="K738" s="46" t="inlineStr">
        <is>
          <t>Gemma3:27b</t>
        </is>
      </c>
      <c r="L738" s="46" t="inlineStr">
        <is>
          <t>0.3</t>
        </is>
      </c>
      <c r="M738" s="73" t="inlineStr">
        <is>
          <t>Complete</t>
        </is>
      </c>
    </row>
    <row r="739" ht="13.5" customHeight="1" s="38">
      <c r="A739" s="46" t="inlineStr">
        <is>
          <t>Z_S3_SC04_I06</t>
        </is>
      </c>
      <c r="B739" s="46" t="inlineStr">
        <is>
          <t>R_0070</t>
        </is>
      </c>
      <c r="C739" s="46" t="inlineStr">
        <is>
          <t>Strategy 3 – One-Shot + Structured Template</t>
        </is>
      </c>
      <c r="D739" s="46" t="inlineStr">
        <is>
          <t>SC04</t>
        </is>
      </c>
      <c r="E739" s="46" t="inlineStr">
        <is>
          <t>Zero-Day / Edge Device</t>
        </is>
      </c>
      <c r="F739" s="47" t="n">
        <v>6</v>
      </c>
      <c r="G739" s="46" t="inlineStr">
        <is>
          <t>Gemma3:27b via Ollama</t>
        </is>
      </c>
      <c r="H739" s="48" t="n">
        <v>46166</v>
      </c>
      <c r="I739" s="46" t="inlineStr">
        <is>
          <t>7.436</t>
        </is>
      </c>
      <c r="J739" s="46" t="inlineStr">
        <is>
          <t>67.51</t>
        </is>
      </c>
      <c r="K739" s="46" t="inlineStr">
        <is>
          <t>Gemma3:27b</t>
        </is>
      </c>
      <c r="L739" s="46" t="inlineStr">
        <is>
          <t>0.3</t>
        </is>
      </c>
      <c r="M739" s="73" t="inlineStr">
        <is>
          <t>Complete</t>
        </is>
      </c>
    </row>
    <row r="740" ht="13.5" customHeight="1" s="38">
      <c r="A740" s="46" t="inlineStr">
        <is>
          <t>Z_S3_SC04_I07</t>
        </is>
      </c>
      <c r="B740" s="46" t="inlineStr">
        <is>
          <t>R_0889</t>
        </is>
      </c>
      <c r="C740" s="46" t="inlineStr">
        <is>
          <t>Strategy 3 – One-Shot + Structured Template</t>
        </is>
      </c>
      <c r="D740" s="46" t="inlineStr">
        <is>
          <t>SC04</t>
        </is>
      </c>
      <c r="E740" s="46" t="inlineStr">
        <is>
          <t>Zero-Day / Edge Device</t>
        </is>
      </c>
      <c r="F740" s="47" t="n">
        <v>7</v>
      </c>
      <c r="G740" s="46" t="inlineStr">
        <is>
          <t>Gemma3:27b via Ollama</t>
        </is>
      </c>
      <c r="H740" s="48" t="n">
        <v>46166</v>
      </c>
      <c r="I740" s="46" t="inlineStr">
        <is>
          <t>7.648</t>
        </is>
      </c>
      <c r="J740" s="46" t="inlineStr">
        <is>
          <t>66.81</t>
        </is>
      </c>
      <c r="K740" s="46" t="inlineStr">
        <is>
          <t>Gemma3:27b</t>
        </is>
      </c>
      <c r="L740" s="46" t="inlineStr">
        <is>
          <t>0.3</t>
        </is>
      </c>
      <c r="M740" s="73" t="inlineStr">
        <is>
          <t>Complete</t>
        </is>
      </c>
    </row>
    <row r="741" ht="13.5" customHeight="1" s="38">
      <c r="A741" s="46" t="inlineStr">
        <is>
          <t>Z_S3_SC04_I08</t>
        </is>
      </c>
      <c r="B741" s="46" t="inlineStr">
        <is>
          <t>R_0061</t>
        </is>
      </c>
      <c r="C741" s="46" t="inlineStr">
        <is>
          <t>Strategy 3 – One-Shot + Structured Template</t>
        </is>
      </c>
      <c r="D741" s="46" t="inlineStr">
        <is>
          <t>SC04</t>
        </is>
      </c>
      <c r="E741" s="46" t="inlineStr">
        <is>
          <t>Zero-Day / Edge Device</t>
        </is>
      </c>
      <c r="F741" s="47" t="n">
        <v>8</v>
      </c>
      <c r="G741" s="46" t="inlineStr">
        <is>
          <t>Gemma3:27b via Ollama</t>
        </is>
      </c>
      <c r="H741" s="48" t="n">
        <v>46166</v>
      </c>
      <c r="I741" s="46" t="inlineStr">
        <is>
          <t>8.497</t>
        </is>
      </c>
      <c r="J741" s="46" t="inlineStr">
        <is>
          <t>65.67</t>
        </is>
      </c>
      <c r="K741" s="46" t="inlineStr">
        <is>
          <t>Gemma3:27b</t>
        </is>
      </c>
      <c r="L741" s="46" t="inlineStr">
        <is>
          <t>0.3</t>
        </is>
      </c>
      <c r="M741" s="73" t="inlineStr">
        <is>
          <t>Complete</t>
        </is>
      </c>
    </row>
    <row r="742" ht="13.5" customHeight="1" s="38">
      <c r="A742" s="46" t="inlineStr">
        <is>
          <t>Z_S3_SC04_I09</t>
        </is>
      </c>
      <c r="B742" s="46" t="inlineStr">
        <is>
          <t>R_0647</t>
        </is>
      </c>
      <c r="C742" s="46" t="inlineStr">
        <is>
          <t>Strategy 3 – One-Shot + Structured Template</t>
        </is>
      </c>
      <c r="D742" s="46" t="inlineStr">
        <is>
          <t>SC04</t>
        </is>
      </c>
      <c r="E742" s="46" t="inlineStr">
        <is>
          <t>Zero-Day / Edge Device</t>
        </is>
      </c>
      <c r="F742" s="47" t="n">
        <v>9</v>
      </c>
      <c r="G742" s="46" t="inlineStr">
        <is>
          <t>Gemma3:27b via Ollama</t>
        </is>
      </c>
      <c r="H742" s="48" t="n">
        <v>46166</v>
      </c>
      <c r="I742" s="46" t="inlineStr">
        <is>
          <t>7.457</t>
        </is>
      </c>
      <c r="J742" s="46" t="inlineStr">
        <is>
          <t>67.45</t>
        </is>
      </c>
      <c r="K742" s="46" t="inlineStr">
        <is>
          <t>Gemma3:27b</t>
        </is>
      </c>
      <c r="L742" s="46" t="inlineStr">
        <is>
          <t>0.3</t>
        </is>
      </c>
      <c r="M742" s="73" t="inlineStr">
        <is>
          <t>Complete</t>
        </is>
      </c>
    </row>
    <row r="743" ht="13.5" customHeight="1" s="38">
      <c r="A743" s="46" t="inlineStr">
        <is>
          <t>Z_S3_SC04_I10</t>
        </is>
      </c>
      <c r="B743" s="46" t="inlineStr">
        <is>
          <t>R_0725</t>
        </is>
      </c>
      <c r="C743" s="46" t="inlineStr">
        <is>
          <t>Strategy 3 – One-Shot + Structured Template</t>
        </is>
      </c>
      <c r="D743" s="46" t="inlineStr">
        <is>
          <t>SC04</t>
        </is>
      </c>
      <c r="E743" s="46" t="inlineStr">
        <is>
          <t>Zero-Day / Edge Device</t>
        </is>
      </c>
      <c r="F743" s="47" t="n">
        <v>10</v>
      </c>
      <c r="G743" s="46" t="inlineStr">
        <is>
          <t>Gemma3:27b via Ollama</t>
        </is>
      </c>
      <c r="H743" s="48" t="n">
        <v>46166</v>
      </c>
      <c r="I743" s="46" t="inlineStr">
        <is>
          <t>7.566</t>
        </is>
      </c>
      <c r="J743" s="46" t="inlineStr">
        <is>
          <t>67.67</t>
        </is>
      </c>
      <c r="K743" s="46" t="inlineStr">
        <is>
          <t>Gemma3:27b</t>
        </is>
      </c>
      <c r="L743" s="46" t="inlineStr">
        <is>
          <t>0.3</t>
        </is>
      </c>
      <c r="M743" s="73" t="inlineStr">
        <is>
          <t>Complete</t>
        </is>
      </c>
    </row>
    <row r="744" ht="13.5" customHeight="1" s="38">
      <c r="A744" s="46" t="inlineStr">
        <is>
          <t>Z_S3_SC05_I01</t>
        </is>
      </c>
      <c r="B744" s="46" t="inlineStr">
        <is>
          <t>R_0073</t>
        </is>
      </c>
      <c r="C744" s="46" t="inlineStr">
        <is>
          <t>Strategy 3 – One-Shot + Structured Template</t>
        </is>
      </c>
      <c r="D744" s="46" t="inlineStr">
        <is>
          <t>SC05</t>
        </is>
      </c>
      <c r="E744" s="46" t="inlineStr">
        <is>
          <t>Zero-Day / Edge Device</t>
        </is>
      </c>
      <c r="F744" s="47" t="n">
        <v>1</v>
      </c>
      <c r="G744" s="46" t="inlineStr">
        <is>
          <t>Gemma3:27b via Ollama</t>
        </is>
      </c>
      <c r="H744" s="48" t="n">
        <v>46166</v>
      </c>
      <c r="I744" s="46" t="inlineStr">
        <is>
          <t>7.373</t>
        </is>
      </c>
      <c r="J744" s="46" t="inlineStr">
        <is>
          <t>67.54</t>
        </is>
      </c>
      <c r="K744" s="46" t="inlineStr">
        <is>
          <t>Gemma3:27b</t>
        </is>
      </c>
      <c r="L744" s="46" t="inlineStr">
        <is>
          <t>0.3</t>
        </is>
      </c>
      <c r="M744" s="73" t="inlineStr">
        <is>
          <t>Complete</t>
        </is>
      </c>
    </row>
    <row r="745" ht="13.5" customHeight="1" s="38">
      <c r="A745" s="46" t="inlineStr">
        <is>
          <t>Z_S3_SC05_I02</t>
        </is>
      </c>
      <c r="B745" s="46" t="inlineStr">
        <is>
          <t>R_0008</t>
        </is>
      </c>
      <c r="C745" s="46" t="inlineStr">
        <is>
          <t>Strategy 3 – One-Shot + Structured Template</t>
        </is>
      </c>
      <c r="D745" s="46" t="inlineStr">
        <is>
          <t>SC05</t>
        </is>
      </c>
      <c r="E745" s="46" t="inlineStr">
        <is>
          <t>Zero-Day / Edge Device</t>
        </is>
      </c>
      <c r="F745" s="47" t="n">
        <v>2</v>
      </c>
      <c r="G745" s="46" t="inlineStr">
        <is>
          <t>Gemma3:27b via Ollama</t>
        </is>
      </c>
      <c r="H745" s="48" t="n">
        <v>46166</v>
      </c>
      <c r="I745" s="46" t="inlineStr">
        <is>
          <t>7.485</t>
        </is>
      </c>
      <c r="J745" s="46" t="inlineStr">
        <is>
          <t>67.47</t>
        </is>
      </c>
      <c r="K745" s="46" t="inlineStr">
        <is>
          <t>Gemma3:27b</t>
        </is>
      </c>
      <c r="L745" s="46" t="inlineStr">
        <is>
          <t>0.3</t>
        </is>
      </c>
      <c r="M745" s="73" t="inlineStr">
        <is>
          <t>Complete</t>
        </is>
      </c>
    </row>
    <row r="746" ht="13.5" customHeight="1" s="38">
      <c r="A746" s="46" t="inlineStr">
        <is>
          <t>Z_S3_SC05_I03</t>
        </is>
      </c>
      <c r="B746" s="46" t="inlineStr">
        <is>
          <t>R_0983</t>
        </is>
      </c>
      <c r="C746" s="46" t="inlineStr">
        <is>
          <t>Strategy 3 – One-Shot + Structured Template</t>
        </is>
      </c>
      <c r="D746" s="46" t="inlineStr">
        <is>
          <t>SC05</t>
        </is>
      </c>
      <c r="E746" s="46" t="inlineStr">
        <is>
          <t>Zero-Day / Edge Device</t>
        </is>
      </c>
      <c r="F746" s="47" t="n">
        <v>3</v>
      </c>
      <c r="G746" s="46" t="inlineStr">
        <is>
          <t>Gemma3:27b via Ollama</t>
        </is>
      </c>
      <c r="H746" s="48" t="n">
        <v>46166</v>
      </c>
      <c r="I746" s="46" t="inlineStr">
        <is>
          <t>7.150</t>
        </is>
      </c>
      <c r="J746" s="46" t="inlineStr">
        <is>
          <t>67.55</t>
        </is>
      </c>
      <c r="K746" s="46" t="inlineStr">
        <is>
          <t>Gemma3:27b</t>
        </is>
      </c>
      <c r="L746" s="46" t="inlineStr">
        <is>
          <t>0.3</t>
        </is>
      </c>
      <c r="M746" s="73" t="inlineStr">
        <is>
          <t>Complete</t>
        </is>
      </c>
    </row>
    <row r="747" ht="13.5" customHeight="1" s="38">
      <c r="A747" s="46" t="inlineStr">
        <is>
          <t>Z_S3_SC05_I04</t>
        </is>
      </c>
      <c r="B747" s="46" t="inlineStr">
        <is>
          <t>R_0905</t>
        </is>
      </c>
      <c r="C747" s="46" t="inlineStr">
        <is>
          <t>Strategy 3 – One-Shot + Structured Template</t>
        </is>
      </c>
      <c r="D747" s="46" t="inlineStr">
        <is>
          <t>SC05</t>
        </is>
      </c>
      <c r="E747" s="46" t="inlineStr">
        <is>
          <t>Zero-Day / Edge Device</t>
        </is>
      </c>
      <c r="F747" s="47" t="n">
        <v>4</v>
      </c>
      <c r="G747" s="46" t="inlineStr">
        <is>
          <t>Gemma3:27b via Ollama</t>
        </is>
      </c>
      <c r="H747" s="48" t="n">
        <v>46166</v>
      </c>
      <c r="I747" s="46" t="inlineStr">
        <is>
          <t>7.376</t>
        </is>
      </c>
      <c r="J747" s="46" t="inlineStr">
        <is>
          <t>66.83</t>
        </is>
      </c>
      <c r="K747" s="46" t="inlineStr">
        <is>
          <t>Gemma3:27b</t>
        </is>
      </c>
      <c r="L747" s="46" t="inlineStr">
        <is>
          <t>0.3</t>
        </is>
      </c>
      <c r="M747" s="73" t="inlineStr">
        <is>
          <t>Complete</t>
        </is>
      </c>
    </row>
    <row r="748" ht="13.5" customHeight="1" s="38">
      <c r="A748" s="46" t="inlineStr">
        <is>
          <t>Z_S3_SC05_I05</t>
        </is>
      </c>
      <c r="B748" s="46" t="inlineStr">
        <is>
          <t>R_0236</t>
        </is>
      </c>
      <c r="C748" s="46" t="inlineStr">
        <is>
          <t>Strategy 3 – One-Shot + Structured Template</t>
        </is>
      </c>
      <c r="D748" s="46" t="inlineStr">
        <is>
          <t>SC05</t>
        </is>
      </c>
      <c r="E748" s="46" t="inlineStr">
        <is>
          <t>Zero-Day / Edge Device</t>
        </is>
      </c>
      <c r="F748" s="47" t="n">
        <v>5</v>
      </c>
      <c r="G748" s="46" t="inlineStr">
        <is>
          <t>Gemma3:27b via Ollama</t>
        </is>
      </c>
      <c r="H748" s="48" t="n">
        <v>46166</v>
      </c>
      <c r="I748" s="46" t="inlineStr">
        <is>
          <t>7.884</t>
        </is>
      </c>
      <c r="J748" s="46" t="inlineStr">
        <is>
          <t>67.35</t>
        </is>
      </c>
      <c r="K748" s="46" t="inlineStr">
        <is>
          <t>Gemma3:27b</t>
        </is>
      </c>
      <c r="L748" s="46" t="inlineStr">
        <is>
          <t>0.3</t>
        </is>
      </c>
      <c r="M748" s="73" t="inlineStr">
        <is>
          <t>Complete</t>
        </is>
      </c>
    </row>
    <row r="749" ht="13.5" customHeight="1" s="38">
      <c r="A749" s="46" t="inlineStr">
        <is>
          <t>Z_S3_SC05_I06</t>
        </is>
      </c>
      <c r="B749" s="46" t="inlineStr">
        <is>
          <t>R_0568</t>
        </is>
      </c>
      <c r="C749" s="46" t="inlineStr">
        <is>
          <t>Strategy 3 – One-Shot + Structured Template</t>
        </is>
      </c>
      <c r="D749" s="46" t="inlineStr">
        <is>
          <t>SC05</t>
        </is>
      </c>
      <c r="E749" s="46" t="inlineStr">
        <is>
          <t>Zero-Day / Edge Device</t>
        </is>
      </c>
      <c r="F749" s="47" t="n">
        <v>6</v>
      </c>
      <c r="G749" s="46" t="inlineStr">
        <is>
          <t>Gemma3:27b via Ollama</t>
        </is>
      </c>
      <c r="H749" s="48" t="n">
        <v>46166</v>
      </c>
      <c r="I749" s="46" t="inlineStr">
        <is>
          <t>7.522</t>
        </is>
      </c>
      <c r="J749" s="46" t="inlineStr">
        <is>
          <t>66.74</t>
        </is>
      </c>
      <c r="K749" s="46" t="inlineStr">
        <is>
          <t>Gemma3:27b</t>
        </is>
      </c>
      <c r="L749" s="46" t="inlineStr">
        <is>
          <t>0.3</t>
        </is>
      </c>
      <c r="M749" s="73" t="inlineStr">
        <is>
          <t>Complete</t>
        </is>
      </c>
    </row>
    <row r="750" ht="13.5" customHeight="1" s="38">
      <c r="A750" s="46" t="inlineStr">
        <is>
          <t>Z_S3_SC05_I07</t>
        </is>
      </c>
      <c r="B750" s="46" t="inlineStr">
        <is>
          <t>R_0603</t>
        </is>
      </c>
      <c r="C750" s="46" t="inlineStr">
        <is>
          <t>Strategy 3 – One-Shot + Structured Template</t>
        </is>
      </c>
      <c r="D750" s="46" t="inlineStr">
        <is>
          <t>SC05</t>
        </is>
      </c>
      <c r="E750" s="46" t="inlineStr">
        <is>
          <t>Zero-Day / Edge Device</t>
        </is>
      </c>
      <c r="F750" s="47" t="n">
        <v>7</v>
      </c>
      <c r="G750" s="46" t="inlineStr">
        <is>
          <t>Gemma3:27b via Ollama</t>
        </is>
      </c>
      <c r="H750" s="48" t="n">
        <v>46166</v>
      </c>
      <c r="I750" s="46" t="inlineStr">
        <is>
          <t>7.744</t>
        </is>
      </c>
      <c r="J750" s="46" t="inlineStr">
        <is>
          <t>66.89</t>
        </is>
      </c>
      <c r="K750" s="46" t="inlineStr">
        <is>
          <t>Gemma3:27b</t>
        </is>
      </c>
      <c r="L750" s="46" t="inlineStr">
        <is>
          <t>0.3</t>
        </is>
      </c>
      <c r="M750" s="73" t="inlineStr">
        <is>
          <t>Complete</t>
        </is>
      </c>
    </row>
    <row r="751" ht="13.5" customHeight="1" s="38">
      <c r="A751" s="46" t="inlineStr">
        <is>
          <t>Z_S3_SC05_I08</t>
        </is>
      </c>
      <c r="B751" s="46" t="inlineStr">
        <is>
          <t>R_0022</t>
        </is>
      </c>
      <c r="C751" s="46" t="inlineStr">
        <is>
          <t>Strategy 3 – One-Shot + Structured Template</t>
        </is>
      </c>
      <c r="D751" s="46" t="inlineStr">
        <is>
          <t>SC05</t>
        </is>
      </c>
      <c r="E751" s="46" t="inlineStr">
        <is>
          <t>Zero-Day / Edge Device</t>
        </is>
      </c>
      <c r="F751" s="47" t="n">
        <v>8</v>
      </c>
      <c r="G751" s="46" t="inlineStr">
        <is>
          <t>Gemma3:27b via Ollama</t>
        </is>
      </c>
      <c r="H751" s="48" t="n">
        <v>46166</v>
      </c>
      <c r="I751" s="46" t="inlineStr">
        <is>
          <t>7.101</t>
        </is>
      </c>
      <c r="J751" s="46" t="inlineStr">
        <is>
          <t>67.46</t>
        </is>
      </c>
      <c r="K751" s="46" t="inlineStr">
        <is>
          <t>Gemma3:27b</t>
        </is>
      </c>
      <c r="L751" s="46" t="inlineStr">
        <is>
          <t>0.3</t>
        </is>
      </c>
      <c r="M751" s="73" t="inlineStr">
        <is>
          <t>Complete</t>
        </is>
      </c>
    </row>
    <row r="752" ht="13.5" customHeight="1" s="38">
      <c r="A752" s="46" t="inlineStr">
        <is>
          <t>Z_S3_SC05_I09</t>
        </is>
      </c>
      <c r="B752" s="46" t="inlineStr">
        <is>
          <t>R_0347</t>
        </is>
      </c>
      <c r="C752" s="46" t="inlineStr">
        <is>
          <t>Strategy 3 – One-Shot + Structured Template</t>
        </is>
      </c>
      <c r="D752" s="46" t="inlineStr">
        <is>
          <t>SC05</t>
        </is>
      </c>
      <c r="E752" s="46" t="inlineStr">
        <is>
          <t>Zero-Day / Edge Device</t>
        </is>
      </c>
      <c r="F752" s="47" t="n">
        <v>9</v>
      </c>
      <c r="G752" s="46" t="inlineStr">
        <is>
          <t>Gemma3:27b via Ollama</t>
        </is>
      </c>
      <c r="H752" s="48" t="n">
        <v>46166</v>
      </c>
      <c r="I752" s="46" t="inlineStr">
        <is>
          <t>7.810</t>
        </is>
      </c>
      <c r="J752" s="46" t="inlineStr">
        <is>
          <t>65.69</t>
        </is>
      </c>
      <c r="K752" s="46" t="inlineStr">
        <is>
          <t>Gemma3:27b</t>
        </is>
      </c>
      <c r="L752" s="46" t="inlineStr">
        <is>
          <t>0.3</t>
        </is>
      </c>
      <c r="M752" s="73" t="inlineStr">
        <is>
          <t>Complete</t>
        </is>
      </c>
    </row>
    <row r="753" ht="13.5" customHeight="1" s="38">
      <c r="A753" s="46" t="inlineStr">
        <is>
          <t>Z_S3_SC05_I10</t>
        </is>
      </c>
      <c r="B753" s="46" t="inlineStr">
        <is>
          <t>R_0927</t>
        </is>
      </c>
      <c r="C753" s="46" t="inlineStr">
        <is>
          <t>Strategy 3 – One-Shot + Structured Template</t>
        </is>
      </c>
      <c r="D753" s="46" t="inlineStr">
        <is>
          <t>SC05</t>
        </is>
      </c>
      <c r="E753" s="46" t="inlineStr">
        <is>
          <t>Zero-Day / Edge Device</t>
        </is>
      </c>
      <c r="F753" s="47" t="n">
        <v>10</v>
      </c>
      <c r="G753" s="46" t="inlineStr">
        <is>
          <t>Gemma3:27b via Ollama</t>
        </is>
      </c>
      <c r="H753" s="48" t="n">
        <v>46166</v>
      </c>
      <c r="I753" s="46" t="inlineStr">
        <is>
          <t>7.378</t>
        </is>
      </c>
      <c r="J753" s="46" t="inlineStr">
        <is>
          <t>67.36</t>
        </is>
      </c>
      <c r="K753" s="46" t="inlineStr">
        <is>
          <t>Gemma3:27b</t>
        </is>
      </c>
      <c r="L753" s="46" t="inlineStr">
        <is>
          <t>0.3</t>
        </is>
      </c>
      <c r="M753" s="73" t="inlineStr">
        <is>
          <t>Complete</t>
        </is>
      </c>
    </row>
    <row r="754" ht="13.5" customHeight="1" s="38">
      <c r="A754" s="46" t="inlineStr">
        <is>
          <t>B_S3_SC01_I01</t>
        </is>
      </c>
      <c r="B754" s="46" t="inlineStr">
        <is>
          <t>R_0231</t>
        </is>
      </c>
      <c r="C754" s="46" t="inlineStr">
        <is>
          <t>Strategy 3 – One-Shot + Structured Template</t>
        </is>
      </c>
      <c r="D754" s="46" t="inlineStr">
        <is>
          <t>SC01</t>
        </is>
      </c>
      <c r="E754" s="46" t="inlineStr">
        <is>
          <t>Business Email Compromise</t>
        </is>
      </c>
      <c r="F754" s="47" t="n">
        <v>1</v>
      </c>
      <c r="G754" s="46" t="inlineStr">
        <is>
          <t>Gemma3:27b via Ollama</t>
        </is>
      </c>
      <c r="H754" s="48" t="n">
        <v>46164</v>
      </c>
      <c r="I754" s="46" t="inlineStr">
        <is>
          <t>8.532</t>
        </is>
      </c>
      <c r="J754" s="46" t="inlineStr">
        <is>
          <t>67.98</t>
        </is>
      </c>
      <c r="K754" s="46" t="inlineStr">
        <is>
          <t>Gemma3:27b</t>
        </is>
      </c>
      <c r="L754" s="46" t="inlineStr">
        <is>
          <t>0.3</t>
        </is>
      </c>
      <c r="M754" s="73" t="inlineStr">
        <is>
          <t>Complete</t>
        </is>
      </c>
    </row>
    <row r="755" ht="13.5" customHeight="1" s="38">
      <c r="A755" s="46" t="inlineStr">
        <is>
          <t>B_S3_SC01_I02</t>
        </is>
      </c>
      <c r="B755" s="46" t="inlineStr">
        <is>
          <t>R_0254</t>
        </is>
      </c>
      <c r="C755" s="46" t="inlineStr">
        <is>
          <t>Strategy 3 – One-Shot + Structured Template</t>
        </is>
      </c>
      <c r="D755" s="46" t="inlineStr">
        <is>
          <t>SC01</t>
        </is>
      </c>
      <c r="E755" s="46" t="inlineStr">
        <is>
          <t>Business Email Compromise</t>
        </is>
      </c>
      <c r="F755" s="47" t="n">
        <v>2</v>
      </c>
      <c r="G755" s="46" t="inlineStr">
        <is>
          <t>Gemma3:27b via Ollama</t>
        </is>
      </c>
      <c r="H755" s="48" t="n">
        <v>46164</v>
      </c>
      <c r="I755" s="46" t="inlineStr">
        <is>
          <t>7.916</t>
        </is>
      </c>
      <c r="J755" s="46" t="inlineStr">
        <is>
          <t>68.09</t>
        </is>
      </c>
      <c r="K755" s="46" t="inlineStr">
        <is>
          <t>Gemma3:27b</t>
        </is>
      </c>
      <c r="L755" s="46" t="inlineStr">
        <is>
          <t>0.3</t>
        </is>
      </c>
      <c r="M755" s="73" t="inlineStr">
        <is>
          <t>Complete</t>
        </is>
      </c>
    </row>
    <row r="756" ht="13.5" customHeight="1" s="38">
      <c r="A756" s="46" t="inlineStr">
        <is>
          <t>B_S3_SC01_I03</t>
        </is>
      </c>
      <c r="B756" s="46" t="inlineStr">
        <is>
          <t>R_0124</t>
        </is>
      </c>
      <c r="C756" s="46" t="inlineStr">
        <is>
          <t>Strategy 3 – One-Shot + Structured Template</t>
        </is>
      </c>
      <c r="D756" s="46" t="inlineStr">
        <is>
          <t>SC01</t>
        </is>
      </c>
      <c r="E756" s="46" t="inlineStr">
        <is>
          <t>Business Email Compromise</t>
        </is>
      </c>
      <c r="F756" s="47" t="n">
        <v>3</v>
      </c>
      <c r="G756" s="46" t="inlineStr">
        <is>
          <t>Gemma3:27b via Ollama</t>
        </is>
      </c>
      <c r="H756" s="48" t="n">
        <v>46164</v>
      </c>
      <c r="I756" s="46" t="inlineStr">
        <is>
          <t>8.520</t>
        </is>
      </c>
      <c r="J756" s="46" t="inlineStr">
        <is>
          <t>67.96</t>
        </is>
      </c>
      <c r="K756" s="46" t="inlineStr">
        <is>
          <t>Gemma3:27b</t>
        </is>
      </c>
      <c r="L756" s="46" t="inlineStr">
        <is>
          <t>0.3</t>
        </is>
      </c>
      <c r="M756" s="73" t="inlineStr">
        <is>
          <t>Complete</t>
        </is>
      </c>
    </row>
    <row r="757" ht="13.5" customHeight="1" s="38">
      <c r="A757" s="46" t="inlineStr">
        <is>
          <t>B_S3_SC01_I04</t>
        </is>
      </c>
      <c r="B757" s="46" t="inlineStr">
        <is>
          <t>R_0463</t>
        </is>
      </c>
      <c r="C757" s="46" t="inlineStr">
        <is>
          <t>Strategy 3 – One-Shot + Structured Template</t>
        </is>
      </c>
      <c r="D757" s="46" t="inlineStr">
        <is>
          <t>SC01</t>
        </is>
      </c>
      <c r="E757" s="46" t="inlineStr">
        <is>
          <t>Business Email Compromise</t>
        </is>
      </c>
      <c r="F757" s="47" t="n">
        <v>4</v>
      </c>
      <c r="G757" s="46" t="inlineStr">
        <is>
          <t>Gemma3:27b via Ollama</t>
        </is>
      </c>
      <c r="H757" s="48" t="n">
        <v>46164</v>
      </c>
      <c r="I757" s="46" t="inlineStr">
        <is>
          <t>8.713</t>
        </is>
      </c>
      <c r="J757" s="46" t="inlineStr">
        <is>
          <t>67.60</t>
        </is>
      </c>
      <c r="K757" s="46" t="inlineStr">
        <is>
          <t>Gemma3:27b</t>
        </is>
      </c>
      <c r="L757" s="46" t="inlineStr">
        <is>
          <t>0.3</t>
        </is>
      </c>
      <c r="M757" s="73" t="inlineStr">
        <is>
          <t>Complete</t>
        </is>
      </c>
    </row>
    <row r="758" ht="13.5" customHeight="1" s="38">
      <c r="A758" s="46" t="inlineStr">
        <is>
          <t>B_S3_SC01_I05</t>
        </is>
      </c>
      <c r="B758" s="46" t="inlineStr">
        <is>
          <t>R_0530</t>
        </is>
      </c>
      <c r="C758" s="46" t="inlineStr">
        <is>
          <t>Strategy 3 – One-Shot + Structured Template</t>
        </is>
      </c>
      <c r="D758" s="46" t="inlineStr">
        <is>
          <t>SC01</t>
        </is>
      </c>
      <c r="E758" s="46" t="inlineStr">
        <is>
          <t>Business Email Compromise</t>
        </is>
      </c>
      <c r="F758" s="47" t="n">
        <v>5</v>
      </c>
      <c r="G758" s="46" t="inlineStr">
        <is>
          <t>Gemma3:27b via Ollama</t>
        </is>
      </c>
      <c r="H758" s="48" t="n">
        <v>46164</v>
      </c>
      <c r="I758" s="46" t="inlineStr">
        <is>
          <t>8.393</t>
        </is>
      </c>
      <c r="J758" s="46" t="inlineStr">
        <is>
          <t>67.80</t>
        </is>
      </c>
      <c r="K758" s="46" t="inlineStr">
        <is>
          <t>Gemma3:27b</t>
        </is>
      </c>
      <c r="L758" s="46" t="inlineStr">
        <is>
          <t>0.3</t>
        </is>
      </c>
      <c r="M758" s="73" t="inlineStr">
        <is>
          <t>Complete</t>
        </is>
      </c>
    </row>
    <row r="759" ht="13.5" customHeight="1" s="38">
      <c r="A759" s="46" t="inlineStr">
        <is>
          <t>B_S3_SC01_I06</t>
        </is>
      </c>
      <c r="B759" s="46" t="inlineStr">
        <is>
          <t>R_0449</t>
        </is>
      </c>
      <c r="C759" s="46" t="inlineStr">
        <is>
          <t>Strategy 3 – One-Shot + Structured Template</t>
        </is>
      </c>
      <c r="D759" s="46" t="inlineStr">
        <is>
          <t>SC01</t>
        </is>
      </c>
      <c r="E759" s="46" t="inlineStr">
        <is>
          <t>Business Email Compromise</t>
        </is>
      </c>
      <c r="F759" s="47" t="n">
        <v>6</v>
      </c>
      <c r="G759" s="46" t="inlineStr">
        <is>
          <t>Gemma3:27b via Ollama</t>
        </is>
      </c>
      <c r="H759" s="48" t="n">
        <v>46164</v>
      </c>
      <c r="I759" s="46" t="inlineStr">
        <is>
          <t>8.434</t>
        </is>
      </c>
      <c r="J759" s="46" t="inlineStr">
        <is>
          <t>65.80</t>
        </is>
      </c>
      <c r="K759" s="46" t="inlineStr">
        <is>
          <t>Gemma3:27b</t>
        </is>
      </c>
      <c r="L759" s="46" t="inlineStr">
        <is>
          <t>0.3</t>
        </is>
      </c>
      <c r="M759" s="73" t="inlineStr">
        <is>
          <t>Complete</t>
        </is>
      </c>
    </row>
    <row r="760" ht="13.5" customHeight="1" s="38">
      <c r="A760" s="46" t="inlineStr">
        <is>
          <t>B_S3_SC01_I07</t>
        </is>
      </c>
      <c r="B760" s="46" t="inlineStr">
        <is>
          <t>R_0802</t>
        </is>
      </c>
      <c r="C760" s="46" t="inlineStr">
        <is>
          <t>Strategy 3 – One-Shot + Structured Template</t>
        </is>
      </c>
      <c r="D760" s="46" t="inlineStr">
        <is>
          <t>SC01</t>
        </is>
      </c>
      <c r="E760" s="46" t="inlineStr">
        <is>
          <t>Business Email Compromise</t>
        </is>
      </c>
      <c r="F760" s="47" t="n">
        <v>7</v>
      </c>
      <c r="G760" s="46" t="inlineStr">
        <is>
          <t>Gemma3:27b via Ollama</t>
        </is>
      </c>
      <c r="H760" s="48" t="n">
        <v>46164</v>
      </c>
      <c r="I760" s="46" t="inlineStr">
        <is>
          <t>7.117</t>
        </is>
      </c>
      <c r="J760" s="46" t="inlineStr">
        <is>
          <t>66.04</t>
        </is>
      </c>
      <c r="K760" s="46" t="inlineStr">
        <is>
          <t>Gemma3:27b</t>
        </is>
      </c>
      <c r="L760" s="46" t="inlineStr">
        <is>
          <t>0.3</t>
        </is>
      </c>
      <c r="M760" s="73" t="inlineStr">
        <is>
          <t>Complete</t>
        </is>
      </c>
    </row>
    <row r="761" ht="13.5" customHeight="1" s="38">
      <c r="A761" s="46" t="inlineStr">
        <is>
          <t>B_S3_SC01_I08</t>
        </is>
      </c>
      <c r="B761" s="46" t="inlineStr">
        <is>
          <t>R_0987</t>
        </is>
      </c>
      <c r="C761" s="46" t="inlineStr">
        <is>
          <t>Strategy 3 – One-Shot + Structured Template</t>
        </is>
      </c>
      <c r="D761" s="46" t="inlineStr">
        <is>
          <t>SC01</t>
        </is>
      </c>
      <c r="E761" s="46" t="inlineStr">
        <is>
          <t>Business Email Compromise</t>
        </is>
      </c>
      <c r="F761" s="47" t="n">
        <v>8</v>
      </c>
      <c r="G761" s="46" t="inlineStr">
        <is>
          <t>Gemma3:27b via Ollama</t>
        </is>
      </c>
      <c r="H761" s="48" t="n">
        <v>46164</v>
      </c>
      <c r="I761" s="46" t="inlineStr">
        <is>
          <t>7.825</t>
        </is>
      </c>
      <c r="J761" s="46" t="inlineStr">
        <is>
          <t>67.73</t>
        </is>
      </c>
      <c r="K761" s="46" t="inlineStr">
        <is>
          <t>Gemma3:27b</t>
        </is>
      </c>
      <c r="L761" s="46" t="inlineStr">
        <is>
          <t>0.3</t>
        </is>
      </c>
      <c r="M761" s="73" t="inlineStr">
        <is>
          <t>Complete</t>
        </is>
      </c>
    </row>
    <row r="762" ht="13.5" customHeight="1" s="38">
      <c r="A762" s="46" t="inlineStr">
        <is>
          <t>B_S3_SC01_I09</t>
        </is>
      </c>
      <c r="B762" s="46" t="inlineStr">
        <is>
          <t>R_0688</t>
        </is>
      </c>
      <c r="C762" s="46" t="inlineStr">
        <is>
          <t>Strategy 3 – One-Shot + Structured Template</t>
        </is>
      </c>
      <c r="D762" s="46" t="inlineStr">
        <is>
          <t>SC01</t>
        </is>
      </c>
      <c r="E762" s="46" t="inlineStr">
        <is>
          <t>Business Email Compromise</t>
        </is>
      </c>
      <c r="F762" s="47" t="n">
        <v>9</v>
      </c>
      <c r="G762" s="46" t="inlineStr">
        <is>
          <t>Gemma3:27b via Ollama</t>
        </is>
      </c>
      <c r="H762" s="48" t="n">
        <v>46164</v>
      </c>
      <c r="I762" s="46" t="inlineStr">
        <is>
          <t>7.750</t>
        </is>
      </c>
      <c r="J762" s="46" t="inlineStr">
        <is>
          <t>66.84</t>
        </is>
      </c>
      <c r="K762" s="46" t="inlineStr">
        <is>
          <t>Gemma3:27b</t>
        </is>
      </c>
      <c r="L762" s="46" t="inlineStr">
        <is>
          <t>0.3</t>
        </is>
      </c>
      <c r="M762" s="73" t="inlineStr">
        <is>
          <t>Complete</t>
        </is>
      </c>
    </row>
    <row r="763" ht="13.5" customHeight="1" s="38">
      <c r="A763" s="46" t="inlineStr">
        <is>
          <t>B_S3_SC01_I10</t>
        </is>
      </c>
      <c r="B763" s="46" t="inlineStr">
        <is>
          <t>R_0859</t>
        </is>
      </c>
      <c r="C763" s="46" t="inlineStr">
        <is>
          <t>Strategy 3 – One-Shot + Structured Template</t>
        </is>
      </c>
      <c r="D763" s="46" t="inlineStr">
        <is>
          <t>SC01</t>
        </is>
      </c>
      <c r="E763" s="46" t="inlineStr">
        <is>
          <t>Business Email Compromise</t>
        </is>
      </c>
      <c r="F763" s="47" t="n">
        <v>10</v>
      </c>
      <c r="G763" s="46" t="inlineStr">
        <is>
          <t>Gemma3:27b via Ollama</t>
        </is>
      </c>
      <c r="H763" s="48" t="n">
        <v>46164</v>
      </c>
      <c r="I763" s="46" t="inlineStr">
        <is>
          <t>7.087</t>
        </is>
      </c>
      <c r="J763" s="46" t="inlineStr">
        <is>
          <t>67.73</t>
        </is>
      </c>
      <c r="K763" s="46" t="inlineStr">
        <is>
          <t>Gemma3:27b</t>
        </is>
      </c>
      <c r="L763" s="46" t="inlineStr">
        <is>
          <t>0.3</t>
        </is>
      </c>
      <c r="M763" s="73" t="inlineStr">
        <is>
          <t>Complete</t>
        </is>
      </c>
    </row>
    <row r="764" ht="13.5" customHeight="1" s="38">
      <c r="A764" s="46" t="inlineStr">
        <is>
          <t>B_S3_SC02_I01</t>
        </is>
      </c>
      <c r="B764" s="46" t="inlineStr">
        <is>
          <t>R_0320</t>
        </is>
      </c>
      <c r="C764" s="46" t="inlineStr">
        <is>
          <t>Strategy 3 – One-Shot + Structured Template</t>
        </is>
      </c>
      <c r="D764" s="46" t="inlineStr">
        <is>
          <t>SC02</t>
        </is>
      </c>
      <c r="E764" s="46" t="inlineStr">
        <is>
          <t>Business Email Compromise</t>
        </is>
      </c>
      <c r="F764" s="47" t="n">
        <v>1</v>
      </c>
      <c r="G764" s="46" t="inlineStr">
        <is>
          <t>Gemma3:27b via Ollama</t>
        </is>
      </c>
      <c r="H764" s="48" t="n">
        <v>46164</v>
      </c>
      <c r="I764" s="46" t="inlineStr">
        <is>
          <t>7.828</t>
        </is>
      </c>
      <c r="J764" s="46" t="inlineStr">
        <is>
          <t>67.70</t>
        </is>
      </c>
      <c r="K764" s="46" t="inlineStr">
        <is>
          <t>Gemma3:27b</t>
        </is>
      </c>
      <c r="L764" s="46" t="inlineStr">
        <is>
          <t>0.3</t>
        </is>
      </c>
      <c r="M764" s="73" t="inlineStr">
        <is>
          <t>Complete</t>
        </is>
      </c>
    </row>
    <row r="765" ht="13.5" customHeight="1" s="38">
      <c r="A765" s="46" t="inlineStr">
        <is>
          <t>B_S3_SC02_I02</t>
        </is>
      </c>
      <c r="B765" s="46" t="inlineStr">
        <is>
          <t>R_0731</t>
        </is>
      </c>
      <c r="C765" s="46" t="inlineStr">
        <is>
          <t>Strategy 3 – One-Shot + Structured Template</t>
        </is>
      </c>
      <c r="D765" s="46" t="inlineStr">
        <is>
          <t>SC02</t>
        </is>
      </c>
      <c r="E765" s="46" t="inlineStr">
        <is>
          <t>Business Email Compromise</t>
        </is>
      </c>
      <c r="F765" s="47" t="n">
        <v>2</v>
      </c>
      <c r="G765" s="46" t="inlineStr">
        <is>
          <t>Gemma3:27b via Ollama</t>
        </is>
      </c>
      <c r="H765" s="48" t="n">
        <v>46164</v>
      </c>
      <c r="I765" s="46" t="inlineStr">
        <is>
          <t>8.402</t>
        </is>
      </c>
      <c r="J765" s="46" t="inlineStr">
        <is>
          <t>67.61</t>
        </is>
      </c>
      <c r="K765" s="46" t="inlineStr">
        <is>
          <t>Gemma3:27b</t>
        </is>
      </c>
      <c r="L765" s="46" t="inlineStr">
        <is>
          <t>0.3</t>
        </is>
      </c>
      <c r="M765" s="73" t="inlineStr">
        <is>
          <t>Complete</t>
        </is>
      </c>
    </row>
    <row r="766" ht="13.5" customHeight="1" s="38">
      <c r="A766" s="46" t="inlineStr">
        <is>
          <t>B_S3_SC02_I03</t>
        </is>
      </c>
      <c r="B766" s="46" t="inlineStr">
        <is>
          <t>R_0206</t>
        </is>
      </c>
      <c r="C766" s="46" t="inlineStr">
        <is>
          <t>Strategy 3 – One-Shot + Structured Template</t>
        </is>
      </c>
      <c r="D766" s="46" t="inlineStr">
        <is>
          <t>SC02</t>
        </is>
      </c>
      <c r="E766" s="46" t="inlineStr">
        <is>
          <t>Business Email Compromise</t>
        </is>
      </c>
      <c r="F766" s="47" t="n">
        <v>3</v>
      </c>
      <c r="G766" s="46" t="inlineStr">
        <is>
          <t>Gemma3:27b via Ollama</t>
        </is>
      </c>
      <c r="H766" s="48" t="n">
        <v>46164</v>
      </c>
      <c r="I766" s="46" t="inlineStr">
        <is>
          <t>8.161</t>
        </is>
      </c>
      <c r="J766" s="46" t="inlineStr">
        <is>
          <t>66.90</t>
        </is>
      </c>
      <c r="K766" s="46" t="inlineStr">
        <is>
          <t>Gemma3:27b</t>
        </is>
      </c>
      <c r="L766" s="46" t="inlineStr">
        <is>
          <t>0.3</t>
        </is>
      </c>
      <c r="M766" s="73" t="inlineStr">
        <is>
          <t>Complete</t>
        </is>
      </c>
    </row>
    <row r="767" ht="13.5" customHeight="1" s="38">
      <c r="A767" s="46" t="inlineStr">
        <is>
          <t>B_S3_SC02_I04</t>
        </is>
      </c>
      <c r="B767" s="46" t="inlineStr">
        <is>
          <t>R_0707</t>
        </is>
      </c>
      <c r="C767" s="46" t="inlineStr">
        <is>
          <t>Strategy 3 – One-Shot + Structured Template</t>
        </is>
      </c>
      <c r="D767" s="46" t="inlineStr">
        <is>
          <t>SC02</t>
        </is>
      </c>
      <c r="E767" s="46" t="inlineStr">
        <is>
          <t>Business Email Compromise</t>
        </is>
      </c>
      <c r="F767" s="47" t="n">
        <v>4</v>
      </c>
      <c r="G767" s="46" t="inlineStr">
        <is>
          <t>Gemma3:27b via Ollama</t>
        </is>
      </c>
      <c r="H767" s="48" t="n">
        <v>46164</v>
      </c>
      <c r="I767" s="46" t="inlineStr">
        <is>
          <t>7.702</t>
        </is>
      </c>
      <c r="J767" s="46" t="inlineStr">
        <is>
          <t>67.51</t>
        </is>
      </c>
      <c r="K767" s="46" t="inlineStr">
        <is>
          <t>Gemma3:27b</t>
        </is>
      </c>
      <c r="L767" s="46" t="inlineStr">
        <is>
          <t>0.3</t>
        </is>
      </c>
      <c r="M767" s="73" t="inlineStr">
        <is>
          <t>Complete</t>
        </is>
      </c>
    </row>
    <row r="768" ht="13.5" customHeight="1" s="38">
      <c r="A768" s="46" t="inlineStr">
        <is>
          <t>B_S3_SC02_I05</t>
        </is>
      </c>
      <c r="B768" s="46" t="inlineStr">
        <is>
          <t>R_0954</t>
        </is>
      </c>
      <c r="C768" s="46" t="inlineStr">
        <is>
          <t>Strategy 3 – One-Shot + Structured Template</t>
        </is>
      </c>
      <c r="D768" s="46" t="inlineStr">
        <is>
          <t>SC02</t>
        </is>
      </c>
      <c r="E768" s="46" t="inlineStr">
        <is>
          <t>Business Email Compromise</t>
        </is>
      </c>
      <c r="F768" s="47" t="n">
        <v>5</v>
      </c>
      <c r="G768" s="46" t="inlineStr">
        <is>
          <t>Gemma3:27b via Ollama</t>
        </is>
      </c>
      <c r="H768" s="48" t="n">
        <v>46164</v>
      </c>
      <c r="I768" s="46" t="inlineStr">
        <is>
          <t>7.412</t>
        </is>
      </c>
      <c r="J768" s="46" t="inlineStr">
        <is>
          <t>67.59</t>
        </is>
      </c>
      <c r="K768" s="46" t="inlineStr">
        <is>
          <t>Gemma3:27b</t>
        </is>
      </c>
      <c r="L768" s="46" t="inlineStr">
        <is>
          <t>0.3</t>
        </is>
      </c>
      <c r="M768" s="73" t="inlineStr">
        <is>
          <t>Complete</t>
        </is>
      </c>
    </row>
    <row r="769" ht="13.5" customHeight="1" s="38">
      <c r="A769" s="46" t="inlineStr">
        <is>
          <t>B_S3_SC02_I06</t>
        </is>
      </c>
      <c r="B769" s="46" t="inlineStr">
        <is>
          <t>R_0799</t>
        </is>
      </c>
      <c r="C769" s="46" t="inlineStr">
        <is>
          <t>Strategy 3 – One-Shot + Structured Template</t>
        </is>
      </c>
      <c r="D769" s="46" t="inlineStr">
        <is>
          <t>SC02</t>
        </is>
      </c>
      <c r="E769" s="46" t="inlineStr">
        <is>
          <t>Business Email Compromise</t>
        </is>
      </c>
      <c r="F769" s="47" t="n">
        <v>6</v>
      </c>
      <c r="G769" s="46" t="inlineStr">
        <is>
          <t>Gemma3:27b via Ollama</t>
        </is>
      </c>
      <c r="H769" s="48" t="n">
        <v>46164</v>
      </c>
      <c r="I769" s="46" t="inlineStr">
        <is>
          <t>7.814</t>
        </is>
      </c>
      <c r="J769" s="46" t="inlineStr">
        <is>
          <t>67.06</t>
        </is>
      </c>
      <c r="K769" s="46" t="inlineStr">
        <is>
          <t>Gemma3:27b</t>
        </is>
      </c>
      <c r="L769" s="46" t="inlineStr">
        <is>
          <t>0.3</t>
        </is>
      </c>
      <c r="M769" s="73" t="inlineStr">
        <is>
          <t>Complete</t>
        </is>
      </c>
    </row>
    <row r="770" ht="13.5" customHeight="1" s="38">
      <c r="A770" s="46" t="inlineStr">
        <is>
          <t>B_S3_SC02_I07</t>
        </is>
      </c>
      <c r="B770" s="46" t="inlineStr">
        <is>
          <t>R_0881</t>
        </is>
      </c>
      <c r="C770" s="46" t="inlineStr">
        <is>
          <t>Strategy 3 – One-Shot + Structured Template</t>
        </is>
      </c>
      <c r="D770" s="46" t="inlineStr">
        <is>
          <t>SC02</t>
        </is>
      </c>
      <c r="E770" s="46" t="inlineStr">
        <is>
          <t>Business Email Compromise</t>
        </is>
      </c>
      <c r="F770" s="47" t="n">
        <v>7</v>
      </c>
      <c r="G770" s="46" t="inlineStr">
        <is>
          <t>Gemma3:27b via Ollama</t>
        </is>
      </c>
      <c r="H770" s="48" t="n">
        <v>46164</v>
      </c>
      <c r="I770" s="46" t="inlineStr">
        <is>
          <t>8.832</t>
        </is>
      </c>
      <c r="J770" s="46" t="inlineStr">
        <is>
          <t>64.99</t>
        </is>
      </c>
      <c r="K770" s="46" t="inlineStr">
        <is>
          <t>Gemma3:27b</t>
        </is>
      </c>
      <c r="L770" s="46" t="inlineStr">
        <is>
          <t>0.3</t>
        </is>
      </c>
      <c r="M770" s="73" t="inlineStr">
        <is>
          <t>Complete</t>
        </is>
      </c>
    </row>
    <row r="771" ht="13.5" customHeight="1" s="38">
      <c r="A771" s="46" t="inlineStr">
        <is>
          <t>B_S3_SC02_I08</t>
        </is>
      </c>
      <c r="B771" s="46" t="inlineStr">
        <is>
          <t>R_0434</t>
        </is>
      </c>
      <c r="C771" s="46" t="inlineStr">
        <is>
          <t>Strategy 3 – One-Shot + Structured Template</t>
        </is>
      </c>
      <c r="D771" s="46" t="inlineStr">
        <is>
          <t>SC02</t>
        </is>
      </c>
      <c r="E771" s="46" t="inlineStr">
        <is>
          <t>Business Email Compromise</t>
        </is>
      </c>
      <c r="F771" s="47" t="n">
        <v>8</v>
      </c>
      <c r="G771" s="46" t="inlineStr">
        <is>
          <t>Gemma3:27b via Ollama</t>
        </is>
      </c>
      <c r="H771" s="48" t="n">
        <v>46164</v>
      </c>
      <c r="I771" s="46" t="inlineStr">
        <is>
          <t>7.479</t>
        </is>
      </c>
      <c r="J771" s="46" t="inlineStr">
        <is>
          <t>66.46</t>
        </is>
      </c>
      <c r="K771" s="46" t="inlineStr">
        <is>
          <t>Gemma3:27b</t>
        </is>
      </c>
      <c r="L771" s="46" t="inlineStr">
        <is>
          <t>0.3</t>
        </is>
      </c>
      <c r="M771" s="73" t="inlineStr">
        <is>
          <t>Complete</t>
        </is>
      </c>
    </row>
    <row r="772" ht="13.5" customHeight="1" s="38">
      <c r="A772" s="46" t="inlineStr">
        <is>
          <t>B_S3_SC02_I09</t>
        </is>
      </c>
      <c r="B772" s="46" t="inlineStr">
        <is>
          <t>R_0622</t>
        </is>
      </c>
      <c r="C772" s="46" t="inlineStr">
        <is>
          <t>Strategy 3 – One-Shot + Structured Template</t>
        </is>
      </c>
      <c r="D772" s="46" t="inlineStr">
        <is>
          <t>SC02</t>
        </is>
      </c>
      <c r="E772" s="46" t="inlineStr">
        <is>
          <t>Business Email Compromise</t>
        </is>
      </c>
      <c r="F772" s="47" t="n">
        <v>9</v>
      </c>
      <c r="G772" s="46" t="inlineStr">
        <is>
          <t>Gemma3:27b via Ollama</t>
        </is>
      </c>
      <c r="H772" s="48" t="n">
        <v>46164</v>
      </c>
      <c r="I772" s="46" t="inlineStr">
        <is>
          <t>8.006</t>
        </is>
      </c>
      <c r="J772" s="46" t="inlineStr">
        <is>
          <t>67.32</t>
        </is>
      </c>
      <c r="K772" s="46" t="inlineStr">
        <is>
          <t>Gemma3:27b</t>
        </is>
      </c>
      <c r="L772" s="46" t="inlineStr">
        <is>
          <t>0.3</t>
        </is>
      </c>
      <c r="M772" s="73" t="inlineStr">
        <is>
          <t>Complete</t>
        </is>
      </c>
    </row>
    <row r="773" ht="13.5" customHeight="1" s="38">
      <c r="A773" s="46" t="inlineStr">
        <is>
          <t>B_S3_SC02_I10</t>
        </is>
      </c>
      <c r="B773" s="46" t="inlineStr">
        <is>
          <t>R_0541</t>
        </is>
      </c>
      <c r="C773" s="46" t="inlineStr">
        <is>
          <t>Strategy 3 – One-Shot + Structured Template</t>
        </is>
      </c>
      <c r="D773" s="46" t="inlineStr">
        <is>
          <t>SC02</t>
        </is>
      </c>
      <c r="E773" s="46" t="inlineStr">
        <is>
          <t>Business Email Compromise</t>
        </is>
      </c>
      <c r="F773" s="47" t="n">
        <v>10</v>
      </c>
      <c r="G773" s="46" t="inlineStr">
        <is>
          <t>Gemma3:27b via Ollama</t>
        </is>
      </c>
      <c r="H773" s="48" t="n">
        <v>46164</v>
      </c>
      <c r="I773" s="46" t="inlineStr">
        <is>
          <t>7.706</t>
        </is>
      </c>
      <c r="J773" s="46" t="inlineStr">
        <is>
          <t>67.09</t>
        </is>
      </c>
      <c r="K773" s="46" t="inlineStr">
        <is>
          <t>Gemma3:27b</t>
        </is>
      </c>
      <c r="L773" s="46" t="inlineStr">
        <is>
          <t>0.3</t>
        </is>
      </c>
      <c r="M773" s="73" t="inlineStr">
        <is>
          <t>Complete</t>
        </is>
      </c>
    </row>
    <row r="774" ht="13.5" customHeight="1" s="38">
      <c r="A774" s="46" t="inlineStr">
        <is>
          <t>B_S3_SC03_I01</t>
        </is>
      </c>
      <c r="B774" s="46" t="inlineStr">
        <is>
          <t>R_0870</t>
        </is>
      </c>
      <c r="C774" s="46" t="inlineStr">
        <is>
          <t>Strategy 3 – One-Shot + Structured Template</t>
        </is>
      </c>
      <c r="D774" s="46" t="inlineStr">
        <is>
          <t>SC03</t>
        </is>
      </c>
      <c r="E774" s="46" t="inlineStr">
        <is>
          <t>Business Email Compromise</t>
        </is>
      </c>
      <c r="F774" s="47" t="n">
        <v>1</v>
      </c>
      <c r="G774" s="46" t="inlineStr">
        <is>
          <t>Gemma3:27b via Ollama</t>
        </is>
      </c>
      <c r="H774" s="48" t="n">
        <v>46164</v>
      </c>
      <c r="I774" s="46" t="inlineStr">
        <is>
          <t>7.113</t>
        </is>
      </c>
      <c r="J774" s="46" t="inlineStr">
        <is>
          <t>67.90</t>
        </is>
      </c>
      <c r="K774" s="46" t="inlineStr">
        <is>
          <t>Gemma3:27b</t>
        </is>
      </c>
      <c r="L774" s="46" t="inlineStr">
        <is>
          <t>0.3</t>
        </is>
      </c>
      <c r="M774" s="73" t="inlineStr">
        <is>
          <t>Complete</t>
        </is>
      </c>
    </row>
    <row r="775" ht="13.5" customHeight="1" s="38">
      <c r="A775" s="46" t="inlineStr">
        <is>
          <t>B_S3_SC03_I02</t>
        </is>
      </c>
      <c r="B775" s="46" t="inlineStr">
        <is>
          <t>R_0170</t>
        </is>
      </c>
      <c r="C775" s="46" t="inlineStr">
        <is>
          <t>Strategy 3 – One-Shot + Structured Template</t>
        </is>
      </c>
      <c r="D775" s="46" t="inlineStr">
        <is>
          <t>SC03</t>
        </is>
      </c>
      <c r="E775" s="46" t="inlineStr">
        <is>
          <t>Business Email Compromise</t>
        </is>
      </c>
      <c r="F775" s="47" t="n">
        <v>2</v>
      </c>
      <c r="G775" s="46" t="inlineStr">
        <is>
          <t>Gemma3:27b via Ollama</t>
        </is>
      </c>
      <c r="H775" s="48" t="n">
        <v>46164</v>
      </c>
      <c r="I775" s="46" t="inlineStr">
        <is>
          <t>7.351</t>
        </is>
      </c>
      <c r="J775" s="46" t="inlineStr">
        <is>
          <t>68.02</t>
        </is>
      </c>
      <c r="K775" s="46" t="inlineStr">
        <is>
          <t>Gemma3:27b</t>
        </is>
      </c>
      <c r="L775" s="46" t="inlineStr">
        <is>
          <t>0.3</t>
        </is>
      </c>
      <c r="M775" s="73" t="inlineStr">
        <is>
          <t>Complete</t>
        </is>
      </c>
    </row>
    <row r="776" ht="13.5" customHeight="1" s="38">
      <c r="A776" s="46" t="inlineStr">
        <is>
          <t>B_S3_SC03_I03</t>
        </is>
      </c>
      <c r="B776" s="46" t="inlineStr">
        <is>
          <t>R_0563</t>
        </is>
      </c>
      <c r="C776" s="46" t="inlineStr">
        <is>
          <t>Strategy 3 – One-Shot + Structured Template</t>
        </is>
      </c>
      <c r="D776" s="46" t="inlineStr">
        <is>
          <t>SC03</t>
        </is>
      </c>
      <c r="E776" s="46" t="inlineStr">
        <is>
          <t>Business Email Compromise</t>
        </is>
      </c>
      <c r="F776" s="47" t="n">
        <v>3</v>
      </c>
      <c r="G776" s="46" t="inlineStr">
        <is>
          <t>Gemma3:27b via Ollama</t>
        </is>
      </c>
      <c r="H776" s="48" t="n">
        <v>46164</v>
      </c>
      <c r="I776" s="46" t="inlineStr">
        <is>
          <t>7.391</t>
        </is>
      </c>
      <c r="J776" s="46" t="inlineStr">
        <is>
          <t>67.79</t>
        </is>
      </c>
      <c r="K776" s="46" t="inlineStr">
        <is>
          <t>Gemma3:27b</t>
        </is>
      </c>
      <c r="L776" s="46" t="inlineStr">
        <is>
          <t>0.3</t>
        </is>
      </c>
      <c r="M776" s="73" t="inlineStr">
        <is>
          <t>Complete</t>
        </is>
      </c>
    </row>
    <row r="777" ht="13.5" customHeight="1" s="38">
      <c r="A777" s="46" t="inlineStr">
        <is>
          <t>B_S3_SC03_I04</t>
        </is>
      </c>
      <c r="B777" s="46" t="inlineStr">
        <is>
          <t>R_0487</t>
        </is>
      </c>
      <c r="C777" s="46" t="inlineStr">
        <is>
          <t>Strategy 3 – One-Shot + Structured Template</t>
        </is>
      </c>
      <c r="D777" s="46" t="inlineStr">
        <is>
          <t>SC03</t>
        </is>
      </c>
      <c r="E777" s="46" t="inlineStr">
        <is>
          <t>Business Email Compromise</t>
        </is>
      </c>
      <c r="F777" s="47" t="n">
        <v>4</v>
      </c>
      <c r="G777" s="46" t="inlineStr">
        <is>
          <t>Gemma3:27b via Ollama</t>
        </is>
      </c>
      <c r="H777" s="48" t="n">
        <v>46164</v>
      </c>
      <c r="I777" s="46" t="inlineStr">
        <is>
          <t>7.959</t>
        </is>
      </c>
      <c r="J777" s="46" t="inlineStr">
        <is>
          <t>66.34</t>
        </is>
      </c>
      <c r="K777" s="46" t="inlineStr">
        <is>
          <t>Gemma3:27b</t>
        </is>
      </c>
      <c r="L777" s="46" t="inlineStr">
        <is>
          <t>0.3</t>
        </is>
      </c>
      <c r="M777" s="73" t="inlineStr">
        <is>
          <t>Complete</t>
        </is>
      </c>
    </row>
    <row r="778" ht="13.5" customHeight="1" s="38">
      <c r="A778" s="46" t="inlineStr">
        <is>
          <t>B_S3_SC03_I05</t>
        </is>
      </c>
      <c r="B778" s="46" t="inlineStr">
        <is>
          <t>R_0676</t>
        </is>
      </c>
      <c r="C778" s="46" t="inlineStr">
        <is>
          <t>Strategy 3 – One-Shot + Structured Template</t>
        </is>
      </c>
      <c r="D778" s="46" t="inlineStr">
        <is>
          <t>SC03</t>
        </is>
      </c>
      <c r="E778" s="46" t="inlineStr">
        <is>
          <t>Business Email Compromise</t>
        </is>
      </c>
      <c r="F778" s="47" t="n">
        <v>5</v>
      </c>
      <c r="G778" s="46" t="inlineStr">
        <is>
          <t>Gemma3:27b via Ollama</t>
        </is>
      </c>
      <c r="H778" s="48" t="n">
        <v>46164</v>
      </c>
      <c r="I778" s="46" t="inlineStr">
        <is>
          <t>7.587</t>
        </is>
      </c>
      <c r="J778" s="46" t="inlineStr">
        <is>
          <t>64.72</t>
        </is>
      </c>
      <c r="K778" s="46" t="inlineStr">
        <is>
          <t>Gemma3:27b</t>
        </is>
      </c>
      <c r="L778" s="46" t="inlineStr">
        <is>
          <t>0.3</t>
        </is>
      </c>
      <c r="M778" s="73" t="inlineStr">
        <is>
          <t>Complete</t>
        </is>
      </c>
    </row>
    <row r="779" ht="13.5" customHeight="1" s="38">
      <c r="A779" s="46" t="inlineStr">
        <is>
          <t>B_S3_SC03_I06</t>
        </is>
      </c>
      <c r="B779" s="46" t="inlineStr">
        <is>
          <t>R_0132</t>
        </is>
      </c>
      <c r="C779" s="46" t="inlineStr">
        <is>
          <t>Strategy 3 – One-Shot + Structured Template</t>
        </is>
      </c>
      <c r="D779" s="46" t="inlineStr">
        <is>
          <t>SC03</t>
        </is>
      </c>
      <c r="E779" s="46" t="inlineStr">
        <is>
          <t>Business Email Compromise</t>
        </is>
      </c>
      <c r="F779" s="47" t="n">
        <v>6</v>
      </c>
      <c r="G779" s="46" t="inlineStr">
        <is>
          <t>Gemma3:27b via Ollama</t>
        </is>
      </c>
      <c r="H779" s="48" t="n">
        <v>46164</v>
      </c>
      <c r="I779" s="46" t="inlineStr">
        <is>
          <t>7.067</t>
        </is>
      </c>
      <c r="J779" s="46" t="inlineStr">
        <is>
          <t>64.66</t>
        </is>
      </c>
      <c r="K779" s="46" t="inlineStr">
        <is>
          <t>Gemma3:27b</t>
        </is>
      </c>
      <c r="L779" s="46" t="inlineStr">
        <is>
          <t>0.3</t>
        </is>
      </c>
      <c r="M779" s="73" t="inlineStr">
        <is>
          <t>Complete</t>
        </is>
      </c>
    </row>
    <row r="780" ht="13.5" customHeight="1" s="38">
      <c r="A780" s="46" t="inlineStr">
        <is>
          <t>B_S3_SC03_I07</t>
        </is>
      </c>
      <c r="B780" s="46" t="inlineStr">
        <is>
          <t>R_0129</t>
        </is>
      </c>
      <c r="C780" s="46" t="inlineStr">
        <is>
          <t>Strategy 3 – One-Shot + Structured Template</t>
        </is>
      </c>
      <c r="D780" s="46" t="inlineStr">
        <is>
          <t>SC03</t>
        </is>
      </c>
      <c r="E780" s="46" t="inlineStr">
        <is>
          <t>Business Email Compromise</t>
        </is>
      </c>
      <c r="F780" s="47" t="n">
        <v>7</v>
      </c>
      <c r="G780" s="46" t="inlineStr">
        <is>
          <t>Gemma3:27b via Ollama</t>
        </is>
      </c>
      <c r="H780" s="48" t="n">
        <v>46164</v>
      </c>
      <c r="I780" s="46" t="inlineStr">
        <is>
          <t>8.823</t>
        </is>
      </c>
      <c r="J780" s="46" t="inlineStr">
        <is>
          <t>62.79</t>
        </is>
      </c>
      <c r="K780" s="46" t="inlineStr">
        <is>
          <t>Gemma3:27b</t>
        </is>
      </c>
      <c r="L780" s="46" t="inlineStr">
        <is>
          <t>0.3</t>
        </is>
      </c>
      <c r="M780" s="73" t="inlineStr">
        <is>
          <t>Complete</t>
        </is>
      </c>
    </row>
    <row r="781" ht="13.5" customHeight="1" s="38">
      <c r="A781" s="46" t="inlineStr">
        <is>
          <t>B_S3_SC03_I08</t>
        </is>
      </c>
      <c r="B781" s="46" t="inlineStr">
        <is>
          <t>R_0546</t>
        </is>
      </c>
      <c r="C781" s="46" t="inlineStr">
        <is>
          <t>Strategy 3 – One-Shot + Structured Template</t>
        </is>
      </c>
      <c r="D781" s="46" t="inlineStr">
        <is>
          <t>SC03</t>
        </is>
      </c>
      <c r="E781" s="46" t="inlineStr">
        <is>
          <t>Business Email Compromise</t>
        </is>
      </c>
      <c r="F781" s="47" t="n">
        <v>8</v>
      </c>
      <c r="G781" s="46" t="inlineStr">
        <is>
          <t>Gemma3:27b via Ollama</t>
        </is>
      </c>
      <c r="H781" s="48" t="n">
        <v>46164</v>
      </c>
      <c r="I781" s="46" t="inlineStr">
        <is>
          <t>8.468</t>
        </is>
      </c>
      <c r="J781" s="46" t="inlineStr">
        <is>
          <t>63.77</t>
        </is>
      </c>
      <c r="K781" s="46" t="inlineStr">
        <is>
          <t>Gemma3:27b</t>
        </is>
      </c>
      <c r="L781" s="46" t="inlineStr">
        <is>
          <t>0.3</t>
        </is>
      </c>
      <c r="M781" s="73" t="inlineStr">
        <is>
          <t>Complete</t>
        </is>
      </c>
    </row>
    <row r="782" ht="13.5" customHeight="1" s="38">
      <c r="A782" s="46" t="inlineStr">
        <is>
          <t>B_S3_SC03_I09</t>
        </is>
      </c>
      <c r="B782" s="46" t="inlineStr">
        <is>
          <t>R_0779</t>
        </is>
      </c>
      <c r="C782" s="46" t="inlineStr">
        <is>
          <t>Strategy 3 – One-Shot + Structured Template</t>
        </is>
      </c>
      <c r="D782" s="46" t="inlineStr">
        <is>
          <t>SC03</t>
        </is>
      </c>
      <c r="E782" s="46" t="inlineStr">
        <is>
          <t>Business Email Compromise</t>
        </is>
      </c>
      <c r="F782" s="47" t="n">
        <v>9</v>
      </c>
      <c r="G782" s="46" t="inlineStr">
        <is>
          <t>Gemma3:27b via Ollama</t>
        </is>
      </c>
      <c r="H782" s="48" t="n">
        <v>46164</v>
      </c>
      <c r="I782" s="46" t="inlineStr">
        <is>
          <t>8.432</t>
        </is>
      </c>
      <c r="J782" s="46" t="inlineStr">
        <is>
          <t>62.38</t>
        </is>
      </c>
      <c r="K782" s="46" t="inlineStr">
        <is>
          <t>Gemma3:27b</t>
        </is>
      </c>
      <c r="L782" s="46" t="inlineStr">
        <is>
          <t>0.3</t>
        </is>
      </c>
      <c r="M782" s="73" t="inlineStr">
        <is>
          <t>Complete</t>
        </is>
      </c>
    </row>
    <row r="783" ht="13.5" customHeight="1" s="38">
      <c r="A783" s="46" t="inlineStr">
        <is>
          <t>B_S3_SC03_I10</t>
        </is>
      </c>
      <c r="B783" s="46" t="inlineStr">
        <is>
          <t>R_0071</t>
        </is>
      </c>
      <c r="C783" s="46" t="inlineStr">
        <is>
          <t>Strategy 3 – One-Shot + Structured Template</t>
        </is>
      </c>
      <c r="D783" s="46" t="inlineStr">
        <is>
          <t>SC03</t>
        </is>
      </c>
      <c r="E783" s="46" t="inlineStr">
        <is>
          <t>Business Email Compromise</t>
        </is>
      </c>
      <c r="F783" s="47" t="n">
        <v>10</v>
      </c>
      <c r="G783" s="46" t="inlineStr">
        <is>
          <t>Gemma3:27b via Ollama</t>
        </is>
      </c>
      <c r="H783" s="48" t="n">
        <v>46164</v>
      </c>
      <c r="I783" s="46" t="inlineStr">
        <is>
          <t>8.599</t>
        </is>
      </c>
      <c r="J783" s="46" t="inlineStr">
        <is>
          <t>63.96</t>
        </is>
      </c>
      <c r="K783" s="46" t="inlineStr">
        <is>
          <t>Gemma3:27b</t>
        </is>
      </c>
      <c r="L783" s="46" t="inlineStr">
        <is>
          <t>0.3</t>
        </is>
      </c>
      <c r="M783" s="73" t="inlineStr">
        <is>
          <t>Complete</t>
        </is>
      </c>
    </row>
    <row r="784" ht="13.5" customHeight="1" s="38">
      <c r="A784" s="46" t="inlineStr">
        <is>
          <t>B_S3_SC04_I01</t>
        </is>
      </c>
      <c r="B784" s="46" t="inlineStr">
        <is>
          <t>R_0498</t>
        </is>
      </c>
      <c r="C784" s="46" t="inlineStr">
        <is>
          <t>Strategy 3 – One-Shot + Structured Template</t>
        </is>
      </c>
      <c r="D784" s="46" t="inlineStr">
        <is>
          <t>SC04</t>
        </is>
      </c>
      <c r="E784" s="46" t="inlineStr">
        <is>
          <t>Business Email Compromise</t>
        </is>
      </c>
      <c r="F784" s="47" t="n">
        <v>1</v>
      </c>
      <c r="G784" s="46" t="inlineStr">
        <is>
          <t>Gemma3:27b via Ollama</t>
        </is>
      </c>
      <c r="H784" s="48" t="n">
        <v>46166</v>
      </c>
      <c r="I784" s="46" t="inlineStr">
        <is>
          <t>7.353</t>
        </is>
      </c>
      <c r="J784" s="46" t="inlineStr">
        <is>
          <t>67.18</t>
        </is>
      </c>
      <c r="K784" s="46" t="inlineStr">
        <is>
          <t>Gemma3:27b</t>
        </is>
      </c>
      <c r="L784" s="46" t="inlineStr">
        <is>
          <t>0.3</t>
        </is>
      </c>
      <c r="M784" s="73" t="inlineStr">
        <is>
          <t>Complete</t>
        </is>
      </c>
    </row>
    <row r="785" ht="13.5" customHeight="1" s="38">
      <c r="A785" s="46" t="inlineStr">
        <is>
          <t>B_S3_SC04_I02</t>
        </is>
      </c>
      <c r="B785" s="46" t="inlineStr">
        <is>
          <t>R_0750</t>
        </is>
      </c>
      <c r="C785" s="46" t="inlineStr">
        <is>
          <t>Strategy 3 – One-Shot + Structured Template</t>
        </is>
      </c>
      <c r="D785" s="46" t="inlineStr">
        <is>
          <t>SC04</t>
        </is>
      </c>
      <c r="E785" s="46" t="inlineStr">
        <is>
          <t>Business Email Compromise</t>
        </is>
      </c>
      <c r="F785" s="47" t="n">
        <v>2</v>
      </c>
      <c r="G785" s="46" t="inlineStr">
        <is>
          <t>Gemma3:27b via Ollama</t>
        </is>
      </c>
      <c r="H785" s="48" t="n">
        <v>46166</v>
      </c>
      <c r="I785" s="46" t="inlineStr">
        <is>
          <t>8.179</t>
        </is>
      </c>
      <c r="J785" s="46" t="inlineStr">
        <is>
          <t>64.80</t>
        </is>
      </c>
      <c r="K785" s="46" t="inlineStr">
        <is>
          <t>Gemma3:27b</t>
        </is>
      </c>
      <c r="L785" s="46" t="inlineStr">
        <is>
          <t>0.3</t>
        </is>
      </c>
      <c r="M785" s="73" t="inlineStr">
        <is>
          <t>Complete</t>
        </is>
      </c>
    </row>
    <row r="786" ht="13.5" customHeight="1" s="38">
      <c r="A786" s="46" t="inlineStr">
        <is>
          <t>B_S3_SC04_I03</t>
        </is>
      </c>
      <c r="B786" s="46" t="inlineStr">
        <is>
          <t>R_0088</t>
        </is>
      </c>
      <c r="C786" s="46" t="inlineStr">
        <is>
          <t>Strategy 3 – One-Shot + Structured Template</t>
        </is>
      </c>
      <c r="D786" s="46" t="inlineStr">
        <is>
          <t>SC04</t>
        </is>
      </c>
      <c r="E786" s="46" t="inlineStr">
        <is>
          <t>Business Email Compromise</t>
        </is>
      </c>
      <c r="F786" s="47" t="n">
        <v>3</v>
      </c>
      <c r="G786" s="46" t="inlineStr">
        <is>
          <t>Gemma3:27b via Ollama</t>
        </is>
      </c>
      <c r="H786" s="48" t="n">
        <v>46166</v>
      </c>
      <c r="I786" s="46" t="inlineStr">
        <is>
          <t>8.054</t>
        </is>
      </c>
      <c r="J786" s="46" t="inlineStr">
        <is>
          <t>67.91</t>
        </is>
      </c>
      <c r="K786" s="46" t="inlineStr">
        <is>
          <t>Gemma3:27b</t>
        </is>
      </c>
      <c r="L786" s="46" t="inlineStr">
        <is>
          <t>0.3</t>
        </is>
      </c>
      <c r="M786" s="73" t="inlineStr">
        <is>
          <t>Complete</t>
        </is>
      </c>
    </row>
    <row r="787" ht="13.5" customHeight="1" s="38">
      <c r="A787" s="46" t="inlineStr">
        <is>
          <t>B_S3_SC04_I04</t>
        </is>
      </c>
      <c r="B787" s="46" t="inlineStr">
        <is>
          <t>R_0948</t>
        </is>
      </c>
      <c r="C787" s="46" t="inlineStr">
        <is>
          <t>Strategy 3 – One-Shot + Structured Template</t>
        </is>
      </c>
      <c r="D787" s="46" t="inlineStr">
        <is>
          <t>SC04</t>
        </is>
      </c>
      <c r="E787" s="46" t="inlineStr">
        <is>
          <t>Business Email Compromise</t>
        </is>
      </c>
      <c r="F787" s="47" t="n">
        <v>4</v>
      </c>
      <c r="G787" s="46" t="inlineStr">
        <is>
          <t>Gemma3:27b via Ollama</t>
        </is>
      </c>
      <c r="H787" s="48" t="n">
        <v>46166</v>
      </c>
      <c r="I787" s="46" t="inlineStr">
        <is>
          <t>7.860</t>
        </is>
      </c>
      <c r="J787" s="46" t="inlineStr">
        <is>
          <t>67.81</t>
        </is>
      </c>
      <c r="K787" s="46" t="inlineStr">
        <is>
          <t>Gemma3:27b</t>
        </is>
      </c>
      <c r="L787" s="46" t="inlineStr">
        <is>
          <t>0.3</t>
        </is>
      </c>
      <c r="M787" s="73" t="inlineStr">
        <is>
          <t>Complete</t>
        </is>
      </c>
    </row>
    <row r="788" ht="13.5" customHeight="1" s="38">
      <c r="A788" s="46" t="inlineStr">
        <is>
          <t>B_S3_SC04_I05</t>
        </is>
      </c>
      <c r="B788" s="46" t="inlineStr">
        <is>
          <t>R_0880</t>
        </is>
      </c>
      <c r="C788" s="46" t="inlineStr">
        <is>
          <t>Strategy 3 – One-Shot + Structured Template</t>
        </is>
      </c>
      <c r="D788" s="46" t="inlineStr">
        <is>
          <t>SC04</t>
        </is>
      </c>
      <c r="E788" s="46" t="inlineStr">
        <is>
          <t>Business Email Compromise</t>
        </is>
      </c>
      <c r="F788" s="47" t="n">
        <v>5</v>
      </c>
      <c r="G788" s="46" t="inlineStr">
        <is>
          <t>Gemma3:27b via Ollama</t>
        </is>
      </c>
      <c r="H788" s="48" t="n">
        <v>46166</v>
      </c>
      <c r="I788" s="46" t="inlineStr">
        <is>
          <t>7.561</t>
        </is>
      </c>
      <c r="J788" s="46" t="inlineStr">
        <is>
          <t>66.93</t>
        </is>
      </c>
      <c r="K788" s="46" t="inlineStr">
        <is>
          <t>Gemma3:27b</t>
        </is>
      </c>
      <c r="L788" s="46" t="inlineStr">
        <is>
          <t>0.3</t>
        </is>
      </c>
      <c r="M788" s="73" t="inlineStr">
        <is>
          <t>Complete</t>
        </is>
      </c>
    </row>
    <row r="789" ht="13.5" customHeight="1" s="38">
      <c r="A789" s="46" t="inlineStr">
        <is>
          <t>B_S3_SC04_I06</t>
        </is>
      </c>
      <c r="B789" s="46" t="inlineStr">
        <is>
          <t>R_0247</t>
        </is>
      </c>
      <c r="C789" s="46" t="inlineStr">
        <is>
          <t>Strategy 3 – One-Shot + Structured Template</t>
        </is>
      </c>
      <c r="D789" s="46" t="inlineStr">
        <is>
          <t>SC04</t>
        </is>
      </c>
      <c r="E789" s="46" t="inlineStr">
        <is>
          <t>Business Email Compromise</t>
        </is>
      </c>
      <c r="F789" s="47" t="n">
        <v>6</v>
      </c>
      <c r="G789" s="46" t="inlineStr">
        <is>
          <t>Gemma3:27b via Ollama</t>
        </is>
      </c>
      <c r="H789" s="48" t="n">
        <v>46166</v>
      </c>
      <c r="I789" s="46" t="inlineStr">
        <is>
          <t>7.138</t>
        </is>
      </c>
      <c r="J789" s="46" t="inlineStr">
        <is>
          <t>67.66</t>
        </is>
      </c>
      <c r="K789" s="46" t="inlineStr">
        <is>
          <t>Gemma3:27b</t>
        </is>
      </c>
      <c r="L789" s="46" t="inlineStr">
        <is>
          <t>0.3</t>
        </is>
      </c>
      <c r="M789" s="73" t="inlineStr">
        <is>
          <t>Complete</t>
        </is>
      </c>
    </row>
    <row r="790" ht="13.5" customHeight="1" s="38">
      <c r="A790" s="46" t="inlineStr">
        <is>
          <t>B_S3_SC04_I07</t>
        </is>
      </c>
      <c r="B790" s="46" t="inlineStr">
        <is>
          <t>R_0060</t>
        </is>
      </c>
      <c r="C790" s="46" t="inlineStr">
        <is>
          <t>Strategy 3 – One-Shot + Structured Template</t>
        </is>
      </c>
      <c r="D790" s="46" t="inlineStr">
        <is>
          <t>SC04</t>
        </is>
      </c>
      <c r="E790" s="46" t="inlineStr">
        <is>
          <t>Business Email Compromise</t>
        </is>
      </c>
      <c r="F790" s="47" t="n">
        <v>7</v>
      </c>
      <c r="G790" s="46" t="inlineStr">
        <is>
          <t>Gemma3:27b via Ollama</t>
        </is>
      </c>
      <c r="H790" s="48" t="n">
        <v>46166</v>
      </c>
      <c r="I790" s="46" t="inlineStr">
        <is>
          <t>7.697</t>
        </is>
      </c>
      <c r="J790" s="46" t="inlineStr">
        <is>
          <t>67.56</t>
        </is>
      </c>
      <c r="K790" s="46" t="inlineStr">
        <is>
          <t>Gemma3:27b</t>
        </is>
      </c>
      <c r="L790" s="46" t="inlineStr">
        <is>
          <t>0.3</t>
        </is>
      </c>
      <c r="M790" s="73" t="inlineStr">
        <is>
          <t>Complete</t>
        </is>
      </c>
    </row>
    <row r="791" ht="13.5" customHeight="1" s="38">
      <c r="A791" s="46" t="inlineStr">
        <is>
          <t>B_S3_SC04_I08</t>
        </is>
      </c>
      <c r="B791" s="46" t="inlineStr">
        <is>
          <t>R_0246</t>
        </is>
      </c>
      <c r="C791" s="46" t="inlineStr">
        <is>
          <t>Strategy 3 – One-Shot + Structured Template</t>
        </is>
      </c>
      <c r="D791" s="46" t="inlineStr">
        <is>
          <t>SC04</t>
        </is>
      </c>
      <c r="E791" s="46" t="inlineStr">
        <is>
          <t>Business Email Compromise</t>
        </is>
      </c>
      <c r="F791" s="47" t="n">
        <v>8</v>
      </c>
      <c r="G791" s="46" t="inlineStr">
        <is>
          <t>Gemma3:27b via Ollama</t>
        </is>
      </c>
      <c r="H791" s="48" t="n">
        <v>46166</v>
      </c>
      <c r="I791" s="46" t="inlineStr">
        <is>
          <t>7.189</t>
        </is>
      </c>
      <c r="J791" s="46" t="inlineStr">
        <is>
          <t>67.74</t>
        </is>
      </c>
      <c r="K791" s="46" t="inlineStr">
        <is>
          <t>Gemma3:27b</t>
        </is>
      </c>
      <c r="L791" s="46" t="inlineStr">
        <is>
          <t>0.3</t>
        </is>
      </c>
      <c r="M791" s="73" t="inlineStr">
        <is>
          <t>Complete</t>
        </is>
      </c>
    </row>
    <row r="792" ht="13.5" customHeight="1" s="38">
      <c r="A792" s="46" t="inlineStr">
        <is>
          <t>B_S3_SC04_I09</t>
        </is>
      </c>
      <c r="B792" s="46" t="inlineStr">
        <is>
          <t>R_0315</t>
        </is>
      </c>
      <c r="C792" s="46" t="inlineStr">
        <is>
          <t>Strategy 3 – One-Shot + Structured Template</t>
        </is>
      </c>
      <c r="D792" s="46" t="inlineStr">
        <is>
          <t>SC04</t>
        </is>
      </c>
      <c r="E792" s="46" t="inlineStr">
        <is>
          <t>Business Email Compromise</t>
        </is>
      </c>
      <c r="F792" s="47" t="n">
        <v>9</v>
      </c>
      <c r="G792" s="46" t="inlineStr">
        <is>
          <t>Gemma3:27b via Ollama</t>
        </is>
      </c>
      <c r="H792" s="48" t="n">
        <v>46166</v>
      </c>
      <c r="I792" s="46" t="inlineStr">
        <is>
          <t>7.092</t>
        </is>
      </c>
      <c r="J792" s="46" t="inlineStr">
        <is>
          <t>67.69</t>
        </is>
      </c>
      <c r="K792" s="46" t="inlineStr">
        <is>
          <t>Gemma3:27b</t>
        </is>
      </c>
      <c r="L792" s="46" t="inlineStr">
        <is>
          <t>0.3</t>
        </is>
      </c>
      <c r="M792" s="73" t="inlineStr">
        <is>
          <t>Complete</t>
        </is>
      </c>
    </row>
    <row r="793" ht="13.5" customHeight="1" s="38">
      <c r="A793" s="46" t="inlineStr">
        <is>
          <t>B_S3_SC04_I10</t>
        </is>
      </c>
      <c r="B793" s="46" t="inlineStr">
        <is>
          <t>R_0372</t>
        </is>
      </c>
      <c r="C793" s="46" t="inlineStr">
        <is>
          <t>Strategy 3 – One-Shot + Structured Template</t>
        </is>
      </c>
      <c r="D793" s="46" t="inlineStr">
        <is>
          <t>SC04</t>
        </is>
      </c>
      <c r="E793" s="46" t="inlineStr">
        <is>
          <t>Business Email Compromise</t>
        </is>
      </c>
      <c r="F793" s="47" t="n">
        <v>10</v>
      </c>
      <c r="G793" s="46" t="inlineStr">
        <is>
          <t>Gemma3:27b via Ollama</t>
        </is>
      </c>
      <c r="H793" s="48" t="n">
        <v>46166</v>
      </c>
      <c r="I793" s="46" t="inlineStr">
        <is>
          <t>7.910</t>
        </is>
      </c>
      <c r="J793" s="46" t="inlineStr">
        <is>
          <t>67.00</t>
        </is>
      </c>
      <c r="K793" s="46" t="inlineStr">
        <is>
          <t>Gemma3:27b</t>
        </is>
      </c>
      <c r="L793" s="46" t="inlineStr">
        <is>
          <t>0.3</t>
        </is>
      </c>
      <c r="M793" s="73" t="inlineStr">
        <is>
          <t>Complete</t>
        </is>
      </c>
    </row>
    <row r="794" ht="13.5" customHeight="1" s="38">
      <c r="A794" s="46" t="inlineStr">
        <is>
          <t>B_S3_SC05_I01</t>
        </is>
      </c>
      <c r="B794" s="46" t="inlineStr">
        <is>
          <t>R_0823</t>
        </is>
      </c>
      <c r="C794" s="46" t="inlineStr">
        <is>
          <t>Strategy 3 – One-Shot + Structured Template</t>
        </is>
      </c>
      <c r="D794" s="46" t="inlineStr">
        <is>
          <t>SC05</t>
        </is>
      </c>
      <c r="E794" s="46" t="inlineStr">
        <is>
          <t>Business Email Compromise</t>
        </is>
      </c>
      <c r="F794" s="47" t="n">
        <v>1</v>
      </c>
      <c r="G794" s="46" t="inlineStr">
        <is>
          <t>Gemma3:27b via Ollama</t>
        </is>
      </c>
      <c r="H794" s="48" t="n">
        <v>46166</v>
      </c>
      <c r="I794" s="46" t="inlineStr">
        <is>
          <t>7.893</t>
        </is>
      </c>
      <c r="J794" s="46" t="inlineStr">
        <is>
          <t>67.28</t>
        </is>
      </c>
      <c r="K794" s="46" t="inlineStr">
        <is>
          <t>Gemma3:27b</t>
        </is>
      </c>
      <c r="L794" s="46" t="inlineStr">
        <is>
          <t>0.3</t>
        </is>
      </c>
      <c r="M794" s="73" t="inlineStr">
        <is>
          <t>Complete</t>
        </is>
      </c>
    </row>
    <row r="795" ht="13.5" customHeight="1" s="38">
      <c r="A795" s="46" t="inlineStr">
        <is>
          <t>B_S3_SC05_I02</t>
        </is>
      </c>
      <c r="B795" s="46" t="inlineStr">
        <is>
          <t>R_0020</t>
        </is>
      </c>
      <c r="C795" s="46" t="inlineStr">
        <is>
          <t>Strategy 3 – One-Shot + Structured Template</t>
        </is>
      </c>
      <c r="D795" s="46" t="inlineStr">
        <is>
          <t>SC05</t>
        </is>
      </c>
      <c r="E795" s="46" t="inlineStr">
        <is>
          <t>Business Email Compromise</t>
        </is>
      </c>
      <c r="F795" s="47" t="n">
        <v>2</v>
      </c>
      <c r="G795" s="46" t="inlineStr">
        <is>
          <t>Gemma3:27b via Ollama</t>
        </is>
      </c>
      <c r="H795" s="48" t="n">
        <v>46166</v>
      </c>
      <c r="I795" s="46" t="inlineStr">
        <is>
          <t>7.496</t>
        </is>
      </c>
      <c r="J795" s="46" t="inlineStr">
        <is>
          <t>66.57</t>
        </is>
      </c>
      <c r="K795" s="46" t="inlineStr">
        <is>
          <t>Gemma3:27b</t>
        </is>
      </c>
      <c r="L795" s="46" t="inlineStr">
        <is>
          <t>0.3</t>
        </is>
      </c>
      <c r="M795" s="73" t="inlineStr">
        <is>
          <t>Complete</t>
        </is>
      </c>
    </row>
    <row r="796" ht="13.5" customHeight="1" s="38">
      <c r="A796" s="46" t="inlineStr">
        <is>
          <t>B_S3_SC05_I03</t>
        </is>
      </c>
      <c r="B796" s="46" t="inlineStr">
        <is>
          <t>R_0501</t>
        </is>
      </c>
      <c r="C796" s="46" t="inlineStr">
        <is>
          <t>Strategy 3 – One-Shot + Structured Template</t>
        </is>
      </c>
      <c r="D796" s="46" t="inlineStr">
        <is>
          <t>SC05</t>
        </is>
      </c>
      <c r="E796" s="46" t="inlineStr">
        <is>
          <t>Business Email Compromise</t>
        </is>
      </c>
      <c r="F796" s="47" t="n">
        <v>3</v>
      </c>
      <c r="G796" s="46" t="inlineStr">
        <is>
          <t>Gemma3:27b via Ollama</t>
        </is>
      </c>
      <c r="H796" s="48" t="n">
        <v>46166</v>
      </c>
      <c r="I796" s="46" t="inlineStr">
        <is>
          <t>7.615</t>
        </is>
      </c>
      <c r="J796" s="46" t="inlineStr">
        <is>
          <t>67.37</t>
        </is>
      </c>
      <c r="K796" s="46" t="inlineStr">
        <is>
          <t>Gemma3:27b</t>
        </is>
      </c>
      <c r="L796" s="46" t="inlineStr">
        <is>
          <t>0.3</t>
        </is>
      </c>
      <c r="M796" s="73" t="inlineStr">
        <is>
          <t>Complete</t>
        </is>
      </c>
    </row>
    <row r="797" ht="13.5" customHeight="1" s="38">
      <c r="A797" s="46" t="inlineStr">
        <is>
          <t>B_S3_SC05_I04</t>
        </is>
      </c>
      <c r="B797" s="46" t="inlineStr">
        <is>
          <t>R_0332</t>
        </is>
      </c>
      <c r="C797" s="46" t="inlineStr">
        <is>
          <t>Strategy 3 – One-Shot + Structured Template</t>
        </is>
      </c>
      <c r="D797" s="46" t="inlineStr">
        <is>
          <t>SC05</t>
        </is>
      </c>
      <c r="E797" s="46" t="inlineStr">
        <is>
          <t>Business Email Compromise</t>
        </is>
      </c>
      <c r="F797" s="47" t="n">
        <v>4</v>
      </c>
      <c r="G797" s="46" t="inlineStr">
        <is>
          <t>Gemma3:27b via Ollama</t>
        </is>
      </c>
      <c r="H797" s="48" t="n">
        <v>46166</v>
      </c>
      <c r="I797" s="46" t="inlineStr">
        <is>
          <t>8.721</t>
        </is>
      </c>
      <c r="J797" s="46" t="inlineStr">
        <is>
          <t>66.16</t>
        </is>
      </c>
      <c r="K797" s="46" t="inlineStr">
        <is>
          <t>Gemma3:27b</t>
        </is>
      </c>
      <c r="L797" s="46" t="inlineStr">
        <is>
          <t>0.3</t>
        </is>
      </c>
      <c r="M797" s="73" t="inlineStr">
        <is>
          <t>Complete</t>
        </is>
      </c>
    </row>
    <row r="798" ht="13.5" customHeight="1" s="38">
      <c r="A798" s="46" t="inlineStr">
        <is>
          <t>B_S3_SC05_I05</t>
        </is>
      </c>
      <c r="B798" s="46" t="inlineStr">
        <is>
          <t>R_0614</t>
        </is>
      </c>
      <c r="C798" s="46" t="inlineStr">
        <is>
          <t>Strategy 3 – One-Shot + Structured Template</t>
        </is>
      </c>
      <c r="D798" s="46" t="inlineStr">
        <is>
          <t>SC05</t>
        </is>
      </c>
      <c r="E798" s="46" t="inlineStr">
        <is>
          <t>Business Email Compromise</t>
        </is>
      </c>
      <c r="F798" s="47" t="n">
        <v>5</v>
      </c>
      <c r="G798" s="46" t="inlineStr">
        <is>
          <t>Gemma3:27b via Ollama</t>
        </is>
      </c>
      <c r="H798" s="48" t="n">
        <v>46166</v>
      </c>
      <c r="I798" s="46" t="inlineStr">
        <is>
          <t>8.177</t>
        </is>
      </c>
      <c r="J798" s="46" t="inlineStr">
        <is>
          <t>67.62</t>
        </is>
      </c>
      <c r="K798" s="46" t="inlineStr">
        <is>
          <t>Gemma3:27b</t>
        </is>
      </c>
      <c r="L798" s="46" t="inlineStr">
        <is>
          <t>0.3</t>
        </is>
      </c>
      <c r="M798" s="73" t="inlineStr">
        <is>
          <t>Complete</t>
        </is>
      </c>
    </row>
    <row r="799" ht="13.5" customHeight="1" s="38">
      <c r="A799" s="46" t="inlineStr">
        <is>
          <t>B_S3_SC05_I06</t>
        </is>
      </c>
      <c r="B799" s="46" t="inlineStr">
        <is>
          <t>R_0001</t>
        </is>
      </c>
      <c r="C799" s="46" t="inlineStr">
        <is>
          <t>Strategy 3 – One-Shot + Structured Template</t>
        </is>
      </c>
      <c r="D799" s="46" t="inlineStr">
        <is>
          <t>SC05</t>
        </is>
      </c>
      <c r="E799" s="46" t="inlineStr">
        <is>
          <t>Business Email Compromise</t>
        </is>
      </c>
      <c r="F799" s="47" t="n">
        <v>6</v>
      </c>
      <c r="G799" s="46" t="inlineStr">
        <is>
          <t>Gemma3:27b via Ollama</t>
        </is>
      </c>
      <c r="H799" s="48" t="n">
        <v>46166</v>
      </c>
      <c r="I799" s="46" t="inlineStr">
        <is>
          <t>8.346</t>
        </is>
      </c>
      <c r="J799" s="46" t="inlineStr">
        <is>
          <t>66.98</t>
        </is>
      </c>
      <c r="K799" s="46" t="inlineStr">
        <is>
          <t>Gemma3:27b</t>
        </is>
      </c>
      <c r="L799" s="46" t="inlineStr">
        <is>
          <t>0.3</t>
        </is>
      </c>
      <c r="M799" s="73" t="inlineStr">
        <is>
          <t>Complete</t>
        </is>
      </c>
    </row>
    <row r="800" ht="13.5" customHeight="1" s="38">
      <c r="A800" s="46" t="inlineStr">
        <is>
          <t>B_S3_SC05_I07</t>
        </is>
      </c>
      <c r="B800" s="46" t="inlineStr">
        <is>
          <t>R_0544</t>
        </is>
      </c>
      <c r="C800" s="46" t="inlineStr">
        <is>
          <t>Strategy 3 – One-Shot + Structured Template</t>
        </is>
      </c>
      <c r="D800" s="46" t="inlineStr">
        <is>
          <t>SC05</t>
        </is>
      </c>
      <c r="E800" s="46" t="inlineStr">
        <is>
          <t>Business Email Compromise</t>
        </is>
      </c>
      <c r="F800" s="47" t="n">
        <v>7</v>
      </c>
      <c r="G800" s="46" t="inlineStr">
        <is>
          <t>Gemma3:27b via Ollama</t>
        </is>
      </c>
      <c r="H800" s="48" t="n">
        <v>46166</v>
      </c>
      <c r="I800" s="46" t="inlineStr">
        <is>
          <t>7.483</t>
        </is>
      </c>
      <c r="J800" s="46" t="inlineStr">
        <is>
          <t>67.49</t>
        </is>
      </c>
      <c r="K800" s="46" t="inlineStr">
        <is>
          <t>Gemma3:27b</t>
        </is>
      </c>
      <c r="L800" s="46" t="inlineStr">
        <is>
          <t>0.3</t>
        </is>
      </c>
      <c r="M800" s="73" t="inlineStr">
        <is>
          <t>Complete</t>
        </is>
      </c>
    </row>
    <row r="801" ht="13.5" customHeight="1" s="38">
      <c r="A801" s="46" t="inlineStr">
        <is>
          <t>B_S3_SC05_I08</t>
        </is>
      </c>
      <c r="B801" s="46" t="inlineStr">
        <is>
          <t>R_0798</t>
        </is>
      </c>
      <c r="C801" s="46" t="inlineStr">
        <is>
          <t>Strategy 3 – One-Shot + Structured Template</t>
        </is>
      </c>
      <c r="D801" s="46" t="inlineStr">
        <is>
          <t>SC05</t>
        </is>
      </c>
      <c r="E801" s="46" t="inlineStr">
        <is>
          <t>Business Email Compromise</t>
        </is>
      </c>
      <c r="F801" s="47" t="n">
        <v>8</v>
      </c>
      <c r="G801" s="46" t="inlineStr">
        <is>
          <t>Gemma3:27b via Ollama</t>
        </is>
      </c>
      <c r="H801" s="48" t="n">
        <v>46166</v>
      </c>
      <c r="I801" s="46" t="inlineStr">
        <is>
          <t>8.060</t>
        </is>
      </c>
      <c r="J801" s="46" t="inlineStr">
        <is>
          <t>67.49</t>
        </is>
      </c>
      <c r="K801" s="46" t="inlineStr">
        <is>
          <t>Gemma3:27b</t>
        </is>
      </c>
      <c r="L801" s="46" t="inlineStr">
        <is>
          <t>0.3</t>
        </is>
      </c>
      <c r="M801" s="73" t="inlineStr">
        <is>
          <t>Complete</t>
        </is>
      </c>
    </row>
    <row r="802" ht="13.5" customHeight="1" s="38">
      <c r="A802" s="46" t="inlineStr">
        <is>
          <t>B_S3_SC05_I09</t>
        </is>
      </c>
      <c r="B802" s="46" t="inlineStr">
        <is>
          <t>R_0553</t>
        </is>
      </c>
      <c r="C802" s="46" t="inlineStr">
        <is>
          <t>Strategy 3 – One-Shot + Structured Template</t>
        </is>
      </c>
      <c r="D802" s="46" t="inlineStr">
        <is>
          <t>SC05</t>
        </is>
      </c>
      <c r="E802" s="46" t="inlineStr">
        <is>
          <t>Business Email Compromise</t>
        </is>
      </c>
      <c r="F802" s="47" t="n">
        <v>9</v>
      </c>
      <c r="G802" s="46" t="inlineStr">
        <is>
          <t>Gemma3:27b via Ollama</t>
        </is>
      </c>
      <c r="H802" s="48" t="n">
        <v>46166</v>
      </c>
      <c r="I802" s="46" t="inlineStr">
        <is>
          <t>8.025</t>
        </is>
      </c>
      <c r="J802" s="46" t="inlineStr">
        <is>
          <t>67.54</t>
        </is>
      </c>
      <c r="K802" s="46" t="inlineStr">
        <is>
          <t>Gemma3:27b</t>
        </is>
      </c>
      <c r="L802" s="46" t="inlineStr">
        <is>
          <t>0.3</t>
        </is>
      </c>
      <c r="M802" s="73" t="inlineStr">
        <is>
          <t>Complete</t>
        </is>
      </c>
    </row>
    <row r="803" ht="13.5" customHeight="1" s="38">
      <c r="A803" s="46" t="inlineStr">
        <is>
          <t>B_S3_SC05_I10</t>
        </is>
      </c>
      <c r="B803" s="46" t="inlineStr">
        <is>
          <t>R_0166</t>
        </is>
      </c>
      <c r="C803" s="46" t="inlineStr">
        <is>
          <t>Strategy 3 – One-Shot + Structured Template</t>
        </is>
      </c>
      <c r="D803" s="46" t="inlineStr">
        <is>
          <t>SC05</t>
        </is>
      </c>
      <c r="E803" s="46" t="inlineStr">
        <is>
          <t>Business Email Compromise</t>
        </is>
      </c>
      <c r="F803" s="47" t="n">
        <v>10</v>
      </c>
      <c r="G803" s="46" t="inlineStr">
        <is>
          <t>Gemma3:27b via Ollama</t>
        </is>
      </c>
      <c r="H803" s="48" t="n">
        <v>46166</v>
      </c>
      <c r="I803" s="46" t="inlineStr">
        <is>
          <t>8.510</t>
        </is>
      </c>
      <c r="J803" s="46" t="inlineStr">
        <is>
          <t>66.75</t>
        </is>
      </c>
      <c r="K803" s="46" t="inlineStr">
        <is>
          <t>Gemma3:27b</t>
        </is>
      </c>
      <c r="L803" s="46" t="inlineStr">
        <is>
          <t>0.3</t>
        </is>
      </c>
      <c r="M803" s="73" t="inlineStr">
        <is>
          <t>Complete</t>
        </is>
      </c>
    </row>
    <row r="804" ht="13.5" customHeight="1" s="38">
      <c r="A804" s="46" t="inlineStr">
        <is>
          <t>R_S4_SC01_I01</t>
        </is>
      </c>
      <c r="B804" s="46" t="inlineStr">
        <is>
          <t>R_0813</t>
        </is>
      </c>
      <c r="C804" s="46" t="inlineStr">
        <is>
          <t>Strategy 4 – One-Shot + Template + BLUF</t>
        </is>
      </c>
      <c r="D804" s="46" t="inlineStr">
        <is>
          <t>SC01</t>
        </is>
      </c>
      <c r="E804" s="46" t="inlineStr">
        <is>
          <t>Ransomware</t>
        </is>
      </c>
      <c r="F804" s="47" t="n">
        <v>1</v>
      </c>
      <c r="G804" s="46" t="inlineStr">
        <is>
          <t>Gemma3:27b via Ollama</t>
        </is>
      </c>
      <c r="H804" s="48" t="n">
        <v>46164</v>
      </c>
      <c r="I804" s="46" t="inlineStr">
        <is>
          <t>7.084</t>
        </is>
      </c>
      <c r="J804" s="46" t="inlineStr">
        <is>
          <t>66.63</t>
        </is>
      </c>
      <c r="K804" s="46" t="inlineStr">
        <is>
          <t>Gemma3:27b</t>
        </is>
      </c>
      <c r="L804" s="46" t="inlineStr">
        <is>
          <t>0.3</t>
        </is>
      </c>
      <c r="M804" s="73" t="inlineStr">
        <is>
          <t>Complete</t>
        </is>
      </c>
    </row>
    <row r="805" ht="13.5" customHeight="1" s="38">
      <c r="A805" s="46" t="inlineStr">
        <is>
          <t>R_S4_SC01_I02</t>
        </is>
      </c>
      <c r="B805" s="46" t="inlineStr">
        <is>
          <t>R_0383</t>
        </is>
      </c>
      <c r="C805" s="46" t="inlineStr">
        <is>
          <t>Strategy 4 – One-Shot + Template + BLUF</t>
        </is>
      </c>
      <c r="D805" s="46" t="inlineStr">
        <is>
          <t>SC01</t>
        </is>
      </c>
      <c r="E805" s="46" t="inlineStr">
        <is>
          <t>Ransomware</t>
        </is>
      </c>
      <c r="F805" s="47" t="n">
        <v>2</v>
      </c>
      <c r="G805" s="46" t="inlineStr">
        <is>
          <t>Gemma3:27b via Ollama</t>
        </is>
      </c>
      <c r="H805" s="48" t="n">
        <v>46164</v>
      </c>
      <c r="I805" s="46" t="inlineStr">
        <is>
          <t>6.829</t>
        </is>
      </c>
      <c r="J805" s="46" t="inlineStr">
        <is>
          <t>64.57</t>
        </is>
      </c>
      <c r="K805" s="46" t="inlineStr">
        <is>
          <t>Gemma3:27b</t>
        </is>
      </c>
      <c r="L805" s="46" t="inlineStr">
        <is>
          <t>0.3</t>
        </is>
      </c>
      <c r="M805" s="73" t="inlineStr">
        <is>
          <t>Complete</t>
        </is>
      </c>
    </row>
    <row r="806" ht="13.5" customHeight="1" s="38">
      <c r="A806" s="46" t="inlineStr">
        <is>
          <t>R_S4_SC01_I03</t>
        </is>
      </c>
      <c r="B806" s="46" t="inlineStr">
        <is>
          <t>R_0849</t>
        </is>
      </c>
      <c r="C806" s="46" t="inlineStr">
        <is>
          <t>Strategy 4 – One-Shot + Template + BLUF</t>
        </is>
      </c>
      <c r="D806" s="46" t="inlineStr">
        <is>
          <t>SC01</t>
        </is>
      </c>
      <c r="E806" s="46" t="inlineStr">
        <is>
          <t>Ransomware</t>
        </is>
      </c>
      <c r="F806" s="47" t="n">
        <v>3</v>
      </c>
      <c r="G806" s="46" t="inlineStr">
        <is>
          <t>Gemma3:27b via Ollama</t>
        </is>
      </c>
      <c r="H806" s="48" t="n">
        <v>46164</v>
      </c>
      <c r="I806" s="46" t="inlineStr">
        <is>
          <t>7.008</t>
        </is>
      </c>
      <c r="J806" s="46" t="inlineStr">
        <is>
          <t>64.35</t>
        </is>
      </c>
      <c r="K806" s="46" t="inlineStr">
        <is>
          <t>Gemma3:27b</t>
        </is>
      </c>
      <c r="L806" s="46" t="inlineStr">
        <is>
          <t>0.3</t>
        </is>
      </c>
      <c r="M806" s="73" t="inlineStr">
        <is>
          <t>Complete</t>
        </is>
      </c>
    </row>
    <row r="807" ht="13.5" customHeight="1" s="38">
      <c r="A807" s="46" t="inlineStr">
        <is>
          <t>R_S4_SC01_I04</t>
        </is>
      </c>
      <c r="B807" s="46" t="inlineStr">
        <is>
          <t>R_0989</t>
        </is>
      </c>
      <c r="C807" s="46" t="inlineStr">
        <is>
          <t>Strategy 4 – One-Shot + Template + BLUF</t>
        </is>
      </c>
      <c r="D807" s="46" t="inlineStr">
        <is>
          <t>SC01</t>
        </is>
      </c>
      <c r="E807" s="46" t="inlineStr">
        <is>
          <t>Ransomware</t>
        </is>
      </c>
      <c r="F807" s="47" t="n">
        <v>4</v>
      </c>
      <c r="G807" s="46" t="inlineStr">
        <is>
          <t>Gemma3:27b via Ollama</t>
        </is>
      </c>
      <c r="H807" s="48" t="n">
        <v>46164</v>
      </c>
      <c r="I807" s="46" t="inlineStr">
        <is>
          <t>7.909</t>
        </is>
      </c>
      <c r="J807" s="46" t="inlineStr">
        <is>
          <t>62.33</t>
        </is>
      </c>
      <c r="K807" s="46" t="inlineStr">
        <is>
          <t>Gemma3:27b</t>
        </is>
      </c>
      <c r="L807" s="46" t="inlineStr">
        <is>
          <t>0.3</t>
        </is>
      </c>
      <c r="M807" s="73" t="inlineStr">
        <is>
          <t>Complete</t>
        </is>
      </c>
    </row>
    <row r="808" ht="13.5" customHeight="1" s="38">
      <c r="A808" s="46" t="inlineStr">
        <is>
          <t>R_S4_SC01_I05</t>
        </is>
      </c>
      <c r="B808" s="46" t="inlineStr">
        <is>
          <t>R_0909</t>
        </is>
      </c>
      <c r="C808" s="46" t="inlineStr">
        <is>
          <t>Strategy 4 – One-Shot + Template + BLUF</t>
        </is>
      </c>
      <c r="D808" s="46" t="inlineStr">
        <is>
          <t>SC01</t>
        </is>
      </c>
      <c r="E808" s="46" t="inlineStr">
        <is>
          <t>Ransomware</t>
        </is>
      </c>
      <c r="F808" s="47" t="n">
        <v>5</v>
      </c>
      <c r="G808" s="46" t="inlineStr">
        <is>
          <t>Gemma3:27b via Ollama</t>
        </is>
      </c>
      <c r="H808" s="48" t="n">
        <v>46164</v>
      </c>
      <c r="I808" s="46" t="inlineStr">
        <is>
          <t>7.874</t>
        </is>
      </c>
      <c r="J808" s="46" t="inlineStr">
        <is>
          <t>64.39</t>
        </is>
      </c>
      <c r="K808" s="46" t="inlineStr">
        <is>
          <t>Gemma3:27b</t>
        </is>
      </c>
      <c r="L808" s="46" t="inlineStr">
        <is>
          <t>0.3</t>
        </is>
      </c>
      <c r="M808" s="73" t="inlineStr">
        <is>
          <t>Complete</t>
        </is>
      </c>
    </row>
    <row r="809" ht="13.5" customHeight="1" s="38">
      <c r="A809" s="46" t="inlineStr">
        <is>
          <t>R_S4_SC01_I06</t>
        </is>
      </c>
      <c r="B809" s="46" t="inlineStr">
        <is>
          <t>R_0811</t>
        </is>
      </c>
      <c r="C809" s="46" t="inlineStr">
        <is>
          <t>Strategy 4 – One-Shot + Template + BLUF</t>
        </is>
      </c>
      <c r="D809" s="46" t="inlineStr">
        <is>
          <t>SC01</t>
        </is>
      </c>
      <c r="E809" s="46" t="inlineStr">
        <is>
          <t>Ransomware</t>
        </is>
      </c>
      <c r="F809" s="47" t="n">
        <v>6</v>
      </c>
      <c r="G809" s="46" t="inlineStr">
        <is>
          <t>Gemma3:27b via Ollama</t>
        </is>
      </c>
      <c r="H809" s="48" t="n">
        <v>46164</v>
      </c>
      <c r="I809" s="46" t="inlineStr">
        <is>
          <t>7.319</t>
        </is>
      </c>
      <c r="J809" s="46" t="inlineStr">
        <is>
          <t>64.23</t>
        </is>
      </c>
      <c r="K809" s="46" t="inlineStr">
        <is>
          <t>Gemma3:27b</t>
        </is>
      </c>
      <c r="L809" s="46" t="inlineStr">
        <is>
          <t>0.3</t>
        </is>
      </c>
      <c r="M809" s="73" t="inlineStr">
        <is>
          <t>Complete</t>
        </is>
      </c>
    </row>
    <row r="810" ht="13.5" customHeight="1" s="38">
      <c r="A810" s="46" t="inlineStr">
        <is>
          <t>R_S4_SC01_I07</t>
        </is>
      </c>
      <c r="B810" s="46" t="inlineStr">
        <is>
          <t>R_0655</t>
        </is>
      </c>
      <c r="C810" s="46" t="inlineStr">
        <is>
          <t>Strategy 4 – One-Shot + Template + BLUF</t>
        </is>
      </c>
      <c r="D810" s="46" t="inlineStr">
        <is>
          <t>SC01</t>
        </is>
      </c>
      <c r="E810" s="46" t="inlineStr">
        <is>
          <t>Ransomware</t>
        </is>
      </c>
      <c r="F810" s="47" t="n">
        <v>7</v>
      </c>
      <c r="G810" s="46" t="inlineStr">
        <is>
          <t>Gemma3:27b via Ollama</t>
        </is>
      </c>
      <c r="H810" s="48" t="n">
        <v>46164</v>
      </c>
      <c r="I810" s="46" t="inlineStr">
        <is>
          <t>6.994</t>
        </is>
      </c>
      <c r="J810" s="46" t="inlineStr">
        <is>
          <t>64.48</t>
        </is>
      </c>
      <c r="K810" s="46" t="inlineStr">
        <is>
          <t>Gemma3:27b</t>
        </is>
      </c>
      <c r="L810" s="46" t="inlineStr">
        <is>
          <t>0.3</t>
        </is>
      </c>
      <c r="M810" s="73" t="inlineStr">
        <is>
          <t>Complete</t>
        </is>
      </c>
    </row>
    <row r="811" ht="13.5" customHeight="1" s="38">
      <c r="A811" s="46" t="inlineStr">
        <is>
          <t>R_S4_SC01_I08</t>
        </is>
      </c>
      <c r="B811" s="46" t="inlineStr">
        <is>
          <t>R_0306</t>
        </is>
      </c>
      <c r="C811" s="46" t="inlineStr">
        <is>
          <t>Strategy 4 – One-Shot + Template + BLUF</t>
        </is>
      </c>
      <c r="D811" s="46" t="inlineStr">
        <is>
          <t>SC01</t>
        </is>
      </c>
      <c r="E811" s="46" t="inlineStr">
        <is>
          <t>Ransomware</t>
        </is>
      </c>
      <c r="F811" s="47" t="n">
        <v>8</v>
      </c>
      <c r="G811" s="46" t="inlineStr">
        <is>
          <t>Gemma3:27b via Ollama</t>
        </is>
      </c>
      <c r="H811" s="48" t="n">
        <v>46164</v>
      </c>
      <c r="I811" s="46" t="inlineStr">
        <is>
          <t>7.247</t>
        </is>
      </c>
      <c r="J811" s="46" t="inlineStr">
        <is>
          <t>64.03</t>
        </is>
      </c>
      <c r="K811" s="46" t="inlineStr">
        <is>
          <t>Gemma3:27b</t>
        </is>
      </c>
      <c r="L811" s="46" t="inlineStr">
        <is>
          <t>0.3</t>
        </is>
      </c>
      <c r="M811" s="73" t="inlineStr">
        <is>
          <t>Complete</t>
        </is>
      </c>
    </row>
    <row r="812" ht="13.5" customHeight="1" s="38">
      <c r="A812" s="46" t="inlineStr">
        <is>
          <t>R_S4_SC01_I09</t>
        </is>
      </c>
      <c r="B812" s="46" t="inlineStr">
        <is>
          <t>R_0641</t>
        </is>
      </c>
      <c r="C812" s="46" t="inlineStr">
        <is>
          <t>Strategy 4 – One-Shot + Template + BLUF</t>
        </is>
      </c>
      <c r="D812" s="46" t="inlineStr">
        <is>
          <t>SC01</t>
        </is>
      </c>
      <c r="E812" s="46" t="inlineStr">
        <is>
          <t>Ransomware</t>
        </is>
      </c>
      <c r="F812" s="47" t="n">
        <v>9</v>
      </c>
      <c r="G812" s="46" t="inlineStr">
        <is>
          <t>Gemma3:27b via Ollama</t>
        </is>
      </c>
      <c r="H812" s="48" t="n">
        <v>46164</v>
      </c>
      <c r="I812" s="46" t="inlineStr">
        <is>
          <t>7.281</t>
        </is>
      </c>
      <c r="J812" s="46" t="inlineStr">
        <is>
          <t>62.08</t>
        </is>
      </c>
      <c r="K812" s="46" t="inlineStr">
        <is>
          <t>Gemma3:27b</t>
        </is>
      </c>
      <c r="L812" s="46" t="inlineStr">
        <is>
          <t>0.3</t>
        </is>
      </c>
      <c r="M812" s="73" t="inlineStr">
        <is>
          <t>Complete</t>
        </is>
      </c>
    </row>
    <row r="813" ht="13.5" customHeight="1" s="38">
      <c r="A813" s="46" t="inlineStr">
        <is>
          <t>R_S4_SC01_I10</t>
        </is>
      </c>
      <c r="B813" s="46" t="inlineStr">
        <is>
          <t>R_0109</t>
        </is>
      </c>
      <c r="C813" s="46" t="inlineStr">
        <is>
          <t>Strategy 4 – One-Shot + Template + BLUF</t>
        </is>
      </c>
      <c r="D813" s="46" t="inlineStr">
        <is>
          <t>SC01</t>
        </is>
      </c>
      <c r="E813" s="46" t="inlineStr">
        <is>
          <t>Ransomware</t>
        </is>
      </c>
      <c r="F813" s="47" t="n">
        <v>10</v>
      </c>
      <c r="G813" s="46" t="inlineStr">
        <is>
          <t>Gemma3:27b via Ollama</t>
        </is>
      </c>
      <c r="H813" s="48" t="n">
        <v>46164</v>
      </c>
      <c r="I813" s="46" t="inlineStr">
        <is>
          <t>8.230</t>
        </is>
      </c>
      <c r="J813" s="46" t="inlineStr">
        <is>
          <t>62.45</t>
        </is>
      </c>
      <c r="K813" s="46" t="inlineStr">
        <is>
          <t>Gemma3:27b</t>
        </is>
      </c>
      <c r="L813" s="46" t="inlineStr">
        <is>
          <t>0.3</t>
        </is>
      </c>
      <c r="M813" s="73" t="inlineStr">
        <is>
          <t>Complete</t>
        </is>
      </c>
    </row>
    <row r="814" ht="13.5" customHeight="1" s="38">
      <c r="A814" s="46" t="inlineStr">
        <is>
          <t>R_S4_SC02_I01</t>
        </is>
      </c>
      <c r="B814" s="46" t="inlineStr">
        <is>
          <t>R_0520</t>
        </is>
      </c>
      <c r="C814" s="46" t="inlineStr">
        <is>
          <t>Strategy 4 – One-Shot + Template + BLUF</t>
        </is>
      </c>
      <c r="D814" s="46" t="inlineStr">
        <is>
          <t>SC02</t>
        </is>
      </c>
      <c r="E814" s="46" t="inlineStr">
        <is>
          <t>Ransomware</t>
        </is>
      </c>
      <c r="F814" s="47" t="n">
        <v>1</v>
      </c>
      <c r="G814" s="46" t="inlineStr">
        <is>
          <t>Gemma3:27b via Ollama</t>
        </is>
      </c>
      <c r="H814" s="48" t="n">
        <v>46164</v>
      </c>
      <c r="I814" s="46" t="inlineStr">
        <is>
          <t>8.311</t>
        </is>
      </c>
      <c r="J814" s="46" t="inlineStr">
        <is>
          <t>64.37</t>
        </is>
      </c>
      <c r="K814" s="46" t="inlineStr">
        <is>
          <t>Gemma3:27b</t>
        </is>
      </c>
      <c r="L814" s="46" t="inlineStr">
        <is>
          <t>0.3</t>
        </is>
      </c>
      <c r="M814" s="73" t="inlineStr">
        <is>
          <t>Complete</t>
        </is>
      </c>
    </row>
    <row r="815" ht="13.5" customHeight="1" s="38">
      <c r="A815" s="46" t="inlineStr">
        <is>
          <t>R_S4_SC02_I02</t>
        </is>
      </c>
      <c r="B815" s="46" t="inlineStr">
        <is>
          <t>R_0183</t>
        </is>
      </c>
      <c r="C815" s="46" t="inlineStr">
        <is>
          <t>Strategy 4 – One-Shot + Template + BLUF</t>
        </is>
      </c>
      <c r="D815" s="46" t="inlineStr">
        <is>
          <t>SC02</t>
        </is>
      </c>
      <c r="E815" s="46" t="inlineStr">
        <is>
          <t>Ransomware</t>
        </is>
      </c>
      <c r="F815" s="47" t="n">
        <v>2</v>
      </c>
      <c r="G815" s="46" t="inlineStr">
        <is>
          <t>Gemma3:27b via Ollama</t>
        </is>
      </c>
      <c r="H815" s="48" t="n">
        <v>46164</v>
      </c>
      <c r="I815" s="46" t="inlineStr">
        <is>
          <t>8.012</t>
        </is>
      </c>
      <c r="J815" s="46" t="inlineStr">
        <is>
          <t>63.40</t>
        </is>
      </c>
      <c r="K815" s="46" t="inlineStr">
        <is>
          <t>Gemma3:27b</t>
        </is>
      </c>
      <c r="L815" s="46" t="inlineStr">
        <is>
          <t>0.3</t>
        </is>
      </c>
      <c r="M815" s="73" t="inlineStr">
        <is>
          <t>Complete</t>
        </is>
      </c>
    </row>
    <row r="816" ht="13.5" customHeight="1" s="38">
      <c r="A816" s="46" t="inlineStr">
        <is>
          <t>R_S4_SC02_I03</t>
        </is>
      </c>
      <c r="B816" s="46" t="inlineStr">
        <is>
          <t>R_0781</t>
        </is>
      </c>
      <c r="C816" s="46" t="inlineStr">
        <is>
          <t>Strategy 4 – One-Shot + Template + BLUF</t>
        </is>
      </c>
      <c r="D816" s="46" t="inlineStr">
        <is>
          <t>SC02</t>
        </is>
      </c>
      <c r="E816" s="46" t="inlineStr">
        <is>
          <t>Ransomware</t>
        </is>
      </c>
      <c r="F816" s="47" t="n">
        <v>3</v>
      </c>
      <c r="G816" s="46" t="inlineStr">
        <is>
          <t>Gemma3:27b via Ollama</t>
        </is>
      </c>
      <c r="H816" s="48" t="n">
        <v>46164</v>
      </c>
      <c r="I816" s="46" t="inlineStr">
        <is>
          <t>7.864</t>
        </is>
      </c>
      <c r="J816" s="46" t="inlineStr">
        <is>
          <t>64.60</t>
        </is>
      </c>
      <c r="K816" s="46" t="inlineStr">
        <is>
          <t>Gemma3:27b</t>
        </is>
      </c>
      <c r="L816" s="46" t="inlineStr">
        <is>
          <t>0.3</t>
        </is>
      </c>
      <c r="M816" s="73" t="inlineStr">
        <is>
          <t>Complete</t>
        </is>
      </c>
    </row>
    <row r="817" ht="13.5" customHeight="1" s="38">
      <c r="A817" s="46" t="inlineStr">
        <is>
          <t>R_S4_SC02_I04</t>
        </is>
      </c>
      <c r="B817" s="46" t="inlineStr">
        <is>
          <t>R_0513</t>
        </is>
      </c>
      <c r="C817" s="46" t="inlineStr">
        <is>
          <t>Strategy 4 – One-Shot + Template + BLUF</t>
        </is>
      </c>
      <c r="D817" s="46" t="inlineStr">
        <is>
          <t>SC02</t>
        </is>
      </c>
      <c r="E817" s="46" t="inlineStr">
        <is>
          <t>Ransomware</t>
        </is>
      </c>
      <c r="F817" s="47" t="n">
        <v>4</v>
      </c>
      <c r="G817" s="46" t="inlineStr">
        <is>
          <t>Gemma3:27b via Ollama</t>
        </is>
      </c>
      <c r="H817" s="48" t="n">
        <v>46164</v>
      </c>
      <c r="I817" s="46" t="inlineStr">
        <is>
          <t>8.015</t>
        </is>
      </c>
      <c r="J817" s="46" t="inlineStr">
        <is>
          <t>63.75</t>
        </is>
      </c>
      <c r="K817" s="46" t="inlineStr">
        <is>
          <t>Gemma3:27b</t>
        </is>
      </c>
      <c r="L817" s="46" t="inlineStr">
        <is>
          <t>0.3</t>
        </is>
      </c>
      <c r="M817" s="73" t="inlineStr">
        <is>
          <t>Complete</t>
        </is>
      </c>
    </row>
    <row r="818" ht="13.5" customHeight="1" s="38">
      <c r="A818" s="46" t="inlineStr">
        <is>
          <t>R_S4_SC02_I05</t>
        </is>
      </c>
      <c r="B818" s="46" t="inlineStr">
        <is>
          <t>R_0893</t>
        </is>
      </c>
      <c r="C818" s="46" t="inlineStr">
        <is>
          <t>Strategy 4 – One-Shot + Template + BLUF</t>
        </is>
      </c>
      <c r="D818" s="46" t="inlineStr">
        <is>
          <t>SC02</t>
        </is>
      </c>
      <c r="E818" s="46" t="inlineStr">
        <is>
          <t>Ransomware</t>
        </is>
      </c>
      <c r="F818" s="47" t="n">
        <v>5</v>
      </c>
      <c r="G818" s="46" t="inlineStr">
        <is>
          <t>Gemma3:27b via Ollama</t>
        </is>
      </c>
      <c r="H818" s="48" t="n">
        <v>46164</v>
      </c>
      <c r="I818" s="46" t="inlineStr">
        <is>
          <t>7.615</t>
        </is>
      </c>
      <c r="J818" s="46" t="inlineStr">
        <is>
          <t>66.58</t>
        </is>
      </c>
      <c r="K818" s="46" t="inlineStr">
        <is>
          <t>Gemma3:27b</t>
        </is>
      </c>
      <c r="L818" s="46" t="inlineStr">
        <is>
          <t>0.3</t>
        </is>
      </c>
      <c r="M818" s="73" t="inlineStr">
        <is>
          <t>Complete</t>
        </is>
      </c>
    </row>
    <row r="819" ht="13.5" customHeight="1" s="38">
      <c r="A819" s="46" t="inlineStr">
        <is>
          <t>R_S4_SC02_I06</t>
        </is>
      </c>
      <c r="B819" s="46" t="inlineStr">
        <is>
          <t>R_0737</t>
        </is>
      </c>
      <c r="C819" s="46" t="inlineStr">
        <is>
          <t>Strategy 4 – One-Shot + Template + BLUF</t>
        </is>
      </c>
      <c r="D819" s="46" t="inlineStr">
        <is>
          <t>SC02</t>
        </is>
      </c>
      <c r="E819" s="46" t="inlineStr">
        <is>
          <t>Ransomware</t>
        </is>
      </c>
      <c r="F819" s="47" t="n">
        <v>6</v>
      </c>
      <c r="G819" s="46" t="inlineStr">
        <is>
          <t>Gemma3:27b via Ollama</t>
        </is>
      </c>
      <c r="H819" s="48" t="n">
        <v>46164</v>
      </c>
      <c r="I819" s="46" t="inlineStr">
        <is>
          <t>7.571</t>
        </is>
      </c>
      <c r="J819" s="46" t="inlineStr">
        <is>
          <t>62.74</t>
        </is>
      </c>
      <c r="K819" s="46" t="inlineStr">
        <is>
          <t>Gemma3:27b</t>
        </is>
      </c>
      <c r="L819" s="46" t="inlineStr">
        <is>
          <t>0.3</t>
        </is>
      </c>
      <c r="M819" s="73" t="inlineStr">
        <is>
          <t>Complete</t>
        </is>
      </c>
    </row>
    <row r="820" ht="13.5" customHeight="1" s="38">
      <c r="A820" s="46" t="inlineStr">
        <is>
          <t>R_S4_SC02_I07</t>
        </is>
      </c>
      <c r="B820" s="46" t="inlineStr">
        <is>
          <t>R_0740</t>
        </is>
      </c>
      <c r="C820" s="46" t="inlineStr">
        <is>
          <t>Strategy 4 – One-Shot + Template + BLUF</t>
        </is>
      </c>
      <c r="D820" s="46" t="inlineStr">
        <is>
          <t>SC02</t>
        </is>
      </c>
      <c r="E820" s="46" t="inlineStr">
        <is>
          <t>Ransomware</t>
        </is>
      </c>
      <c r="F820" s="47" t="n">
        <v>7</v>
      </c>
      <c r="G820" s="46" t="inlineStr">
        <is>
          <t>Gemma3:27b via Ollama</t>
        </is>
      </c>
      <c r="H820" s="48" t="n">
        <v>46164</v>
      </c>
      <c r="I820" s="46" t="inlineStr">
        <is>
          <t>8.238</t>
        </is>
      </c>
      <c r="J820" s="46" t="inlineStr">
        <is>
          <t>62.63</t>
        </is>
      </c>
      <c r="K820" s="46" t="inlineStr">
        <is>
          <t>Gemma3:27b</t>
        </is>
      </c>
      <c r="L820" s="46" t="inlineStr">
        <is>
          <t>0.3</t>
        </is>
      </c>
      <c r="M820" s="73" t="inlineStr">
        <is>
          <t>Complete</t>
        </is>
      </c>
    </row>
    <row r="821" ht="13.5" customHeight="1" s="38">
      <c r="A821" s="46" t="inlineStr">
        <is>
          <t>R_S4_SC02_I08</t>
        </is>
      </c>
      <c r="B821" s="46" t="inlineStr">
        <is>
          <t>R_0004</t>
        </is>
      </c>
      <c r="C821" s="46" t="inlineStr">
        <is>
          <t>Strategy 4 – One-Shot + Template + BLUF</t>
        </is>
      </c>
      <c r="D821" s="46" t="inlineStr">
        <is>
          <t>SC02</t>
        </is>
      </c>
      <c r="E821" s="46" t="inlineStr">
        <is>
          <t>Ransomware</t>
        </is>
      </c>
      <c r="F821" s="47" t="n">
        <v>8</v>
      </c>
      <c r="G821" s="46" t="inlineStr">
        <is>
          <t>Gemma3:27b via Ollama</t>
        </is>
      </c>
      <c r="H821" s="48" t="n">
        <v>46164</v>
      </c>
      <c r="I821" s="46" t="inlineStr">
        <is>
          <t>7.209</t>
        </is>
      </c>
      <c r="J821" s="46" t="inlineStr">
        <is>
          <t>64.64</t>
        </is>
      </c>
      <c r="K821" s="46" t="inlineStr">
        <is>
          <t>Gemma3:27b</t>
        </is>
      </c>
      <c r="L821" s="46" t="inlineStr">
        <is>
          <t>0.3</t>
        </is>
      </c>
      <c r="M821" s="73" t="inlineStr">
        <is>
          <t>Complete</t>
        </is>
      </c>
    </row>
    <row r="822" ht="13.5" customHeight="1" s="38">
      <c r="A822" s="46" t="inlineStr">
        <is>
          <t>R_S4_SC02_I09</t>
        </is>
      </c>
      <c r="B822" s="46" t="inlineStr">
        <is>
          <t>R_0923</t>
        </is>
      </c>
      <c r="C822" s="46" t="inlineStr">
        <is>
          <t>Strategy 4 – One-Shot + Template + BLUF</t>
        </is>
      </c>
      <c r="D822" s="46" t="inlineStr">
        <is>
          <t>SC02</t>
        </is>
      </c>
      <c r="E822" s="46" t="inlineStr">
        <is>
          <t>Ransomware</t>
        </is>
      </c>
      <c r="F822" s="47" t="n">
        <v>9</v>
      </c>
      <c r="G822" s="46" t="inlineStr">
        <is>
          <t>Gemma3:27b via Ollama</t>
        </is>
      </c>
      <c r="H822" s="48" t="n">
        <v>46164</v>
      </c>
      <c r="I822" s="46" t="inlineStr">
        <is>
          <t>8.202</t>
        </is>
      </c>
      <c r="J822" s="46" t="inlineStr">
        <is>
          <t>64.50</t>
        </is>
      </c>
      <c r="K822" s="46" t="inlineStr">
        <is>
          <t>Gemma3:27b</t>
        </is>
      </c>
      <c r="L822" s="46" t="inlineStr">
        <is>
          <t>0.3</t>
        </is>
      </c>
      <c r="M822" s="73" t="inlineStr">
        <is>
          <t>Complete</t>
        </is>
      </c>
    </row>
    <row r="823" ht="13.5" customHeight="1" s="38">
      <c r="A823" s="46" t="inlineStr">
        <is>
          <t>R_S4_SC02_I10</t>
        </is>
      </c>
      <c r="B823" s="46" t="inlineStr">
        <is>
          <t>R_0162</t>
        </is>
      </c>
      <c r="C823" s="46" t="inlineStr">
        <is>
          <t>Strategy 4 – One-Shot + Template + BLUF</t>
        </is>
      </c>
      <c r="D823" s="46" t="inlineStr">
        <is>
          <t>SC02</t>
        </is>
      </c>
      <c r="E823" s="46" t="inlineStr">
        <is>
          <t>Ransomware</t>
        </is>
      </c>
      <c r="F823" s="47" t="n">
        <v>10</v>
      </c>
      <c r="G823" s="46" t="inlineStr">
        <is>
          <t>Gemma3:27b via Ollama</t>
        </is>
      </c>
      <c r="H823" s="48" t="n">
        <v>46164</v>
      </c>
      <c r="I823" s="46" t="inlineStr">
        <is>
          <t>7.312</t>
        </is>
      </c>
      <c r="J823" s="46" t="inlineStr">
        <is>
          <t>66.60</t>
        </is>
      </c>
      <c r="K823" s="46" t="inlineStr">
        <is>
          <t>Gemma3:27b</t>
        </is>
      </c>
      <c r="L823" s="46" t="inlineStr">
        <is>
          <t>0.3</t>
        </is>
      </c>
      <c r="M823" s="73" t="inlineStr">
        <is>
          <t>Complete</t>
        </is>
      </c>
    </row>
    <row r="824" ht="13.5" customHeight="1" s="38">
      <c r="A824" s="46" t="inlineStr">
        <is>
          <t>R_S4_SC03_I01</t>
        </is>
      </c>
      <c r="B824" s="46" t="inlineStr">
        <is>
          <t>R_0446</t>
        </is>
      </c>
      <c r="C824" s="46" t="inlineStr">
        <is>
          <t>Strategy 4 – One-Shot + Template + BLUF</t>
        </is>
      </c>
      <c r="D824" s="46" t="inlineStr">
        <is>
          <t>SC03</t>
        </is>
      </c>
      <c r="E824" s="46" t="inlineStr">
        <is>
          <t>Ransomware</t>
        </is>
      </c>
      <c r="F824" s="47" t="n">
        <v>1</v>
      </c>
      <c r="G824" s="46" t="inlineStr">
        <is>
          <t>Gemma3:27b via Ollama</t>
        </is>
      </c>
      <c r="H824" s="48" t="n">
        <v>46164</v>
      </c>
      <c r="I824" s="46" t="inlineStr">
        <is>
          <t>8.485</t>
        </is>
      </c>
      <c r="J824" s="46" t="inlineStr">
        <is>
          <t>64.82</t>
        </is>
      </c>
      <c r="K824" s="46" t="inlineStr">
        <is>
          <t>Gemma3:27b</t>
        </is>
      </c>
      <c r="L824" s="46" t="inlineStr">
        <is>
          <t>0.3</t>
        </is>
      </c>
      <c r="M824" s="73" t="inlineStr">
        <is>
          <t>Complete</t>
        </is>
      </c>
    </row>
    <row r="825" ht="13.5" customHeight="1" s="38">
      <c r="A825" s="46" t="inlineStr">
        <is>
          <t>R_S4_SC03_I02</t>
        </is>
      </c>
      <c r="B825" s="46" t="inlineStr">
        <is>
          <t>R_0946</t>
        </is>
      </c>
      <c r="C825" s="46" t="inlineStr">
        <is>
          <t>Strategy 4 – One-Shot + Template + BLUF</t>
        </is>
      </c>
      <c r="D825" s="46" t="inlineStr">
        <is>
          <t>SC03</t>
        </is>
      </c>
      <c r="E825" s="46" t="inlineStr">
        <is>
          <t>Ransomware</t>
        </is>
      </c>
      <c r="F825" s="47" t="n">
        <v>2</v>
      </c>
      <c r="G825" s="46" t="inlineStr">
        <is>
          <t>Gemma3:27b via Ollama</t>
        </is>
      </c>
      <c r="H825" s="48" t="n">
        <v>46164</v>
      </c>
      <c r="I825" s="46" t="inlineStr">
        <is>
          <t>7.949</t>
        </is>
      </c>
      <c r="J825" s="46" t="inlineStr">
        <is>
          <t>64.79</t>
        </is>
      </c>
      <c r="K825" s="46" t="inlineStr">
        <is>
          <t>Gemma3:27b</t>
        </is>
      </c>
      <c r="L825" s="46" t="inlineStr">
        <is>
          <t>0.3</t>
        </is>
      </c>
      <c r="M825" s="73" t="inlineStr">
        <is>
          <t>Complete</t>
        </is>
      </c>
    </row>
    <row r="826" ht="13.5" customHeight="1" s="38">
      <c r="A826" s="46" t="inlineStr">
        <is>
          <t>R_S4_SC03_I03</t>
        </is>
      </c>
      <c r="B826" s="46" t="inlineStr">
        <is>
          <t>R_0115</t>
        </is>
      </c>
      <c r="C826" s="46" t="inlineStr">
        <is>
          <t>Strategy 4 – One-Shot + Template + BLUF</t>
        </is>
      </c>
      <c r="D826" s="46" t="inlineStr">
        <is>
          <t>SC03</t>
        </is>
      </c>
      <c r="E826" s="46" t="inlineStr">
        <is>
          <t>Ransomware</t>
        </is>
      </c>
      <c r="F826" s="47" t="n">
        <v>3</v>
      </c>
      <c r="G826" s="46" t="inlineStr">
        <is>
          <t>Gemma3:27b via Ollama</t>
        </is>
      </c>
      <c r="H826" s="48" t="n">
        <v>46164</v>
      </c>
      <c r="I826" s="46" t="inlineStr">
        <is>
          <t>7.976</t>
        </is>
      </c>
      <c r="J826" s="46" t="inlineStr">
        <is>
          <t>64.44</t>
        </is>
      </c>
      <c r="K826" s="46" t="inlineStr">
        <is>
          <t>Gemma3:27b</t>
        </is>
      </c>
      <c r="L826" s="46" t="inlineStr">
        <is>
          <t>0.3</t>
        </is>
      </c>
      <c r="M826" s="73" t="inlineStr">
        <is>
          <t>Complete</t>
        </is>
      </c>
    </row>
    <row r="827" ht="13.5" customHeight="1" s="38">
      <c r="A827" s="46" t="inlineStr">
        <is>
          <t>R_S4_SC03_I04</t>
        </is>
      </c>
      <c r="B827" s="46" t="inlineStr">
        <is>
          <t>R_0971</t>
        </is>
      </c>
      <c r="C827" s="46" t="inlineStr">
        <is>
          <t>Strategy 4 – One-Shot + Template + BLUF</t>
        </is>
      </c>
      <c r="D827" s="46" t="inlineStr">
        <is>
          <t>SC03</t>
        </is>
      </c>
      <c r="E827" s="46" t="inlineStr">
        <is>
          <t>Ransomware</t>
        </is>
      </c>
      <c r="F827" s="47" t="n">
        <v>4</v>
      </c>
      <c r="G827" s="46" t="inlineStr">
        <is>
          <t>Gemma3:27b via Ollama</t>
        </is>
      </c>
      <c r="H827" s="48" t="n">
        <v>46164</v>
      </c>
      <c r="I827" s="46" t="inlineStr">
        <is>
          <t>8.163</t>
        </is>
      </c>
      <c r="J827" s="46" t="inlineStr">
        <is>
          <t>64.93</t>
        </is>
      </c>
      <c r="K827" s="46" t="inlineStr">
        <is>
          <t>Gemma3:27b</t>
        </is>
      </c>
      <c r="L827" s="46" t="inlineStr">
        <is>
          <t>0.3</t>
        </is>
      </c>
      <c r="M827" s="73" t="inlineStr">
        <is>
          <t>Complete</t>
        </is>
      </c>
    </row>
    <row r="828" ht="13.5" customHeight="1" s="38">
      <c r="A828" s="46" t="inlineStr">
        <is>
          <t>R_S4_SC03_I05</t>
        </is>
      </c>
      <c r="B828" s="46" t="inlineStr">
        <is>
          <t>R_0657</t>
        </is>
      </c>
      <c r="C828" s="46" t="inlineStr">
        <is>
          <t>Strategy 4 – One-Shot + Template + BLUF</t>
        </is>
      </c>
      <c r="D828" s="46" t="inlineStr">
        <is>
          <t>SC03</t>
        </is>
      </c>
      <c r="E828" s="46" t="inlineStr">
        <is>
          <t>Ransomware</t>
        </is>
      </c>
      <c r="F828" s="47" t="n">
        <v>5</v>
      </c>
      <c r="G828" s="46" t="inlineStr">
        <is>
          <t>Gemma3:27b via Ollama</t>
        </is>
      </c>
      <c r="H828" s="48" t="n">
        <v>46164</v>
      </c>
      <c r="I828" s="46" t="inlineStr">
        <is>
          <t>7.162</t>
        </is>
      </c>
      <c r="J828" s="46" t="inlineStr">
        <is>
          <t>63.53</t>
        </is>
      </c>
      <c r="K828" s="46" t="inlineStr">
        <is>
          <t>Gemma3:27b</t>
        </is>
      </c>
      <c r="L828" s="46" t="inlineStr">
        <is>
          <t>0.3</t>
        </is>
      </c>
      <c r="M828" s="73" t="inlineStr">
        <is>
          <t>Complete</t>
        </is>
      </c>
    </row>
    <row r="829" ht="13.5" customHeight="1" s="38">
      <c r="A829" s="46" t="inlineStr">
        <is>
          <t>R_S4_SC03_I06</t>
        </is>
      </c>
      <c r="B829" s="46" t="inlineStr">
        <is>
          <t>R_0788</t>
        </is>
      </c>
      <c r="C829" s="46" t="inlineStr">
        <is>
          <t>Strategy 4 – One-Shot + Template + BLUF</t>
        </is>
      </c>
      <c r="D829" s="46" t="inlineStr">
        <is>
          <t>SC03</t>
        </is>
      </c>
      <c r="E829" s="46" t="inlineStr">
        <is>
          <t>Ransomware</t>
        </is>
      </c>
      <c r="F829" s="47" t="n">
        <v>6</v>
      </c>
      <c r="G829" s="46" t="inlineStr">
        <is>
          <t>Gemma3:27b via Ollama</t>
        </is>
      </c>
      <c r="H829" s="48" t="n">
        <v>46164</v>
      </c>
      <c r="I829" s="46" t="inlineStr">
        <is>
          <t>8.578</t>
        </is>
      </c>
      <c r="J829" s="46" t="inlineStr">
        <is>
          <t>64.59</t>
        </is>
      </c>
      <c r="K829" s="46" t="inlineStr">
        <is>
          <t>Gemma3:27b</t>
        </is>
      </c>
      <c r="L829" s="46" t="inlineStr">
        <is>
          <t>0.3</t>
        </is>
      </c>
      <c r="M829" s="73" t="inlineStr">
        <is>
          <t>Complete</t>
        </is>
      </c>
    </row>
    <row r="830" ht="13.5" customHeight="1" s="38">
      <c r="A830" s="46" t="inlineStr">
        <is>
          <t>R_S4_SC03_I07</t>
        </is>
      </c>
      <c r="B830" s="46" t="inlineStr">
        <is>
          <t>R_0914</t>
        </is>
      </c>
      <c r="C830" s="46" t="inlineStr">
        <is>
          <t>Strategy 4 – One-Shot + Template + BLUF</t>
        </is>
      </c>
      <c r="D830" s="46" t="inlineStr">
        <is>
          <t>SC03</t>
        </is>
      </c>
      <c r="E830" s="46" t="inlineStr">
        <is>
          <t>Ransomware</t>
        </is>
      </c>
      <c r="F830" s="47" t="n">
        <v>7</v>
      </c>
      <c r="G830" s="46" t="inlineStr">
        <is>
          <t>Gemma3:27b via Ollama</t>
        </is>
      </c>
      <c r="H830" s="48" t="n">
        <v>46164</v>
      </c>
      <c r="I830" s="46" t="inlineStr">
        <is>
          <t>8.049</t>
        </is>
      </c>
      <c r="J830" s="46" t="inlineStr">
        <is>
          <t>63.61</t>
        </is>
      </c>
      <c r="K830" s="46" t="inlineStr">
        <is>
          <t>Gemma3:27b</t>
        </is>
      </c>
      <c r="L830" s="46" t="inlineStr">
        <is>
          <t>0.3</t>
        </is>
      </c>
      <c r="M830" s="73" t="inlineStr">
        <is>
          <t>Complete</t>
        </is>
      </c>
    </row>
    <row r="831" ht="13.5" customHeight="1" s="38">
      <c r="A831" s="46" t="inlineStr">
        <is>
          <t>R_S4_SC03_I08</t>
        </is>
      </c>
      <c r="B831" s="46" t="inlineStr">
        <is>
          <t>R_0769</t>
        </is>
      </c>
      <c r="C831" s="46" t="inlineStr">
        <is>
          <t>Strategy 4 – One-Shot + Template + BLUF</t>
        </is>
      </c>
      <c r="D831" s="46" t="inlineStr">
        <is>
          <t>SC03</t>
        </is>
      </c>
      <c r="E831" s="46" t="inlineStr">
        <is>
          <t>Ransomware</t>
        </is>
      </c>
      <c r="F831" s="47" t="n">
        <v>8</v>
      </c>
      <c r="G831" s="46" t="inlineStr">
        <is>
          <t>Gemma3:27b via Ollama</t>
        </is>
      </c>
      <c r="H831" s="48" t="n">
        <v>46164</v>
      </c>
      <c r="I831" s="46" t="inlineStr">
        <is>
          <t>8.964</t>
        </is>
      </c>
      <c r="J831" s="46" t="inlineStr">
        <is>
          <t>64.15</t>
        </is>
      </c>
      <c r="K831" s="46" t="inlineStr">
        <is>
          <t>Gemma3:27b</t>
        </is>
      </c>
      <c r="L831" s="46" t="inlineStr">
        <is>
          <t>0.3</t>
        </is>
      </c>
      <c r="M831" s="73" t="inlineStr">
        <is>
          <t>Complete</t>
        </is>
      </c>
    </row>
    <row r="832" ht="13.5" customHeight="1" s="38">
      <c r="A832" s="46" t="inlineStr">
        <is>
          <t>R_S4_SC03_I09</t>
        </is>
      </c>
      <c r="B832" s="46" t="inlineStr">
        <is>
          <t>R_0952</t>
        </is>
      </c>
      <c r="C832" s="46" t="inlineStr">
        <is>
          <t>Strategy 4 – One-Shot + Template + BLUF</t>
        </is>
      </c>
      <c r="D832" s="46" t="inlineStr">
        <is>
          <t>SC03</t>
        </is>
      </c>
      <c r="E832" s="46" t="inlineStr">
        <is>
          <t>Ransomware</t>
        </is>
      </c>
      <c r="F832" s="47" t="n">
        <v>9</v>
      </c>
      <c r="G832" s="46" t="inlineStr">
        <is>
          <t>Gemma3:27b via Ollama</t>
        </is>
      </c>
      <c r="H832" s="48" t="n">
        <v>46164</v>
      </c>
      <c r="I832" s="46" t="inlineStr">
        <is>
          <t>8.182</t>
        </is>
      </c>
      <c r="J832" s="46" t="inlineStr">
        <is>
          <t>65.02</t>
        </is>
      </c>
      <c r="K832" s="46" t="inlineStr">
        <is>
          <t>Gemma3:27b</t>
        </is>
      </c>
      <c r="L832" s="46" t="inlineStr">
        <is>
          <t>0.3</t>
        </is>
      </c>
      <c r="M832" s="73" t="inlineStr">
        <is>
          <t>Complete</t>
        </is>
      </c>
    </row>
    <row r="833" ht="13.5" customHeight="1" s="38">
      <c r="A833" s="46" t="inlineStr">
        <is>
          <t>R_S4_SC03_I10</t>
        </is>
      </c>
      <c r="B833" s="46" t="inlineStr">
        <is>
          <t>R_0699</t>
        </is>
      </c>
      <c r="C833" s="46" t="inlineStr">
        <is>
          <t>Strategy 4 – One-Shot + Template + BLUF</t>
        </is>
      </c>
      <c r="D833" s="46" t="inlineStr">
        <is>
          <t>SC03</t>
        </is>
      </c>
      <c r="E833" s="46" t="inlineStr">
        <is>
          <t>Ransomware</t>
        </is>
      </c>
      <c r="F833" s="47" t="n">
        <v>10</v>
      </c>
      <c r="G833" s="46" t="inlineStr">
        <is>
          <t>Gemma3:27b via Ollama</t>
        </is>
      </c>
      <c r="H833" s="48" t="n">
        <v>46164</v>
      </c>
      <c r="I833" s="46" t="inlineStr">
        <is>
          <t>7.649</t>
        </is>
      </c>
      <c r="J833" s="46" t="inlineStr">
        <is>
          <t>65.11</t>
        </is>
      </c>
      <c r="K833" s="46" t="inlineStr">
        <is>
          <t>Gemma3:27b</t>
        </is>
      </c>
      <c r="L833" s="46" t="inlineStr">
        <is>
          <t>0.3</t>
        </is>
      </c>
      <c r="M833" s="73" t="inlineStr">
        <is>
          <t>Complete</t>
        </is>
      </c>
    </row>
    <row r="834" ht="13.5" customHeight="1" s="38">
      <c r="A834" s="46" t="inlineStr">
        <is>
          <t>R_S4_SC04_I01</t>
        </is>
      </c>
      <c r="B834" s="46" t="inlineStr">
        <is>
          <t>R_0118</t>
        </is>
      </c>
      <c r="C834" s="46" t="inlineStr">
        <is>
          <t>Strategy 4 – One-Shot + Template + BLUF</t>
        </is>
      </c>
      <c r="D834" s="46" t="inlineStr">
        <is>
          <t>SC04</t>
        </is>
      </c>
      <c r="E834" s="46" t="inlineStr">
        <is>
          <t>Ransomware</t>
        </is>
      </c>
      <c r="F834" s="47" t="n">
        <v>1</v>
      </c>
      <c r="G834" s="46" t="inlineStr">
        <is>
          <t>Gemma3:27b via Ollama</t>
        </is>
      </c>
      <c r="H834" s="48" t="n">
        <v>46166</v>
      </c>
      <c r="I834" s="46" t="inlineStr">
        <is>
          <t>6.924</t>
        </is>
      </c>
      <c r="J834" s="46" t="inlineStr">
        <is>
          <t>68.03</t>
        </is>
      </c>
      <c r="K834" s="46" t="inlineStr">
        <is>
          <t>Gemma3:27b</t>
        </is>
      </c>
      <c r="L834" s="46" t="inlineStr">
        <is>
          <t>0.3</t>
        </is>
      </c>
      <c r="M834" s="73" t="inlineStr">
        <is>
          <t>Complete</t>
        </is>
      </c>
    </row>
    <row r="835" ht="13.5" customHeight="1" s="38">
      <c r="A835" s="46" t="inlineStr">
        <is>
          <t>R_S4_SC04_I02</t>
        </is>
      </c>
      <c r="B835" s="46" t="inlineStr">
        <is>
          <t>R_0739</t>
        </is>
      </c>
      <c r="C835" s="46" t="inlineStr">
        <is>
          <t>Strategy 4 – One-Shot + Template + BLUF</t>
        </is>
      </c>
      <c r="D835" s="46" t="inlineStr">
        <is>
          <t>SC04</t>
        </is>
      </c>
      <c r="E835" s="46" t="inlineStr">
        <is>
          <t>Ransomware</t>
        </is>
      </c>
      <c r="F835" s="47" t="n">
        <v>2</v>
      </c>
      <c r="G835" s="46" t="inlineStr">
        <is>
          <t>Gemma3:27b via Ollama</t>
        </is>
      </c>
      <c r="H835" s="48" t="n">
        <v>46166</v>
      </c>
      <c r="I835" s="46" t="inlineStr">
        <is>
          <t>8.326</t>
        </is>
      </c>
      <c r="J835" s="46" t="inlineStr">
        <is>
          <t>68.10</t>
        </is>
      </c>
      <c r="K835" s="46" t="inlineStr">
        <is>
          <t>Gemma3:27b</t>
        </is>
      </c>
      <c r="L835" s="46" t="inlineStr">
        <is>
          <t>0.3</t>
        </is>
      </c>
      <c r="M835" s="73" t="inlineStr">
        <is>
          <t>Complete</t>
        </is>
      </c>
    </row>
    <row r="836" ht="13.5" customHeight="1" s="38">
      <c r="A836" s="46" t="inlineStr">
        <is>
          <t>R_S4_SC04_I03</t>
        </is>
      </c>
      <c r="B836" s="46" t="inlineStr">
        <is>
          <t>R_0845</t>
        </is>
      </c>
      <c r="C836" s="46" t="inlineStr">
        <is>
          <t>Strategy 4 – One-Shot + Template + BLUF</t>
        </is>
      </c>
      <c r="D836" s="46" t="inlineStr">
        <is>
          <t>SC04</t>
        </is>
      </c>
      <c r="E836" s="46" t="inlineStr">
        <is>
          <t>Ransomware</t>
        </is>
      </c>
      <c r="F836" s="47" t="n">
        <v>3</v>
      </c>
      <c r="G836" s="46" t="inlineStr">
        <is>
          <t>Gemma3:27b via Ollama</t>
        </is>
      </c>
      <c r="H836" s="48" t="n">
        <v>46166</v>
      </c>
      <c r="I836" s="46" t="inlineStr">
        <is>
          <t>7.617</t>
        </is>
      </c>
      <c r="J836" s="46" t="inlineStr">
        <is>
          <t>68.01</t>
        </is>
      </c>
      <c r="K836" s="46" t="inlineStr">
        <is>
          <t>Gemma3:27b</t>
        </is>
      </c>
      <c r="L836" s="46" t="inlineStr">
        <is>
          <t>0.3</t>
        </is>
      </c>
      <c r="M836" s="73" t="inlineStr">
        <is>
          <t>Complete</t>
        </is>
      </c>
    </row>
    <row r="837" ht="13.5" customHeight="1" s="38">
      <c r="A837" s="46" t="inlineStr">
        <is>
          <t>R_S4_SC04_I04</t>
        </is>
      </c>
      <c r="B837" s="46" t="inlineStr">
        <is>
          <t>R_0012</t>
        </is>
      </c>
      <c r="C837" s="46" t="inlineStr">
        <is>
          <t>Strategy 4 – One-Shot + Template + BLUF</t>
        </is>
      </c>
      <c r="D837" s="46" t="inlineStr">
        <is>
          <t>SC04</t>
        </is>
      </c>
      <c r="E837" s="46" t="inlineStr">
        <is>
          <t>Ransomware</t>
        </is>
      </c>
      <c r="F837" s="47" t="n">
        <v>4</v>
      </c>
      <c r="G837" s="46" t="inlineStr">
        <is>
          <t>Gemma3:27b via Ollama</t>
        </is>
      </c>
      <c r="H837" s="48" t="n">
        <v>46166</v>
      </c>
      <c r="I837" s="46" t="inlineStr">
        <is>
          <t>7.039</t>
        </is>
      </c>
      <c r="J837" s="46" t="inlineStr">
        <is>
          <t>67.90</t>
        </is>
      </c>
      <c r="K837" s="46" t="inlineStr">
        <is>
          <t>Gemma3:27b</t>
        </is>
      </c>
      <c r="L837" s="46" t="inlineStr">
        <is>
          <t>0.3</t>
        </is>
      </c>
      <c r="M837" s="73" t="inlineStr">
        <is>
          <t>Complete</t>
        </is>
      </c>
    </row>
    <row r="838" ht="13.5" customHeight="1" s="38">
      <c r="A838" s="46" t="inlineStr">
        <is>
          <t>R_S4_SC04_I05</t>
        </is>
      </c>
      <c r="B838" s="46" t="inlineStr">
        <is>
          <t>R_0567</t>
        </is>
      </c>
      <c r="C838" s="46" t="inlineStr">
        <is>
          <t>Strategy 4 – One-Shot + Template + BLUF</t>
        </is>
      </c>
      <c r="D838" s="46" t="inlineStr">
        <is>
          <t>SC04</t>
        </is>
      </c>
      <c r="E838" s="46" t="inlineStr">
        <is>
          <t>Ransomware</t>
        </is>
      </c>
      <c r="F838" s="47" t="n">
        <v>5</v>
      </c>
      <c r="G838" s="46" t="inlineStr">
        <is>
          <t>Gemma3:27b via Ollama</t>
        </is>
      </c>
      <c r="H838" s="48" t="n">
        <v>46166</v>
      </c>
      <c r="I838" s="46" t="inlineStr">
        <is>
          <t>7.522</t>
        </is>
      </c>
      <c r="J838" s="46" t="inlineStr">
        <is>
          <t>67.80</t>
        </is>
      </c>
      <c r="K838" s="46" t="inlineStr">
        <is>
          <t>Gemma3:27b</t>
        </is>
      </c>
      <c r="L838" s="46" t="inlineStr">
        <is>
          <t>0.3</t>
        </is>
      </c>
      <c r="M838" s="73" t="inlineStr">
        <is>
          <t>Complete</t>
        </is>
      </c>
    </row>
    <row r="839" ht="13.5" customHeight="1" s="38">
      <c r="A839" s="46" t="inlineStr">
        <is>
          <t>R_S4_SC04_I06</t>
        </is>
      </c>
      <c r="B839" s="46" t="inlineStr">
        <is>
          <t>R_0258</t>
        </is>
      </c>
      <c r="C839" s="46" t="inlineStr">
        <is>
          <t>Strategy 4 – One-Shot + Template + BLUF</t>
        </is>
      </c>
      <c r="D839" s="46" t="inlineStr">
        <is>
          <t>SC04</t>
        </is>
      </c>
      <c r="E839" s="46" t="inlineStr">
        <is>
          <t>Ransomware</t>
        </is>
      </c>
      <c r="F839" s="47" t="n">
        <v>6</v>
      </c>
      <c r="G839" s="46" t="inlineStr">
        <is>
          <t>Gemma3:27b via Ollama</t>
        </is>
      </c>
      <c r="H839" s="48" t="n">
        <v>46166</v>
      </c>
      <c r="I839" s="46" t="inlineStr">
        <is>
          <t>7.107</t>
        </is>
      </c>
      <c r="J839" s="46" t="inlineStr">
        <is>
          <t>67.39</t>
        </is>
      </c>
      <c r="K839" s="46" t="inlineStr">
        <is>
          <t>Gemma3:27b</t>
        </is>
      </c>
      <c r="L839" s="46" t="inlineStr">
        <is>
          <t>0.3</t>
        </is>
      </c>
      <c r="M839" s="73" t="inlineStr">
        <is>
          <t>Complete</t>
        </is>
      </c>
    </row>
    <row r="840" ht="13.5" customHeight="1" s="38">
      <c r="A840" s="46" t="inlineStr">
        <is>
          <t>R_S4_SC04_I07</t>
        </is>
      </c>
      <c r="B840" s="46" t="inlineStr">
        <is>
          <t>R_0542</t>
        </is>
      </c>
      <c r="C840" s="46" t="inlineStr">
        <is>
          <t>Strategy 4 – One-Shot + Template + BLUF</t>
        </is>
      </c>
      <c r="D840" s="46" t="inlineStr">
        <is>
          <t>SC04</t>
        </is>
      </c>
      <c r="E840" s="46" t="inlineStr">
        <is>
          <t>Ransomware</t>
        </is>
      </c>
      <c r="F840" s="47" t="n">
        <v>7</v>
      </c>
      <c r="G840" s="46" t="inlineStr">
        <is>
          <t>Gemma3:27b via Ollama</t>
        </is>
      </c>
      <c r="H840" s="48" t="n">
        <v>46166</v>
      </c>
      <c r="I840" s="46" t="inlineStr">
        <is>
          <t>7.381</t>
        </is>
      </c>
      <c r="J840" s="46" t="inlineStr">
        <is>
          <t>67.75</t>
        </is>
      </c>
      <c r="K840" s="46" t="inlineStr">
        <is>
          <t>Gemma3:27b</t>
        </is>
      </c>
      <c r="L840" s="46" t="inlineStr">
        <is>
          <t>0.3</t>
        </is>
      </c>
      <c r="M840" s="73" t="inlineStr">
        <is>
          <t>Complete</t>
        </is>
      </c>
    </row>
    <row r="841" ht="13.5" customHeight="1" s="38">
      <c r="A841" s="46" t="inlineStr">
        <is>
          <t>R_S4_SC04_I08</t>
        </is>
      </c>
      <c r="B841" s="46" t="inlineStr">
        <is>
          <t>R_0480</t>
        </is>
      </c>
      <c r="C841" s="46" t="inlineStr">
        <is>
          <t>Strategy 4 – One-Shot + Template + BLUF</t>
        </is>
      </c>
      <c r="D841" s="46" t="inlineStr">
        <is>
          <t>SC04</t>
        </is>
      </c>
      <c r="E841" s="46" t="inlineStr">
        <is>
          <t>Ransomware</t>
        </is>
      </c>
      <c r="F841" s="47" t="n">
        <v>8</v>
      </c>
      <c r="G841" s="46" t="inlineStr">
        <is>
          <t>Gemma3:27b via Ollama</t>
        </is>
      </c>
      <c r="H841" s="48" t="n">
        <v>46166</v>
      </c>
      <c r="I841" s="46" t="inlineStr">
        <is>
          <t>6.106</t>
        </is>
      </c>
      <c r="J841" s="46" t="inlineStr">
        <is>
          <t>67.80</t>
        </is>
      </c>
      <c r="K841" s="46" t="inlineStr">
        <is>
          <t>Gemma3:27b</t>
        </is>
      </c>
      <c r="L841" s="46" t="inlineStr">
        <is>
          <t>0.3</t>
        </is>
      </c>
      <c r="M841" s="73" t="inlineStr">
        <is>
          <t>Complete</t>
        </is>
      </c>
    </row>
    <row r="842" ht="13.5" customHeight="1" s="38">
      <c r="A842" s="46" t="inlineStr">
        <is>
          <t>R_S4_SC04_I09</t>
        </is>
      </c>
      <c r="B842" s="46" t="inlineStr">
        <is>
          <t>R_0843</t>
        </is>
      </c>
      <c r="C842" s="46" t="inlineStr">
        <is>
          <t>Strategy 4 – One-Shot + Template + BLUF</t>
        </is>
      </c>
      <c r="D842" s="46" t="inlineStr">
        <is>
          <t>SC04</t>
        </is>
      </c>
      <c r="E842" s="46" t="inlineStr">
        <is>
          <t>Ransomware</t>
        </is>
      </c>
      <c r="F842" s="47" t="n">
        <v>9</v>
      </c>
      <c r="G842" s="46" t="inlineStr">
        <is>
          <t>Gemma3:27b via Ollama</t>
        </is>
      </c>
      <c r="H842" s="48" t="n">
        <v>46166</v>
      </c>
      <c r="I842" s="46" t="inlineStr">
        <is>
          <t>7.420</t>
        </is>
      </c>
      <c r="J842" s="46" t="inlineStr">
        <is>
          <t>67.79</t>
        </is>
      </c>
      <c r="K842" s="46" t="inlineStr">
        <is>
          <t>Gemma3:27b</t>
        </is>
      </c>
      <c r="L842" s="46" t="inlineStr">
        <is>
          <t>0.3</t>
        </is>
      </c>
      <c r="M842" s="73" t="inlineStr">
        <is>
          <t>Complete</t>
        </is>
      </c>
    </row>
    <row r="843" ht="13.5" customHeight="1" s="38">
      <c r="A843" s="46" t="inlineStr">
        <is>
          <t>R_S4_SC04_I10</t>
        </is>
      </c>
      <c r="B843" s="46" t="inlineStr">
        <is>
          <t>R_0391</t>
        </is>
      </c>
      <c r="C843" s="46" t="inlineStr">
        <is>
          <t>Strategy 4 – One-Shot + Template + BLUF</t>
        </is>
      </c>
      <c r="D843" s="46" t="inlineStr">
        <is>
          <t>SC04</t>
        </is>
      </c>
      <c r="E843" s="46" t="inlineStr">
        <is>
          <t>Ransomware</t>
        </is>
      </c>
      <c r="F843" s="47" t="n">
        <v>10</v>
      </c>
      <c r="G843" s="46" t="inlineStr">
        <is>
          <t>Gemma3:27b via Ollama</t>
        </is>
      </c>
      <c r="H843" s="48" t="n">
        <v>46166</v>
      </c>
      <c r="I843" s="46" t="inlineStr">
        <is>
          <t>6.871</t>
        </is>
      </c>
      <c r="J843" s="46" t="inlineStr">
        <is>
          <t>67.83</t>
        </is>
      </c>
      <c r="K843" s="46" t="inlineStr">
        <is>
          <t>Gemma3:27b</t>
        </is>
      </c>
      <c r="L843" s="46" t="inlineStr">
        <is>
          <t>0.3</t>
        </is>
      </c>
      <c r="M843" s="73" t="inlineStr">
        <is>
          <t>Complete</t>
        </is>
      </c>
    </row>
    <row r="844" ht="13.5" customHeight="1" s="38">
      <c r="A844" s="46" t="inlineStr">
        <is>
          <t>R_S4_SC05_I01</t>
        </is>
      </c>
      <c r="B844" s="46" t="inlineStr">
        <is>
          <t>R_0395</t>
        </is>
      </c>
      <c r="C844" s="46" t="inlineStr">
        <is>
          <t>Strategy 4 – One-Shot + Template + BLUF</t>
        </is>
      </c>
      <c r="D844" s="46" t="inlineStr">
        <is>
          <t>SC05</t>
        </is>
      </c>
      <c r="E844" s="46" t="inlineStr">
        <is>
          <t>Ransomware</t>
        </is>
      </c>
      <c r="F844" s="47" t="n">
        <v>1</v>
      </c>
      <c r="G844" s="46" t="inlineStr">
        <is>
          <t>Gemma3:27b via Ollama</t>
        </is>
      </c>
      <c r="H844" s="48" t="n">
        <v>46166</v>
      </c>
      <c r="I844" s="46" t="inlineStr">
        <is>
          <t>6.837</t>
        </is>
      </c>
      <c r="J844" s="46" t="inlineStr">
        <is>
          <t>67.87</t>
        </is>
      </c>
      <c r="K844" s="46" t="inlineStr">
        <is>
          <t>Gemma3:27b</t>
        </is>
      </c>
      <c r="L844" s="46" t="inlineStr">
        <is>
          <t>0.3</t>
        </is>
      </c>
      <c r="M844" s="73" t="inlineStr">
        <is>
          <t>Complete</t>
        </is>
      </c>
    </row>
    <row r="845" ht="13.5" customHeight="1" s="38">
      <c r="A845" s="46" t="inlineStr">
        <is>
          <t>R_S4_SC05_I02</t>
        </is>
      </c>
      <c r="B845" s="46" t="inlineStr">
        <is>
          <t>R_0066</t>
        </is>
      </c>
      <c r="C845" s="46" t="inlineStr">
        <is>
          <t>Strategy 4 – One-Shot + Template + BLUF</t>
        </is>
      </c>
      <c r="D845" s="46" t="inlineStr">
        <is>
          <t>SC05</t>
        </is>
      </c>
      <c r="E845" s="46" t="inlineStr">
        <is>
          <t>Ransomware</t>
        </is>
      </c>
      <c r="F845" s="47" t="n">
        <v>2</v>
      </c>
      <c r="G845" s="46" t="inlineStr">
        <is>
          <t>Gemma3:27b via Ollama</t>
        </is>
      </c>
      <c r="H845" s="48" t="n">
        <v>46166</v>
      </c>
      <c r="I845" s="46" t="inlineStr">
        <is>
          <t>7.221</t>
        </is>
      </c>
      <c r="J845" s="46" t="inlineStr">
        <is>
          <t>67.86</t>
        </is>
      </c>
      <c r="K845" s="46" t="inlineStr">
        <is>
          <t>Gemma3:27b</t>
        </is>
      </c>
      <c r="L845" s="46" t="inlineStr">
        <is>
          <t>0.3</t>
        </is>
      </c>
      <c r="M845" s="73" t="inlineStr">
        <is>
          <t>Complete</t>
        </is>
      </c>
    </row>
    <row r="846" ht="13.5" customHeight="1" s="38">
      <c r="A846" s="46" t="inlineStr">
        <is>
          <t>R_S4_SC05_I03</t>
        </is>
      </c>
      <c r="B846" s="46" t="inlineStr">
        <is>
          <t>R_0611</t>
        </is>
      </c>
      <c r="C846" s="46" t="inlineStr">
        <is>
          <t>Strategy 4 – One-Shot + Template + BLUF</t>
        </is>
      </c>
      <c r="D846" s="46" t="inlineStr">
        <is>
          <t>SC05</t>
        </is>
      </c>
      <c r="E846" s="46" t="inlineStr">
        <is>
          <t>Ransomware</t>
        </is>
      </c>
      <c r="F846" s="47" t="n">
        <v>3</v>
      </c>
      <c r="G846" s="46" t="inlineStr">
        <is>
          <t>Gemma3:27b via Ollama</t>
        </is>
      </c>
      <c r="H846" s="48" t="n">
        <v>46166</v>
      </c>
      <c r="I846" s="46" t="inlineStr">
        <is>
          <t>6.453</t>
        </is>
      </c>
      <c r="J846" s="46" t="inlineStr">
        <is>
          <t>67.87</t>
        </is>
      </c>
      <c r="K846" s="46" t="inlineStr">
        <is>
          <t>Gemma3:27b</t>
        </is>
      </c>
      <c r="L846" s="46" t="inlineStr">
        <is>
          <t>0.3</t>
        </is>
      </c>
      <c r="M846" s="73" t="inlineStr">
        <is>
          <t>Complete</t>
        </is>
      </c>
    </row>
    <row r="847" ht="13.5" customHeight="1" s="38">
      <c r="A847" s="46" t="inlineStr">
        <is>
          <t>R_S4_SC05_I04</t>
        </is>
      </c>
      <c r="B847" s="46" t="inlineStr">
        <is>
          <t>R_0972</t>
        </is>
      </c>
      <c r="C847" s="46" t="inlineStr">
        <is>
          <t>Strategy 4 – One-Shot + Template + BLUF</t>
        </is>
      </c>
      <c r="D847" s="46" t="inlineStr">
        <is>
          <t>SC05</t>
        </is>
      </c>
      <c r="E847" s="46" t="inlineStr">
        <is>
          <t>Ransomware</t>
        </is>
      </c>
      <c r="F847" s="47" t="n">
        <v>4</v>
      </c>
      <c r="G847" s="46" t="inlineStr">
        <is>
          <t>Gemma3:27b via Ollama</t>
        </is>
      </c>
      <c r="H847" s="48" t="n">
        <v>46166</v>
      </c>
      <c r="I847" s="46" t="inlineStr">
        <is>
          <t>6.769</t>
        </is>
      </c>
      <c r="J847" s="46" t="inlineStr">
        <is>
          <t>67.66</t>
        </is>
      </c>
      <c r="K847" s="46" t="inlineStr">
        <is>
          <t>Gemma3:27b</t>
        </is>
      </c>
      <c r="L847" s="46" t="inlineStr">
        <is>
          <t>0.3</t>
        </is>
      </c>
      <c r="M847" s="73" t="inlineStr">
        <is>
          <t>Complete</t>
        </is>
      </c>
    </row>
    <row r="848" ht="13.5" customHeight="1" s="38">
      <c r="A848" s="46" t="inlineStr">
        <is>
          <t>R_S4_SC05_I05</t>
        </is>
      </c>
      <c r="B848" s="46" t="inlineStr">
        <is>
          <t>R_0697</t>
        </is>
      </c>
      <c r="C848" s="46" t="inlineStr">
        <is>
          <t>Strategy 4 – One-Shot + Template + BLUF</t>
        </is>
      </c>
      <c r="D848" s="46" t="inlineStr">
        <is>
          <t>SC05</t>
        </is>
      </c>
      <c r="E848" s="46" t="inlineStr">
        <is>
          <t>Ransomware</t>
        </is>
      </c>
      <c r="F848" s="47" t="n">
        <v>5</v>
      </c>
      <c r="G848" s="46" t="inlineStr">
        <is>
          <t>Gemma3:27b via Ollama</t>
        </is>
      </c>
      <c r="H848" s="48" t="n">
        <v>46166</v>
      </c>
      <c r="I848" s="46" t="inlineStr">
        <is>
          <t>7.107</t>
        </is>
      </c>
      <c r="J848" s="46" t="inlineStr">
        <is>
          <t>65.71</t>
        </is>
      </c>
      <c r="K848" s="46" t="inlineStr">
        <is>
          <t>Gemma3:27b</t>
        </is>
      </c>
      <c r="L848" s="46" t="inlineStr">
        <is>
          <t>0.3</t>
        </is>
      </c>
      <c r="M848" s="73" t="inlineStr">
        <is>
          <t>Complete</t>
        </is>
      </c>
    </row>
    <row r="849" ht="13.5" customHeight="1" s="38">
      <c r="A849" s="46" t="inlineStr">
        <is>
          <t>R_S4_SC05_I06</t>
        </is>
      </c>
      <c r="B849" s="46" t="inlineStr">
        <is>
          <t>R_0812</t>
        </is>
      </c>
      <c r="C849" s="46" t="inlineStr">
        <is>
          <t>Strategy 4 – One-Shot + Template + BLUF</t>
        </is>
      </c>
      <c r="D849" s="46" t="inlineStr">
        <is>
          <t>SC05</t>
        </is>
      </c>
      <c r="E849" s="46" t="inlineStr">
        <is>
          <t>Ransomware</t>
        </is>
      </c>
      <c r="F849" s="47" t="n">
        <v>6</v>
      </c>
      <c r="G849" s="46" t="inlineStr">
        <is>
          <t>Gemma3:27b via Ollama</t>
        </is>
      </c>
      <c r="H849" s="48" t="n">
        <v>46166</v>
      </c>
      <c r="I849" s="46" t="inlineStr">
        <is>
          <t>7.302</t>
        </is>
      </c>
      <c r="J849" s="46" t="inlineStr">
        <is>
          <t>67.51</t>
        </is>
      </c>
      <c r="K849" s="46" t="inlineStr">
        <is>
          <t>Gemma3:27b</t>
        </is>
      </c>
      <c r="L849" s="46" t="inlineStr">
        <is>
          <t>0.3</t>
        </is>
      </c>
      <c r="M849" s="73" t="inlineStr">
        <is>
          <t>Complete</t>
        </is>
      </c>
    </row>
    <row r="850" ht="13.5" customHeight="1" s="38">
      <c r="A850" s="46" t="inlineStr">
        <is>
          <t>R_S4_SC05_I07</t>
        </is>
      </c>
      <c r="B850" s="46" t="inlineStr">
        <is>
          <t>R_0974</t>
        </is>
      </c>
      <c r="C850" s="46" t="inlineStr">
        <is>
          <t>Strategy 4 – One-Shot + Template + BLUF</t>
        </is>
      </c>
      <c r="D850" s="46" t="inlineStr">
        <is>
          <t>SC05</t>
        </is>
      </c>
      <c r="E850" s="46" t="inlineStr">
        <is>
          <t>Ransomware</t>
        </is>
      </c>
      <c r="F850" s="47" t="n">
        <v>7</v>
      </c>
      <c r="G850" s="46" t="inlineStr">
        <is>
          <t>Gemma3:27b via Ollama</t>
        </is>
      </c>
      <c r="H850" s="48" t="n">
        <v>46166</v>
      </c>
      <c r="I850" s="46" t="inlineStr">
        <is>
          <t>7.595</t>
        </is>
      </c>
      <c r="J850" s="46" t="inlineStr">
        <is>
          <t>65.97</t>
        </is>
      </c>
      <c r="K850" s="46" t="inlineStr">
        <is>
          <t>Gemma3:27b</t>
        </is>
      </c>
      <c r="L850" s="46" t="inlineStr">
        <is>
          <t>0.3</t>
        </is>
      </c>
      <c r="M850" s="73" t="inlineStr">
        <is>
          <t>Complete</t>
        </is>
      </c>
    </row>
    <row r="851" ht="13.5" customHeight="1" s="38">
      <c r="A851" s="46" t="inlineStr">
        <is>
          <t>R_S4_SC05_I08</t>
        </is>
      </c>
      <c r="B851" s="46" t="inlineStr">
        <is>
          <t>R_0643</t>
        </is>
      </c>
      <c r="C851" s="46" t="inlineStr">
        <is>
          <t>Strategy 4 – One-Shot + Template + BLUF</t>
        </is>
      </c>
      <c r="D851" s="46" t="inlineStr">
        <is>
          <t>SC05</t>
        </is>
      </c>
      <c r="E851" s="46" t="inlineStr">
        <is>
          <t>Ransomware</t>
        </is>
      </c>
      <c r="F851" s="47" t="n">
        <v>8</v>
      </c>
      <c r="G851" s="46" t="inlineStr">
        <is>
          <t>Gemma3:27b via Ollama</t>
        </is>
      </c>
      <c r="H851" s="48" t="n">
        <v>46166</v>
      </c>
      <c r="I851" s="46" t="inlineStr">
        <is>
          <t>7.130</t>
        </is>
      </c>
      <c r="J851" s="46" t="inlineStr">
        <is>
          <t>67.74</t>
        </is>
      </c>
      <c r="K851" s="46" t="inlineStr">
        <is>
          <t>Gemma3:27b</t>
        </is>
      </c>
      <c r="L851" s="46" t="inlineStr">
        <is>
          <t>0.3</t>
        </is>
      </c>
      <c r="M851" s="73" t="inlineStr">
        <is>
          <t>Complete</t>
        </is>
      </c>
    </row>
    <row r="852" ht="13.5" customHeight="1" s="38">
      <c r="A852" s="46" t="inlineStr">
        <is>
          <t>R_S4_SC05_I09</t>
        </is>
      </c>
      <c r="B852" s="46" t="inlineStr">
        <is>
          <t>R_0157</t>
        </is>
      </c>
      <c r="C852" s="46" t="inlineStr">
        <is>
          <t>Strategy 4 – One-Shot + Template + BLUF</t>
        </is>
      </c>
      <c r="D852" s="46" t="inlineStr">
        <is>
          <t>SC05</t>
        </is>
      </c>
      <c r="E852" s="46" t="inlineStr">
        <is>
          <t>Ransomware</t>
        </is>
      </c>
      <c r="F852" s="47" t="n">
        <v>9</v>
      </c>
      <c r="G852" s="46" t="inlineStr">
        <is>
          <t>Gemma3:27b via Ollama</t>
        </is>
      </c>
      <c r="H852" s="48" t="n">
        <v>46166</v>
      </c>
      <c r="I852" s="46" t="inlineStr">
        <is>
          <t>6.881</t>
        </is>
      </c>
      <c r="J852" s="46" t="inlineStr">
        <is>
          <t>67.72</t>
        </is>
      </c>
      <c r="K852" s="46" t="inlineStr">
        <is>
          <t>Gemma3:27b</t>
        </is>
      </c>
      <c r="L852" s="46" t="inlineStr">
        <is>
          <t>0.3</t>
        </is>
      </c>
      <c r="M852" s="73" t="inlineStr">
        <is>
          <t>Complete</t>
        </is>
      </c>
    </row>
    <row r="853" ht="13.5" customHeight="1" s="38">
      <c r="A853" s="46" t="inlineStr">
        <is>
          <t>R_S4_SC05_I10</t>
        </is>
      </c>
      <c r="B853" s="46" t="inlineStr">
        <is>
          <t>R_0113</t>
        </is>
      </c>
      <c r="C853" s="46" t="inlineStr">
        <is>
          <t>Strategy 4 – One-Shot + Template + BLUF</t>
        </is>
      </c>
      <c r="D853" s="46" t="inlineStr">
        <is>
          <t>SC05</t>
        </is>
      </c>
      <c r="E853" s="46" t="inlineStr">
        <is>
          <t>Ransomware</t>
        </is>
      </c>
      <c r="F853" s="47" t="n">
        <v>10</v>
      </c>
      <c r="G853" s="46" t="inlineStr">
        <is>
          <t>Gemma3:27b via Ollama</t>
        </is>
      </c>
      <c r="H853" s="48" t="n">
        <v>46166</v>
      </c>
      <c r="I853" s="46" t="inlineStr">
        <is>
          <t>7.165</t>
        </is>
      </c>
      <c r="J853" s="46" t="inlineStr">
        <is>
          <t>67.83</t>
        </is>
      </c>
      <c r="K853" s="46" t="inlineStr">
        <is>
          <t>Gemma3:27b</t>
        </is>
      </c>
      <c r="L853" s="46" t="inlineStr">
        <is>
          <t>0.3</t>
        </is>
      </c>
      <c r="M853" s="73" t="inlineStr">
        <is>
          <t>Complete</t>
        </is>
      </c>
    </row>
    <row r="854" ht="13.5" customHeight="1" s="38">
      <c r="A854" s="46" t="inlineStr">
        <is>
          <t>S_S4_SC01_I01</t>
        </is>
      </c>
      <c r="B854" s="46" t="inlineStr">
        <is>
          <t>R_0049</t>
        </is>
      </c>
      <c r="C854" s="46" t="inlineStr">
        <is>
          <t>Strategy 4 – One-Shot + Template + BLUF</t>
        </is>
      </c>
      <c r="D854" s="46" t="inlineStr">
        <is>
          <t>SC01</t>
        </is>
      </c>
      <c r="E854" s="46" t="inlineStr">
        <is>
          <t>Supply Chain</t>
        </is>
      </c>
      <c r="F854" s="47" t="n">
        <v>1</v>
      </c>
      <c r="G854" s="46" t="inlineStr">
        <is>
          <t>Gemma3:27b via Ollama</t>
        </is>
      </c>
      <c r="H854" s="48" t="n">
        <v>46164</v>
      </c>
      <c r="I854" s="46" t="inlineStr">
        <is>
          <t>6.720</t>
        </is>
      </c>
      <c r="J854" s="46" t="inlineStr">
        <is>
          <t>66.51</t>
        </is>
      </c>
      <c r="K854" s="46" t="inlineStr">
        <is>
          <t>Gemma3:27b</t>
        </is>
      </c>
      <c r="L854" s="46" t="inlineStr">
        <is>
          <t>0.3</t>
        </is>
      </c>
      <c r="M854" s="73" t="inlineStr">
        <is>
          <t>Complete</t>
        </is>
      </c>
    </row>
    <row r="855" ht="13.5" customHeight="1" s="38">
      <c r="A855" s="46" t="inlineStr">
        <is>
          <t>S_S4_SC01_I02</t>
        </is>
      </c>
      <c r="B855" s="46" t="inlineStr">
        <is>
          <t>R_0774</t>
        </is>
      </c>
      <c r="C855" s="46" t="inlineStr">
        <is>
          <t>Strategy 4 – One-Shot + Template + BLUF</t>
        </is>
      </c>
      <c r="D855" s="46" t="inlineStr">
        <is>
          <t>SC01</t>
        </is>
      </c>
      <c r="E855" s="46" t="inlineStr">
        <is>
          <t>Supply Chain</t>
        </is>
      </c>
      <c r="F855" s="47" t="n">
        <v>2</v>
      </c>
      <c r="G855" s="46" t="inlineStr">
        <is>
          <t>Gemma3:27b via Ollama</t>
        </is>
      </c>
      <c r="H855" s="48" t="n">
        <v>46164</v>
      </c>
      <c r="I855" s="46" t="inlineStr">
        <is>
          <t>7.164</t>
        </is>
      </c>
      <c r="J855" s="46" t="inlineStr">
        <is>
          <t>65.04</t>
        </is>
      </c>
      <c r="K855" s="46" t="inlineStr">
        <is>
          <t>Gemma3:27b</t>
        </is>
      </c>
      <c r="L855" s="46" t="inlineStr">
        <is>
          <t>0.3</t>
        </is>
      </c>
      <c r="M855" s="73" t="inlineStr">
        <is>
          <t>Complete</t>
        </is>
      </c>
    </row>
    <row r="856" ht="13.5" customHeight="1" s="38">
      <c r="A856" s="46" t="inlineStr">
        <is>
          <t>S_S4_SC01_I03</t>
        </is>
      </c>
      <c r="B856" s="46" t="inlineStr">
        <is>
          <t>R_0094</t>
        </is>
      </c>
      <c r="C856" s="46" t="inlineStr">
        <is>
          <t>Strategy 4 – One-Shot + Template + BLUF</t>
        </is>
      </c>
      <c r="D856" s="46" t="inlineStr">
        <is>
          <t>SC01</t>
        </is>
      </c>
      <c r="E856" s="46" t="inlineStr">
        <is>
          <t>Supply Chain</t>
        </is>
      </c>
      <c r="F856" s="47" t="n">
        <v>3</v>
      </c>
      <c r="G856" s="46" t="inlineStr">
        <is>
          <t>Gemma3:27b via Ollama</t>
        </is>
      </c>
      <c r="H856" s="48" t="n">
        <v>46164</v>
      </c>
      <c r="I856" s="46" t="inlineStr">
        <is>
          <t>8.077</t>
        </is>
      </c>
      <c r="J856" s="46" t="inlineStr">
        <is>
          <t>66.12</t>
        </is>
      </c>
      <c r="K856" s="46" t="inlineStr">
        <is>
          <t>Gemma3:27b</t>
        </is>
      </c>
      <c r="L856" s="46" t="inlineStr">
        <is>
          <t>0.3</t>
        </is>
      </c>
      <c r="M856" s="73" t="inlineStr">
        <is>
          <t>Complete</t>
        </is>
      </c>
    </row>
    <row r="857" ht="13.5" customHeight="1" s="38">
      <c r="A857" s="46" t="inlineStr">
        <is>
          <t>S_S4_SC01_I04</t>
        </is>
      </c>
      <c r="B857" s="46" t="inlineStr">
        <is>
          <t>R_0506</t>
        </is>
      </c>
      <c r="C857" s="46" t="inlineStr">
        <is>
          <t>Strategy 4 – One-Shot + Template + BLUF</t>
        </is>
      </c>
      <c r="D857" s="46" t="inlineStr">
        <is>
          <t>SC01</t>
        </is>
      </c>
      <c r="E857" s="46" t="inlineStr">
        <is>
          <t>Supply Chain</t>
        </is>
      </c>
      <c r="F857" s="47" t="n">
        <v>4</v>
      </c>
      <c r="G857" s="46" t="inlineStr">
        <is>
          <t>Gemma3:27b via Ollama</t>
        </is>
      </c>
      <c r="H857" s="48" t="n">
        <v>46164</v>
      </c>
      <c r="I857" s="46" t="inlineStr">
        <is>
          <t>8.969</t>
        </is>
      </c>
      <c r="J857" s="46" t="inlineStr">
        <is>
          <t>65.00</t>
        </is>
      </c>
      <c r="K857" s="46" t="inlineStr">
        <is>
          <t>Gemma3:27b</t>
        </is>
      </c>
      <c r="L857" s="46" t="inlineStr">
        <is>
          <t>0.3</t>
        </is>
      </c>
      <c r="M857" s="73" t="inlineStr">
        <is>
          <t>Complete</t>
        </is>
      </c>
    </row>
    <row r="858" ht="13.5" customHeight="1" s="38">
      <c r="A858" s="46" t="inlineStr">
        <is>
          <t>S_S4_SC01_I05</t>
        </is>
      </c>
      <c r="B858" s="46" t="inlineStr">
        <is>
          <t>R_0522</t>
        </is>
      </c>
      <c r="C858" s="46" t="inlineStr">
        <is>
          <t>Strategy 4 – One-Shot + Template + BLUF</t>
        </is>
      </c>
      <c r="D858" s="46" t="inlineStr">
        <is>
          <t>SC01</t>
        </is>
      </c>
      <c r="E858" s="46" t="inlineStr">
        <is>
          <t>Supply Chain</t>
        </is>
      </c>
      <c r="F858" s="47" t="n">
        <v>5</v>
      </c>
      <c r="G858" s="46" t="inlineStr">
        <is>
          <t>Gemma3:27b via Ollama</t>
        </is>
      </c>
      <c r="H858" s="48" t="n">
        <v>46164</v>
      </c>
      <c r="I858" s="46" t="inlineStr">
        <is>
          <t>7.199</t>
        </is>
      </c>
      <c r="J858" s="46" t="inlineStr">
        <is>
          <t>66.12</t>
        </is>
      </c>
      <c r="K858" s="46" t="inlineStr">
        <is>
          <t>Gemma3:27b</t>
        </is>
      </c>
      <c r="L858" s="46" t="inlineStr">
        <is>
          <t>0.3</t>
        </is>
      </c>
      <c r="M858" s="73" t="inlineStr">
        <is>
          <t>Complete</t>
        </is>
      </c>
    </row>
    <row r="859" ht="13.5" customHeight="1" s="38">
      <c r="A859" s="46" t="inlineStr">
        <is>
          <t>S_S4_SC01_I06</t>
        </is>
      </c>
      <c r="B859" s="46" t="inlineStr">
        <is>
          <t>R_0142</t>
        </is>
      </c>
      <c r="C859" s="46" t="inlineStr">
        <is>
          <t>Strategy 4 – One-Shot + Template + BLUF</t>
        </is>
      </c>
      <c r="D859" s="46" t="inlineStr">
        <is>
          <t>SC01</t>
        </is>
      </c>
      <c r="E859" s="46" t="inlineStr">
        <is>
          <t>Supply Chain</t>
        </is>
      </c>
      <c r="F859" s="47" t="n">
        <v>6</v>
      </c>
      <c r="G859" s="46" t="inlineStr">
        <is>
          <t>Gemma3:27b via Ollama</t>
        </is>
      </c>
      <c r="H859" s="48" t="n">
        <v>46164</v>
      </c>
      <c r="I859" s="46" t="inlineStr">
        <is>
          <t>7.580</t>
        </is>
      </c>
      <c r="J859" s="46" t="inlineStr">
        <is>
          <t>66.10</t>
        </is>
      </c>
      <c r="K859" s="46" t="inlineStr">
        <is>
          <t>Gemma3:27b</t>
        </is>
      </c>
      <c r="L859" s="46" t="inlineStr">
        <is>
          <t>0.3</t>
        </is>
      </c>
      <c r="M859" s="73" t="inlineStr">
        <is>
          <t>Complete</t>
        </is>
      </c>
    </row>
    <row r="860" ht="13.5" customHeight="1" s="38">
      <c r="A860" s="46" t="inlineStr">
        <is>
          <t>S_S4_SC01_I07</t>
        </is>
      </c>
      <c r="B860" s="46" t="inlineStr">
        <is>
          <t>R_0896</t>
        </is>
      </c>
      <c r="C860" s="46" t="inlineStr">
        <is>
          <t>Strategy 4 – One-Shot + Template + BLUF</t>
        </is>
      </c>
      <c r="D860" s="46" t="inlineStr">
        <is>
          <t>SC01</t>
        </is>
      </c>
      <c r="E860" s="46" t="inlineStr">
        <is>
          <t>Supply Chain</t>
        </is>
      </c>
      <c r="F860" s="47" t="n">
        <v>7</v>
      </c>
      <c r="G860" s="46" t="inlineStr">
        <is>
          <t>Gemma3:27b via Ollama</t>
        </is>
      </c>
      <c r="H860" s="48" t="n">
        <v>46164</v>
      </c>
      <c r="I860" s="46" t="inlineStr">
        <is>
          <t>6.895</t>
        </is>
      </c>
      <c r="J860" s="46" t="inlineStr">
        <is>
          <t>66.28</t>
        </is>
      </c>
      <c r="K860" s="46" t="inlineStr">
        <is>
          <t>Gemma3:27b</t>
        </is>
      </c>
      <c r="L860" s="46" t="inlineStr">
        <is>
          <t>0.3</t>
        </is>
      </c>
      <c r="M860" s="73" t="inlineStr">
        <is>
          <t>Complete</t>
        </is>
      </c>
    </row>
    <row r="861" ht="13.5" customHeight="1" s="38">
      <c r="A861" s="46" t="inlineStr">
        <is>
          <t>S_S4_SC01_I08</t>
        </is>
      </c>
      <c r="B861" s="46" t="inlineStr">
        <is>
          <t>R_0940</t>
        </is>
      </c>
      <c r="C861" s="46" t="inlineStr">
        <is>
          <t>Strategy 4 – One-Shot + Template + BLUF</t>
        </is>
      </c>
      <c r="D861" s="46" t="inlineStr">
        <is>
          <t>SC01</t>
        </is>
      </c>
      <c r="E861" s="46" t="inlineStr">
        <is>
          <t>Supply Chain</t>
        </is>
      </c>
      <c r="F861" s="47" t="n">
        <v>8</v>
      </c>
      <c r="G861" s="46" t="inlineStr">
        <is>
          <t>Gemma3:27b via Ollama</t>
        </is>
      </c>
      <c r="H861" s="48" t="n">
        <v>46164</v>
      </c>
      <c r="I861" s="46" t="inlineStr">
        <is>
          <t>8.165</t>
        </is>
      </c>
      <c r="J861" s="46" t="inlineStr">
        <is>
          <t>64.42</t>
        </is>
      </c>
      <c r="K861" s="46" t="inlineStr">
        <is>
          <t>Gemma3:27b</t>
        </is>
      </c>
      <c r="L861" s="46" t="inlineStr">
        <is>
          <t>0.3</t>
        </is>
      </c>
      <c r="M861" s="73" t="inlineStr">
        <is>
          <t>Complete</t>
        </is>
      </c>
    </row>
    <row r="862" ht="13.5" customHeight="1" s="38">
      <c r="A862" s="46" t="inlineStr">
        <is>
          <t>S_S4_SC01_I09</t>
        </is>
      </c>
      <c r="B862" s="46" t="inlineStr">
        <is>
          <t>R_0409</t>
        </is>
      </c>
      <c r="C862" s="46" t="inlineStr">
        <is>
          <t>Strategy 4 – One-Shot + Template + BLUF</t>
        </is>
      </c>
      <c r="D862" s="46" t="inlineStr">
        <is>
          <t>SC01</t>
        </is>
      </c>
      <c r="E862" s="46" t="inlineStr">
        <is>
          <t>Supply Chain</t>
        </is>
      </c>
      <c r="F862" s="47" t="n">
        <v>9</v>
      </c>
      <c r="G862" s="46" t="inlineStr">
        <is>
          <t>Gemma3:27b via Ollama</t>
        </is>
      </c>
      <c r="H862" s="48" t="n">
        <v>46164</v>
      </c>
      <c r="I862" s="46" t="inlineStr">
        <is>
          <t>7.381</t>
        </is>
      </c>
      <c r="J862" s="46" t="inlineStr">
        <is>
          <t>65.30</t>
        </is>
      </c>
      <c r="K862" s="46" t="inlineStr">
        <is>
          <t>Gemma3:27b</t>
        </is>
      </c>
      <c r="L862" s="46" t="inlineStr">
        <is>
          <t>0.3</t>
        </is>
      </c>
      <c r="M862" s="73" t="inlineStr">
        <is>
          <t>Complete</t>
        </is>
      </c>
    </row>
    <row r="863" ht="13.5" customHeight="1" s="38">
      <c r="A863" s="46" t="inlineStr">
        <is>
          <t>S_S4_SC01_I10</t>
        </is>
      </c>
      <c r="B863" s="46" t="inlineStr">
        <is>
          <t>R_0598</t>
        </is>
      </c>
      <c r="C863" s="46" t="inlineStr">
        <is>
          <t>Strategy 4 – One-Shot + Template + BLUF</t>
        </is>
      </c>
      <c r="D863" s="46" t="inlineStr">
        <is>
          <t>SC01</t>
        </is>
      </c>
      <c r="E863" s="46" t="inlineStr">
        <is>
          <t>Supply Chain</t>
        </is>
      </c>
      <c r="F863" s="47" t="n">
        <v>10</v>
      </c>
      <c r="G863" s="46" t="inlineStr">
        <is>
          <t>Gemma3:27b via Ollama</t>
        </is>
      </c>
      <c r="H863" s="48" t="n">
        <v>46164</v>
      </c>
      <c r="I863" s="46" t="inlineStr">
        <is>
          <t>8.165</t>
        </is>
      </c>
      <c r="J863" s="46" t="inlineStr">
        <is>
          <t>64.18</t>
        </is>
      </c>
      <c r="K863" s="46" t="inlineStr">
        <is>
          <t>Gemma3:27b</t>
        </is>
      </c>
      <c r="L863" s="46" t="inlineStr">
        <is>
          <t>0.3</t>
        </is>
      </c>
      <c r="M863" s="73" t="inlineStr">
        <is>
          <t>Complete</t>
        </is>
      </c>
    </row>
    <row r="864" ht="13.5" customHeight="1" s="38">
      <c r="A864" s="46" t="inlineStr">
        <is>
          <t>S_S4_SC02_I01</t>
        </is>
      </c>
      <c r="B864" s="46" t="inlineStr">
        <is>
          <t>R_0439</t>
        </is>
      </c>
      <c r="C864" s="46" t="inlineStr">
        <is>
          <t>Strategy 4 – One-Shot + Template + BLUF</t>
        </is>
      </c>
      <c r="D864" s="46" t="inlineStr">
        <is>
          <t>SC02</t>
        </is>
      </c>
      <c r="E864" s="46" t="inlineStr">
        <is>
          <t>Supply Chain</t>
        </is>
      </c>
      <c r="F864" s="47" t="n">
        <v>1</v>
      </c>
      <c r="G864" s="46" t="inlineStr">
        <is>
          <t>Gemma3:27b via Ollama</t>
        </is>
      </c>
      <c r="H864" s="48" t="n">
        <v>46164</v>
      </c>
      <c r="I864" s="46" t="inlineStr">
        <is>
          <t>7.139</t>
        </is>
      </c>
      <c r="J864" s="46" t="inlineStr">
        <is>
          <t>66.26</t>
        </is>
      </c>
      <c r="K864" s="46" t="inlineStr">
        <is>
          <t>Gemma3:27b</t>
        </is>
      </c>
      <c r="L864" s="46" t="inlineStr">
        <is>
          <t>0.3</t>
        </is>
      </c>
      <c r="M864" s="73" t="inlineStr">
        <is>
          <t>Complete</t>
        </is>
      </c>
    </row>
    <row r="865" ht="13.5" customHeight="1" s="38">
      <c r="A865" s="46" t="inlineStr">
        <is>
          <t>S_S4_SC02_I02</t>
        </is>
      </c>
      <c r="B865" s="46" t="inlineStr">
        <is>
          <t>R_0599</t>
        </is>
      </c>
      <c r="C865" s="46" t="inlineStr">
        <is>
          <t>Strategy 4 – One-Shot + Template + BLUF</t>
        </is>
      </c>
      <c r="D865" s="46" t="inlineStr">
        <is>
          <t>SC02</t>
        </is>
      </c>
      <c r="E865" s="46" t="inlineStr">
        <is>
          <t>Supply Chain</t>
        </is>
      </c>
      <c r="F865" s="47" t="n">
        <v>2</v>
      </c>
      <c r="G865" s="46" t="inlineStr">
        <is>
          <t>Gemma3:27b via Ollama</t>
        </is>
      </c>
      <c r="H865" s="48" t="n">
        <v>46164</v>
      </c>
      <c r="I865" s="46" t="inlineStr">
        <is>
          <t>7.576</t>
        </is>
      </c>
      <c r="J865" s="46" t="inlineStr">
        <is>
          <t>66.27</t>
        </is>
      </c>
      <c r="K865" s="46" t="inlineStr">
        <is>
          <t>Gemma3:27b</t>
        </is>
      </c>
      <c r="L865" s="46" t="inlineStr">
        <is>
          <t>0.3</t>
        </is>
      </c>
      <c r="M865" s="73" t="inlineStr">
        <is>
          <t>Complete</t>
        </is>
      </c>
    </row>
    <row r="866" ht="13.5" customHeight="1" s="38">
      <c r="A866" s="46" t="inlineStr">
        <is>
          <t>S_S4_SC02_I03</t>
        </is>
      </c>
      <c r="B866" s="46" t="inlineStr">
        <is>
          <t>R_0765</t>
        </is>
      </c>
      <c r="C866" s="46" t="inlineStr">
        <is>
          <t>Strategy 4 – One-Shot + Template + BLUF</t>
        </is>
      </c>
      <c r="D866" s="46" t="inlineStr">
        <is>
          <t>SC02</t>
        </is>
      </c>
      <c r="E866" s="46" t="inlineStr">
        <is>
          <t>Supply Chain</t>
        </is>
      </c>
      <c r="F866" s="47" t="n">
        <v>3</v>
      </c>
      <c r="G866" s="46" t="inlineStr">
        <is>
          <t>Gemma3:27b via Ollama</t>
        </is>
      </c>
      <c r="H866" s="48" t="n">
        <v>46164</v>
      </c>
      <c r="I866" s="46" t="inlineStr">
        <is>
          <t>7.190</t>
        </is>
      </c>
      <c r="J866" s="46" t="inlineStr">
        <is>
          <t>65.37</t>
        </is>
      </c>
      <c r="K866" s="46" t="inlineStr">
        <is>
          <t>Gemma3:27b</t>
        </is>
      </c>
      <c r="L866" s="46" t="inlineStr">
        <is>
          <t>0.3</t>
        </is>
      </c>
      <c r="M866" s="73" t="inlineStr">
        <is>
          <t>Complete</t>
        </is>
      </c>
    </row>
    <row r="867" ht="13.5" customHeight="1" s="38">
      <c r="A867" s="46" t="inlineStr">
        <is>
          <t>S_S4_SC02_I04</t>
        </is>
      </c>
      <c r="B867" s="46" t="inlineStr">
        <is>
          <t>R_0270</t>
        </is>
      </c>
      <c r="C867" s="46" t="inlineStr">
        <is>
          <t>Strategy 4 – One-Shot + Template + BLUF</t>
        </is>
      </c>
      <c r="D867" s="46" t="inlineStr">
        <is>
          <t>SC02</t>
        </is>
      </c>
      <c r="E867" s="46" t="inlineStr">
        <is>
          <t>Supply Chain</t>
        </is>
      </c>
      <c r="F867" s="47" t="n">
        <v>4</v>
      </c>
      <c r="G867" s="46" t="inlineStr">
        <is>
          <t>Gemma3:27b via Ollama</t>
        </is>
      </c>
      <c r="H867" s="48" t="n">
        <v>46164</v>
      </c>
      <c r="I867" s="46" t="inlineStr">
        <is>
          <t>7.931</t>
        </is>
      </c>
      <c r="J867" s="46" t="inlineStr">
        <is>
          <t>65.06</t>
        </is>
      </c>
      <c r="K867" s="46" t="inlineStr">
        <is>
          <t>Gemma3:27b</t>
        </is>
      </c>
      <c r="L867" s="46" t="inlineStr">
        <is>
          <t>0.3</t>
        </is>
      </c>
      <c r="M867" s="73" t="inlineStr">
        <is>
          <t>Complete</t>
        </is>
      </c>
    </row>
    <row r="868" ht="13.5" customHeight="1" s="38">
      <c r="A868" s="46" t="inlineStr">
        <is>
          <t>S_S4_SC02_I05</t>
        </is>
      </c>
      <c r="B868" s="46" t="inlineStr">
        <is>
          <t>R_0552</t>
        </is>
      </c>
      <c r="C868" s="46" t="inlineStr">
        <is>
          <t>Strategy 4 – One-Shot + Template + BLUF</t>
        </is>
      </c>
      <c r="D868" s="46" t="inlineStr">
        <is>
          <t>SC02</t>
        </is>
      </c>
      <c r="E868" s="46" t="inlineStr">
        <is>
          <t>Supply Chain</t>
        </is>
      </c>
      <c r="F868" s="47" t="n">
        <v>5</v>
      </c>
      <c r="G868" s="46" t="inlineStr">
        <is>
          <t>Gemma3:27b via Ollama</t>
        </is>
      </c>
      <c r="H868" s="48" t="n">
        <v>46164</v>
      </c>
      <c r="I868" s="46" t="inlineStr">
        <is>
          <t>7.263</t>
        </is>
      </c>
      <c r="J868" s="46" t="inlineStr">
        <is>
          <t>66.09</t>
        </is>
      </c>
      <c r="K868" s="46" t="inlineStr">
        <is>
          <t>Gemma3:27b</t>
        </is>
      </c>
      <c r="L868" s="46" t="inlineStr">
        <is>
          <t>0.3</t>
        </is>
      </c>
      <c r="M868" s="73" t="inlineStr">
        <is>
          <t>Complete</t>
        </is>
      </c>
    </row>
    <row r="869" ht="13.5" customHeight="1" s="38">
      <c r="A869" s="46" t="inlineStr">
        <is>
          <t>S_S4_SC02_I06</t>
        </is>
      </c>
      <c r="B869" s="46" t="inlineStr">
        <is>
          <t>R_0990</t>
        </is>
      </c>
      <c r="C869" s="46" t="inlineStr">
        <is>
          <t>Strategy 4 – One-Shot + Template + BLUF</t>
        </is>
      </c>
      <c r="D869" s="46" t="inlineStr">
        <is>
          <t>SC02</t>
        </is>
      </c>
      <c r="E869" s="46" t="inlineStr">
        <is>
          <t>Supply Chain</t>
        </is>
      </c>
      <c r="F869" s="47" t="n">
        <v>6</v>
      </c>
      <c r="G869" s="46" t="inlineStr">
        <is>
          <t>Gemma3:27b via Ollama</t>
        </is>
      </c>
      <c r="H869" s="48" t="n">
        <v>46164</v>
      </c>
      <c r="I869" s="46" t="inlineStr">
        <is>
          <t>7.326</t>
        </is>
      </c>
      <c r="J869" s="46" t="inlineStr">
        <is>
          <t>65.11</t>
        </is>
      </c>
      <c r="K869" s="46" t="inlineStr">
        <is>
          <t>Gemma3:27b</t>
        </is>
      </c>
      <c r="L869" s="46" t="inlineStr">
        <is>
          <t>0.3</t>
        </is>
      </c>
      <c r="M869" s="73" t="inlineStr">
        <is>
          <t>Complete</t>
        </is>
      </c>
    </row>
    <row r="870" ht="13.5" customHeight="1" s="38">
      <c r="A870" s="46" t="inlineStr">
        <is>
          <t>S_S4_SC02_I07</t>
        </is>
      </c>
      <c r="B870" s="46" t="inlineStr">
        <is>
          <t>R_0763</t>
        </is>
      </c>
      <c r="C870" s="46" t="inlineStr">
        <is>
          <t>Strategy 4 – One-Shot + Template + BLUF</t>
        </is>
      </c>
      <c r="D870" s="46" t="inlineStr">
        <is>
          <t>SC02</t>
        </is>
      </c>
      <c r="E870" s="46" t="inlineStr">
        <is>
          <t>Supply Chain</t>
        </is>
      </c>
      <c r="F870" s="47" t="n">
        <v>7</v>
      </c>
      <c r="G870" s="46" t="inlineStr">
        <is>
          <t>Gemma3:27b via Ollama</t>
        </is>
      </c>
      <c r="H870" s="48" t="n">
        <v>46164</v>
      </c>
      <c r="I870" s="46" t="inlineStr">
        <is>
          <t>7.081</t>
        </is>
      </c>
      <c r="J870" s="46" t="inlineStr">
        <is>
          <t>66.09</t>
        </is>
      </c>
      <c r="K870" s="46" t="inlineStr">
        <is>
          <t>Gemma3:27b</t>
        </is>
      </c>
      <c r="L870" s="46" t="inlineStr">
        <is>
          <t>0.3</t>
        </is>
      </c>
      <c r="M870" s="73" t="inlineStr">
        <is>
          <t>Complete</t>
        </is>
      </c>
    </row>
    <row r="871" ht="13.5" customHeight="1" s="38">
      <c r="A871" s="46" t="inlineStr">
        <is>
          <t>S_S4_SC02_I08</t>
        </is>
      </c>
      <c r="B871" s="46" t="inlineStr">
        <is>
          <t>R_0253</t>
        </is>
      </c>
      <c r="C871" s="46" t="inlineStr">
        <is>
          <t>Strategy 4 – One-Shot + Template + BLUF</t>
        </is>
      </c>
      <c r="D871" s="46" t="inlineStr">
        <is>
          <t>SC02</t>
        </is>
      </c>
      <c r="E871" s="46" t="inlineStr">
        <is>
          <t>Supply Chain</t>
        </is>
      </c>
      <c r="F871" s="47" t="n">
        <v>8</v>
      </c>
      <c r="G871" s="46" t="inlineStr">
        <is>
          <t>Gemma3:27b via Ollama</t>
        </is>
      </c>
      <c r="H871" s="48" t="n">
        <v>46164</v>
      </c>
      <c r="I871" s="46" t="inlineStr">
        <is>
          <t>7.946</t>
        </is>
      </c>
      <c r="J871" s="46" t="inlineStr">
        <is>
          <t>65.70</t>
        </is>
      </c>
      <c r="K871" s="46" t="inlineStr">
        <is>
          <t>Gemma3:27b</t>
        </is>
      </c>
      <c r="L871" s="46" t="inlineStr">
        <is>
          <t>0.3</t>
        </is>
      </c>
      <c r="M871" s="73" t="inlineStr">
        <is>
          <t>Complete</t>
        </is>
      </c>
    </row>
    <row r="872" ht="13.5" customHeight="1" s="38">
      <c r="A872" s="46" t="inlineStr">
        <is>
          <t>S_S4_SC02_I09</t>
        </is>
      </c>
      <c r="B872" s="46" t="inlineStr">
        <is>
          <t>R_0143</t>
        </is>
      </c>
      <c r="C872" s="46" t="inlineStr">
        <is>
          <t>Strategy 4 – One-Shot + Template + BLUF</t>
        </is>
      </c>
      <c r="D872" s="46" t="inlineStr">
        <is>
          <t>SC02</t>
        </is>
      </c>
      <c r="E872" s="46" t="inlineStr">
        <is>
          <t>Supply Chain</t>
        </is>
      </c>
      <c r="F872" s="47" t="n">
        <v>9</v>
      </c>
      <c r="G872" s="46" t="inlineStr">
        <is>
          <t>Gemma3:27b via Ollama</t>
        </is>
      </c>
      <c r="H872" s="48" t="n">
        <v>46164</v>
      </c>
      <c r="I872" s="46" t="inlineStr">
        <is>
          <t>8.351</t>
        </is>
      </c>
      <c r="J872" s="46" t="inlineStr">
        <is>
          <t>63.95</t>
        </is>
      </c>
      <c r="K872" s="46" t="inlineStr">
        <is>
          <t>Gemma3:27b</t>
        </is>
      </c>
      <c r="L872" s="46" t="inlineStr">
        <is>
          <t>0.3</t>
        </is>
      </c>
      <c r="M872" s="73" t="inlineStr">
        <is>
          <t>Complete</t>
        </is>
      </c>
    </row>
    <row r="873" ht="13.5" customHeight="1" s="38">
      <c r="A873" s="46" t="inlineStr">
        <is>
          <t>S_S4_SC02_I10</t>
        </is>
      </c>
      <c r="B873" s="46" t="inlineStr">
        <is>
          <t>R_0272</t>
        </is>
      </c>
      <c r="C873" s="46" t="inlineStr">
        <is>
          <t>Strategy 4 – One-Shot + Template + BLUF</t>
        </is>
      </c>
      <c r="D873" s="46" t="inlineStr">
        <is>
          <t>SC02</t>
        </is>
      </c>
      <c r="E873" s="46" t="inlineStr">
        <is>
          <t>Supply Chain</t>
        </is>
      </c>
      <c r="F873" s="47" t="n">
        <v>10</v>
      </c>
      <c r="G873" s="46" t="inlineStr">
        <is>
          <t>Gemma3:27b via Ollama</t>
        </is>
      </c>
      <c r="H873" s="48" t="n">
        <v>46164</v>
      </c>
      <c r="I873" s="46" t="inlineStr">
        <is>
          <t>7.733</t>
        </is>
      </c>
      <c r="J873" s="46" t="inlineStr">
        <is>
          <t>65.96</t>
        </is>
      </c>
      <c r="K873" s="46" t="inlineStr">
        <is>
          <t>Gemma3:27b</t>
        </is>
      </c>
      <c r="L873" s="46" t="inlineStr">
        <is>
          <t>0.3</t>
        </is>
      </c>
      <c r="M873" s="73" t="inlineStr">
        <is>
          <t>Complete</t>
        </is>
      </c>
    </row>
    <row r="874" ht="13.5" customHeight="1" s="38">
      <c r="A874" s="46" t="inlineStr">
        <is>
          <t>S_S4_SC03_I01</t>
        </is>
      </c>
      <c r="B874" s="46" t="inlineStr">
        <is>
          <t>R_0147</t>
        </is>
      </c>
      <c r="C874" s="46" t="inlineStr">
        <is>
          <t>Strategy 4 – One-Shot + Template + BLUF</t>
        </is>
      </c>
      <c r="D874" s="46" t="inlineStr">
        <is>
          <t>SC03</t>
        </is>
      </c>
      <c r="E874" s="46" t="inlineStr">
        <is>
          <t>Supply Chain</t>
        </is>
      </c>
      <c r="F874" s="47" t="n">
        <v>1</v>
      </c>
      <c r="G874" s="46" t="inlineStr">
        <is>
          <t>Gemma3:27b via Ollama</t>
        </is>
      </c>
      <c r="H874" s="48" t="n">
        <v>46164</v>
      </c>
      <c r="I874" s="46" t="inlineStr">
        <is>
          <t>7.087</t>
        </is>
      </c>
      <c r="J874" s="46" t="inlineStr">
        <is>
          <t>66.17</t>
        </is>
      </c>
      <c r="K874" s="46" t="inlineStr">
        <is>
          <t>Gemma3:27b</t>
        </is>
      </c>
      <c r="L874" s="46" t="inlineStr">
        <is>
          <t>0.3</t>
        </is>
      </c>
      <c r="M874" s="73" t="inlineStr">
        <is>
          <t>Complete</t>
        </is>
      </c>
    </row>
    <row r="875" ht="13.5" customHeight="1" s="38">
      <c r="A875" s="46" t="inlineStr">
        <is>
          <t>S_S4_SC03_I02</t>
        </is>
      </c>
      <c r="B875" s="46" t="inlineStr">
        <is>
          <t>R_0470</t>
        </is>
      </c>
      <c r="C875" s="46" t="inlineStr">
        <is>
          <t>Strategy 4 – One-Shot + Template + BLUF</t>
        </is>
      </c>
      <c r="D875" s="46" t="inlineStr">
        <is>
          <t>SC03</t>
        </is>
      </c>
      <c r="E875" s="46" t="inlineStr">
        <is>
          <t>Supply Chain</t>
        </is>
      </c>
      <c r="F875" s="47" t="n">
        <v>2</v>
      </c>
      <c r="G875" s="46" t="inlineStr">
        <is>
          <t>Gemma3:27b via Ollama</t>
        </is>
      </c>
      <c r="H875" s="48" t="n">
        <v>46164</v>
      </c>
      <c r="I875" s="46" t="inlineStr">
        <is>
          <t>6.451</t>
        </is>
      </c>
      <c r="J875" s="46" t="inlineStr">
        <is>
          <t>66.19</t>
        </is>
      </c>
      <c r="K875" s="46" t="inlineStr">
        <is>
          <t>Gemma3:27b</t>
        </is>
      </c>
      <c r="L875" s="46" t="inlineStr">
        <is>
          <t>0.3</t>
        </is>
      </c>
      <c r="M875" s="73" t="inlineStr">
        <is>
          <t>Complete</t>
        </is>
      </c>
    </row>
    <row r="876" ht="13.5" customHeight="1" s="38">
      <c r="A876" s="46" t="inlineStr">
        <is>
          <t>S_S4_SC03_I03</t>
        </is>
      </c>
      <c r="B876" s="46" t="inlineStr">
        <is>
          <t>R_0659</t>
        </is>
      </c>
      <c r="C876" s="46" t="inlineStr">
        <is>
          <t>Strategy 4 – One-Shot + Template + BLUF</t>
        </is>
      </c>
      <c r="D876" s="46" t="inlineStr">
        <is>
          <t>SC03</t>
        </is>
      </c>
      <c r="E876" s="46" t="inlineStr">
        <is>
          <t>Supply Chain</t>
        </is>
      </c>
      <c r="F876" s="47" t="n">
        <v>3</v>
      </c>
      <c r="G876" s="46" t="inlineStr">
        <is>
          <t>Gemma3:27b via Ollama</t>
        </is>
      </c>
      <c r="H876" s="48" t="n">
        <v>46164</v>
      </c>
      <c r="I876" s="46" t="inlineStr">
        <is>
          <t>7.041</t>
        </is>
      </c>
      <c r="J876" s="46" t="inlineStr">
        <is>
          <t>66.04</t>
        </is>
      </c>
      <c r="K876" s="46" t="inlineStr">
        <is>
          <t>Gemma3:27b</t>
        </is>
      </c>
      <c r="L876" s="46" t="inlineStr">
        <is>
          <t>0.3</t>
        </is>
      </c>
      <c r="M876" s="73" t="inlineStr">
        <is>
          <t>Complete</t>
        </is>
      </c>
    </row>
    <row r="877" ht="13.5" customHeight="1" s="38">
      <c r="A877" s="46" t="inlineStr">
        <is>
          <t>S_S4_SC03_I04</t>
        </is>
      </c>
      <c r="B877" s="46" t="inlineStr">
        <is>
          <t>R_0406</t>
        </is>
      </c>
      <c r="C877" s="46" t="inlineStr">
        <is>
          <t>Strategy 4 – One-Shot + Template + BLUF</t>
        </is>
      </c>
      <c r="D877" s="46" t="inlineStr">
        <is>
          <t>SC03</t>
        </is>
      </c>
      <c r="E877" s="46" t="inlineStr">
        <is>
          <t>Supply Chain</t>
        </is>
      </c>
      <c r="F877" s="47" t="n">
        <v>4</v>
      </c>
      <c r="G877" s="46" t="inlineStr">
        <is>
          <t>Gemma3:27b via Ollama</t>
        </is>
      </c>
      <c r="H877" s="48" t="n">
        <v>46164</v>
      </c>
      <c r="I877" s="46" t="inlineStr">
        <is>
          <t>7.651</t>
        </is>
      </c>
      <c r="J877" s="46" t="inlineStr">
        <is>
          <t>65.35</t>
        </is>
      </c>
      <c r="K877" s="46" t="inlineStr">
        <is>
          <t>Gemma3:27b</t>
        </is>
      </c>
      <c r="L877" s="46" t="inlineStr">
        <is>
          <t>0.3</t>
        </is>
      </c>
      <c r="M877" s="73" t="inlineStr">
        <is>
          <t>Complete</t>
        </is>
      </c>
    </row>
    <row r="878" ht="13.5" customHeight="1" s="38">
      <c r="A878" s="46" t="inlineStr">
        <is>
          <t>S_S4_SC03_I05</t>
        </is>
      </c>
      <c r="B878" s="46" t="inlineStr">
        <is>
          <t>R_0512</t>
        </is>
      </c>
      <c r="C878" s="46" t="inlineStr">
        <is>
          <t>Strategy 4 – One-Shot + Template + BLUF</t>
        </is>
      </c>
      <c r="D878" s="46" t="inlineStr">
        <is>
          <t>SC03</t>
        </is>
      </c>
      <c r="E878" s="46" t="inlineStr">
        <is>
          <t>Supply Chain</t>
        </is>
      </c>
      <c r="F878" s="47" t="n">
        <v>5</v>
      </c>
      <c r="G878" s="46" t="inlineStr">
        <is>
          <t>Gemma3:27b via Ollama</t>
        </is>
      </c>
      <c r="H878" s="48" t="n">
        <v>46164</v>
      </c>
      <c r="I878" s="46" t="inlineStr">
        <is>
          <t>8.254</t>
        </is>
      </c>
      <c r="J878" s="46" t="inlineStr">
        <is>
          <t>66.03</t>
        </is>
      </c>
      <c r="K878" s="46" t="inlineStr">
        <is>
          <t>Gemma3:27b</t>
        </is>
      </c>
      <c r="L878" s="46" t="inlineStr">
        <is>
          <t>0.3</t>
        </is>
      </c>
      <c r="M878" s="73" t="inlineStr">
        <is>
          <t>Complete</t>
        </is>
      </c>
    </row>
    <row r="879" ht="13.5" customHeight="1" s="38">
      <c r="A879" s="46" t="inlineStr">
        <is>
          <t>S_S4_SC03_I06</t>
        </is>
      </c>
      <c r="B879" s="46" t="inlineStr">
        <is>
          <t>R_0672</t>
        </is>
      </c>
      <c r="C879" s="46" t="inlineStr">
        <is>
          <t>Strategy 4 – One-Shot + Template + BLUF</t>
        </is>
      </c>
      <c r="D879" s="46" t="inlineStr">
        <is>
          <t>SC03</t>
        </is>
      </c>
      <c r="E879" s="46" t="inlineStr">
        <is>
          <t>Supply Chain</t>
        </is>
      </c>
      <c r="F879" s="47" t="n">
        <v>6</v>
      </c>
      <c r="G879" s="46" t="inlineStr">
        <is>
          <t>Gemma3:27b via Ollama</t>
        </is>
      </c>
      <c r="H879" s="48" t="n">
        <v>46164</v>
      </c>
      <c r="I879" s="46" t="inlineStr">
        <is>
          <t>6.501</t>
        </is>
      </c>
      <c r="J879" s="46" t="inlineStr">
        <is>
          <t>65.68</t>
        </is>
      </c>
      <c r="K879" s="46" t="inlineStr">
        <is>
          <t>Gemma3:27b</t>
        </is>
      </c>
      <c r="L879" s="46" t="inlineStr">
        <is>
          <t>0.3</t>
        </is>
      </c>
      <c r="M879" s="73" t="inlineStr">
        <is>
          <t>Complete</t>
        </is>
      </c>
    </row>
    <row r="880" ht="13.5" customHeight="1" s="38">
      <c r="A880" s="46" t="inlineStr">
        <is>
          <t>S_S4_SC03_I07</t>
        </is>
      </c>
      <c r="B880" s="46" t="inlineStr">
        <is>
          <t>R_0218</t>
        </is>
      </c>
      <c r="C880" s="46" t="inlineStr">
        <is>
          <t>Strategy 4 – One-Shot + Template + BLUF</t>
        </is>
      </c>
      <c r="D880" s="46" t="inlineStr">
        <is>
          <t>SC03</t>
        </is>
      </c>
      <c r="E880" s="46" t="inlineStr">
        <is>
          <t>Supply Chain</t>
        </is>
      </c>
      <c r="F880" s="47" t="n">
        <v>7</v>
      </c>
      <c r="G880" s="46" t="inlineStr">
        <is>
          <t>Gemma3:27b via Ollama</t>
        </is>
      </c>
      <c r="H880" s="48" t="n">
        <v>46164</v>
      </c>
      <c r="I880" s="46" t="inlineStr">
        <is>
          <t>6.223</t>
        </is>
      </c>
      <c r="J880" s="46" t="inlineStr">
        <is>
          <t>64.43</t>
        </is>
      </c>
      <c r="K880" s="46" t="inlineStr">
        <is>
          <t>Gemma3:27b</t>
        </is>
      </c>
      <c r="L880" s="46" t="inlineStr">
        <is>
          <t>0.3</t>
        </is>
      </c>
      <c r="M880" s="73" t="inlineStr">
        <is>
          <t>Complete</t>
        </is>
      </c>
    </row>
    <row r="881" ht="13.5" customHeight="1" s="38">
      <c r="A881" s="46" t="inlineStr">
        <is>
          <t>S_S4_SC03_I08</t>
        </is>
      </c>
      <c r="B881" s="46" t="inlineStr">
        <is>
          <t>R_0323</t>
        </is>
      </c>
      <c r="C881" s="46" t="inlineStr">
        <is>
          <t>Strategy 4 – One-Shot + Template + BLUF</t>
        </is>
      </c>
      <c r="D881" s="46" t="inlineStr">
        <is>
          <t>SC03</t>
        </is>
      </c>
      <c r="E881" s="46" t="inlineStr">
        <is>
          <t>Supply Chain</t>
        </is>
      </c>
      <c r="F881" s="47" t="n">
        <v>8</v>
      </c>
      <c r="G881" s="46" t="inlineStr">
        <is>
          <t>Gemma3:27b via Ollama</t>
        </is>
      </c>
      <c r="H881" s="48" t="n">
        <v>46164</v>
      </c>
      <c r="I881" s="46" t="inlineStr">
        <is>
          <t>7.494</t>
        </is>
      </c>
      <c r="J881" s="46" t="inlineStr">
        <is>
          <t>66.05</t>
        </is>
      </c>
      <c r="K881" s="46" t="inlineStr">
        <is>
          <t>Gemma3:27b</t>
        </is>
      </c>
      <c r="L881" s="46" t="inlineStr">
        <is>
          <t>0.3</t>
        </is>
      </c>
      <c r="M881" s="73" t="inlineStr">
        <is>
          <t>Complete</t>
        </is>
      </c>
    </row>
    <row r="882" ht="13.5" customHeight="1" s="38">
      <c r="A882" s="46" t="inlineStr">
        <is>
          <t>S_S4_SC03_I09</t>
        </is>
      </c>
      <c r="B882" s="46" t="inlineStr">
        <is>
          <t>R_0736</t>
        </is>
      </c>
      <c r="C882" s="46" t="inlineStr">
        <is>
          <t>Strategy 4 – One-Shot + Template + BLUF</t>
        </is>
      </c>
      <c r="D882" s="46" t="inlineStr">
        <is>
          <t>SC03</t>
        </is>
      </c>
      <c r="E882" s="46" t="inlineStr">
        <is>
          <t>Supply Chain</t>
        </is>
      </c>
      <c r="F882" s="47" t="n">
        <v>9</v>
      </c>
      <c r="G882" s="46" t="inlineStr">
        <is>
          <t>Gemma3:27b via Ollama</t>
        </is>
      </c>
      <c r="H882" s="48" t="n">
        <v>46164</v>
      </c>
      <c r="I882" s="46" t="inlineStr">
        <is>
          <t>7.182</t>
        </is>
      </c>
      <c r="J882" s="46" t="inlineStr">
        <is>
          <t>66.28</t>
        </is>
      </c>
      <c r="K882" s="46" t="inlineStr">
        <is>
          <t>Gemma3:27b</t>
        </is>
      </c>
      <c r="L882" s="46" t="inlineStr">
        <is>
          <t>0.3</t>
        </is>
      </c>
      <c r="M882" s="73" t="inlineStr">
        <is>
          <t>Complete</t>
        </is>
      </c>
    </row>
    <row r="883" ht="13.5" customHeight="1" s="38">
      <c r="A883" s="46" t="inlineStr">
        <is>
          <t>S_S4_SC03_I10</t>
        </is>
      </c>
      <c r="B883" s="46" t="inlineStr">
        <is>
          <t>R_0581</t>
        </is>
      </c>
      <c r="C883" s="46" t="inlineStr">
        <is>
          <t>Strategy 4 – One-Shot + Template + BLUF</t>
        </is>
      </c>
      <c r="D883" s="46" t="inlineStr">
        <is>
          <t>SC03</t>
        </is>
      </c>
      <c r="E883" s="46" t="inlineStr">
        <is>
          <t>Supply Chain</t>
        </is>
      </c>
      <c r="F883" s="47" t="n">
        <v>10</v>
      </c>
      <c r="G883" s="46" t="inlineStr">
        <is>
          <t>Gemma3:27b via Ollama</t>
        </is>
      </c>
      <c r="H883" s="48" t="n">
        <v>46164</v>
      </c>
      <c r="I883" s="46" t="inlineStr">
        <is>
          <t>6.495</t>
        </is>
      </c>
      <c r="J883" s="46" t="inlineStr">
        <is>
          <t>65.90</t>
        </is>
      </c>
      <c r="K883" s="46" t="inlineStr">
        <is>
          <t>Gemma3:27b</t>
        </is>
      </c>
      <c r="L883" s="46" t="inlineStr">
        <is>
          <t>0.3</t>
        </is>
      </c>
      <c r="M883" s="73" t="inlineStr">
        <is>
          <t>Complete</t>
        </is>
      </c>
    </row>
    <row r="884" ht="13.5" customHeight="1" s="38">
      <c r="A884" s="46" t="inlineStr">
        <is>
          <t>S_S4_SC04_I01</t>
        </is>
      </c>
      <c r="B884" s="46" t="inlineStr">
        <is>
          <t>R_0217</t>
        </is>
      </c>
      <c r="C884" s="46" t="inlineStr">
        <is>
          <t>Strategy 4 – One-Shot + Template + BLUF</t>
        </is>
      </c>
      <c r="D884" s="46" t="inlineStr">
        <is>
          <t>SC04</t>
        </is>
      </c>
      <c r="E884" s="46" t="inlineStr">
        <is>
          <t>Supply Chain</t>
        </is>
      </c>
      <c r="F884" s="47" t="n">
        <v>1</v>
      </c>
      <c r="G884" s="46" t="inlineStr">
        <is>
          <t>Gemma3:27b via Ollama</t>
        </is>
      </c>
      <c r="H884" s="48" t="n">
        <v>46166</v>
      </c>
      <c r="I884" s="46" t="inlineStr">
        <is>
          <t>7.286</t>
        </is>
      </c>
      <c r="J884" s="46" t="inlineStr">
        <is>
          <t>68.08</t>
        </is>
      </c>
      <c r="K884" s="46" t="inlineStr">
        <is>
          <t>Gemma3:27b</t>
        </is>
      </c>
      <c r="L884" s="46" t="inlineStr">
        <is>
          <t>0.3</t>
        </is>
      </c>
      <c r="M884" s="73" t="inlineStr">
        <is>
          <t>Complete</t>
        </is>
      </c>
    </row>
    <row r="885" ht="13.5" customHeight="1" s="38">
      <c r="A885" s="46" t="inlineStr">
        <is>
          <t>S_S4_SC04_I02</t>
        </is>
      </c>
      <c r="B885" s="46" t="inlineStr">
        <is>
          <t>R_0068</t>
        </is>
      </c>
      <c r="C885" s="46" t="inlineStr">
        <is>
          <t>Strategy 4 – One-Shot + Template + BLUF</t>
        </is>
      </c>
      <c r="D885" s="46" t="inlineStr">
        <is>
          <t>SC04</t>
        </is>
      </c>
      <c r="E885" s="46" t="inlineStr">
        <is>
          <t>Supply Chain</t>
        </is>
      </c>
      <c r="F885" s="47" t="n">
        <v>2</v>
      </c>
      <c r="G885" s="46" t="inlineStr">
        <is>
          <t>Gemma3:27b via Ollama</t>
        </is>
      </c>
      <c r="H885" s="48" t="n">
        <v>46166</v>
      </c>
      <c r="I885" s="46" t="inlineStr">
        <is>
          <t>8.128</t>
        </is>
      </c>
      <c r="J885" s="46" t="inlineStr">
        <is>
          <t>65.94</t>
        </is>
      </c>
      <c r="K885" s="46" t="inlineStr">
        <is>
          <t>Gemma3:27b</t>
        </is>
      </c>
      <c r="L885" s="46" t="inlineStr">
        <is>
          <t>0.3</t>
        </is>
      </c>
      <c r="M885" s="73" t="inlineStr">
        <is>
          <t>Complete</t>
        </is>
      </c>
    </row>
    <row r="886" ht="13.5" customHeight="1" s="38">
      <c r="A886" s="46" t="inlineStr">
        <is>
          <t>S_S4_SC04_I03</t>
        </is>
      </c>
      <c r="B886" s="46" t="inlineStr">
        <is>
          <t>R_0275</t>
        </is>
      </c>
      <c r="C886" s="46" t="inlineStr">
        <is>
          <t>Strategy 4 – One-Shot + Template + BLUF</t>
        </is>
      </c>
      <c r="D886" s="46" t="inlineStr">
        <is>
          <t>SC04</t>
        </is>
      </c>
      <c r="E886" s="46" t="inlineStr">
        <is>
          <t>Supply Chain</t>
        </is>
      </c>
      <c r="F886" s="47" t="n">
        <v>3</v>
      </c>
      <c r="G886" s="46" t="inlineStr">
        <is>
          <t>Gemma3:27b via Ollama</t>
        </is>
      </c>
      <c r="H886" s="48" t="n">
        <v>46166</v>
      </c>
      <c r="I886" s="46" t="inlineStr">
        <is>
          <t>6.932</t>
        </is>
      </c>
      <c r="J886" s="46" t="inlineStr">
        <is>
          <t>67.65</t>
        </is>
      </c>
      <c r="K886" s="46" t="inlineStr">
        <is>
          <t>Gemma3:27b</t>
        </is>
      </c>
      <c r="L886" s="46" t="inlineStr">
        <is>
          <t>0.3</t>
        </is>
      </c>
      <c r="M886" s="73" t="inlineStr">
        <is>
          <t>Complete</t>
        </is>
      </c>
    </row>
    <row r="887" ht="13.5" customHeight="1" s="38">
      <c r="A887" s="46" t="inlineStr">
        <is>
          <t>S_S4_SC04_I04</t>
        </is>
      </c>
      <c r="B887" s="46" t="inlineStr">
        <is>
          <t>R_0411</t>
        </is>
      </c>
      <c r="C887" s="46" t="inlineStr">
        <is>
          <t>Strategy 4 – One-Shot + Template + BLUF</t>
        </is>
      </c>
      <c r="D887" s="46" t="inlineStr">
        <is>
          <t>SC04</t>
        </is>
      </c>
      <c r="E887" s="46" t="inlineStr">
        <is>
          <t>Supply Chain</t>
        </is>
      </c>
      <c r="F887" s="47" t="n">
        <v>4</v>
      </c>
      <c r="G887" s="46" t="inlineStr">
        <is>
          <t>Gemma3:27b via Ollama</t>
        </is>
      </c>
      <c r="H887" s="48" t="n">
        <v>46166</v>
      </c>
      <c r="I887" s="46" t="inlineStr">
        <is>
          <t>6.664</t>
        </is>
      </c>
      <c r="J887" s="46" t="inlineStr">
        <is>
          <t>67.23</t>
        </is>
      </c>
      <c r="K887" s="46" t="inlineStr">
        <is>
          <t>Gemma3:27b</t>
        </is>
      </c>
      <c r="L887" s="46" t="inlineStr">
        <is>
          <t>0.3</t>
        </is>
      </c>
      <c r="M887" s="73" t="inlineStr">
        <is>
          <t>Complete</t>
        </is>
      </c>
    </row>
    <row r="888" ht="13.5" customHeight="1" s="38">
      <c r="A888" s="46" t="inlineStr">
        <is>
          <t>S_S4_SC04_I05</t>
        </is>
      </c>
      <c r="B888" s="46" t="inlineStr">
        <is>
          <t>R_0324</t>
        </is>
      </c>
      <c r="C888" s="46" t="inlineStr">
        <is>
          <t>Strategy 4 – One-Shot + Template + BLUF</t>
        </is>
      </c>
      <c r="D888" s="46" t="inlineStr">
        <is>
          <t>SC04</t>
        </is>
      </c>
      <c r="E888" s="46" t="inlineStr">
        <is>
          <t>Supply Chain</t>
        </is>
      </c>
      <c r="F888" s="47" t="n">
        <v>5</v>
      </c>
      <c r="G888" s="46" t="inlineStr">
        <is>
          <t>Gemma3:27b via Ollama</t>
        </is>
      </c>
      <c r="H888" s="48" t="n">
        <v>46166</v>
      </c>
      <c r="I888" s="46" t="inlineStr">
        <is>
          <t>7.582</t>
        </is>
      </c>
      <c r="J888" s="46" t="inlineStr">
        <is>
          <t>65.68</t>
        </is>
      </c>
      <c r="K888" s="46" t="inlineStr">
        <is>
          <t>Gemma3:27b</t>
        </is>
      </c>
      <c r="L888" s="46" t="inlineStr">
        <is>
          <t>0.3</t>
        </is>
      </c>
      <c r="M888" s="73" t="inlineStr">
        <is>
          <t>Complete</t>
        </is>
      </c>
    </row>
    <row r="889" ht="13.5" customHeight="1" s="38">
      <c r="A889" s="46" t="inlineStr">
        <is>
          <t>S_S4_SC04_I06</t>
        </is>
      </c>
      <c r="B889" s="46" t="inlineStr">
        <is>
          <t>R_0825</t>
        </is>
      </c>
      <c r="C889" s="46" t="inlineStr">
        <is>
          <t>Strategy 4 – One-Shot + Template + BLUF</t>
        </is>
      </c>
      <c r="D889" s="46" t="inlineStr">
        <is>
          <t>SC04</t>
        </is>
      </c>
      <c r="E889" s="46" t="inlineStr">
        <is>
          <t>Supply Chain</t>
        </is>
      </c>
      <c r="F889" s="47" t="n">
        <v>6</v>
      </c>
      <c r="G889" s="46" t="inlineStr">
        <is>
          <t>Gemma3:27b via Ollama</t>
        </is>
      </c>
      <c r="H889" s="48" t="n">
        <v>46166</v>
      </c>
      <c r="I889" s="46" t="inlineStr">
        <is>
          <t>7.683</t>
        </is>
      </c>
      <c r="J889" s="46" t="inlineStr">
        <is>
          <t>65.73</t>
        </is>
      </c>
      <c r="K889" s="46" t="inlineStr">
        <is>
          <t>Gemma3:27b</t>
        </is>
      </c>
      <c r="L889" s="46" t="inlineStr">
        <is>
          <t>0.3</t>
        </is>
      </c>
      <c r="M889" s="73" t="inlineStr">
        <is>
          <t>Complete</t>
        </is>
      </c>
    </row>
    <row r="890" ht="13.5" customHeight="1" s="38">
      <c r="A890" s="46" t="inlineStr">
        <is>
          <t>S_S4_SC04_I07</t>
        </is>
      </c>
      <c r="B890" s="46" t="inlineStr">
        <is>
          <t>R_0998</t>
        </is>
      </c>
      <c r="C890" s="46" t="inlineStr">
        <is>
          <t>Strategy 4 – One-Shot + Template + BLUF</t>
        </is>
      </c>
      <c r="D890" s="46" t="inlineStr">
        <is>
          <t>SC04</t>
        </is>
      </c>
      <c r="E890" s="46" t="inlineStr">
        <is>
          <t>Supply Chain</t>
        </is>
      </c>
      <c r="F890" s="47" t="n">
        <v>7</v>
      </c>
      <c r="G890" s="46" t="inlineStr">
        <is>
          <t>Gemma3:27b via Ollama</t>
        </is>
      </c>
      <c r="H890" s="48" t="n">
        <v>46166</v>
      </c>
      <c r="I890" s="46" t="inlineStr">
        <is>
          <t>7.360</t>
        </is>
      </c>
      <c r="J890" s="46" t="inlineStr">
        <is>
          <t>67.66</t>
        </is>
      </c>
      <c r="K890" s="46" t="inlineStr">
        <is>
          <t>Gemma3:27b</t>
        </is>
      </c>
      <c r="L890" s="46" t="inlineStr">
        <is>
          <t>0.3</t>
        </is>
      </c>
      <c r="M890" s="73" t="inlineStr">
        <is>
          <t>Complete</t>
        </is>
      </c>
    </row>
    <row r="891" ht="13.5" customHeight="1" s="38">
      <c r="A891" s="46" t="inlineStr">
        <is>
          <t>S_S4_SC04_I08</t>
        </is>
      </c>
      <c r="B891" s="46" t="inlineStr">
        <is>
          <t>R_0842</t>
        </is>
      </c>
      <c r="C891" s="46" t="inlineStr">
        <is>
          <t>Strategy 4 – One-Shot + Template + BLUF</t>
        </is>
      </c>
      <c r="D891" s="46" t="inlineStr">
        <is>
          <t>SC04</t>
        </is>
      </c>
      <c r="E891" s="46" t="inlineStr">
        <is>
          <t>Supply Chain</t>
        </is>
      </c>
      <c r="F891" s="47" t="n">
        <v>8</v>
      </c>
      <c r="G891" s="46" t="inlineStr">
        <is>
          <t>Gemma3:27b via Ollama</t>
        </is>
      </c>
      <c r="H891" s="48" t="n">
        <v>46166</v>
      </c>
      <c r="I891" s="46" t="inlineStr">
        <is>
          <t>6.202</t>
        </is>
      </c>
      <c r="J891" s="46" t="inlineStr">
        <is>
          <t>67.88</t>
        </is>
      </c>
      <c r="K891" s="46" t="inlineStr">
        <is>
          <t>Gemma3:27b</t>
        </is>
      </c>
      <c r="L891" s="46" t="inlineStr">
        <is>
          <t>0.3</t>
        </is>
      </c>
      <c r="M891" s="73" t="inlineStr">
        <is>
          <t>Complete</t>
        </is>
      </c>
    </row>
    <row r="892" ht="13.5" customHeight="1" s="38">
      <c r="A892" s="46" t="inlineStr">
        <is>
          <t>S_S4_SC04_I09</t>
        </is>
      </c>
      <c r="B892" s="46" t="inlineStr">
        <is>
          <t>R_0235</t>
        </is>
      </c>
      <c r="C892" s="46" t="inlineStr">
        <is>
          <t>Strategy 4 – One-Shot + Template + BLUF</t>
        </is>
      </c>
      <c r="D892" s="46" t="inlineStr">
        <is>
          <t>SC04</t>
        </is>
      </c>
      <c r="E892" s="46" t="inlineStr">
        <is>
          <t>Supply Chain</t>
        </is>
      </c>
      <c r="F892" s="47" t="n">
        <v>9</v>
      </c>
      <c r="G892" s="46" t="inlineStr">
        <is>
          <t>Gemma3:27b via Ollama</t>
        </is>
      </c>
      <c r="H892" s="48" t="n">
        <v>46166</v>
      </c>
      <c r="I892" s="46" t="inlineStr">
        <is>
          <t>6.573</t>
        </is>
      </c>
      <c r="J892" s="46" t="inlineStr">
        <is>
          <t>67.85</t>
        </is>
      </c>
      <c r="K892" s="46" t="inlineStr">
        <is>
          <t>Gemma3:27b</t>
        </is>
      </c>
      <c r="L892" s="46" t="inlineStr">
        <is>
          <t>0.3</t>
        </is>
      </c>
      <c r="M892" s="73" t="inlineStr">
        <is>
          <t>Complete</t>
        </is>
      </c>
    </row>
    <row r="893" ht="13.5" customHeight="1" s="38">
      <c r="A893" s="46" t="inlineStr">
        <is>
          <t>S_S4_SC04_I10</t>
        </is>
      </c>
      <c r="B893" s="46" t="inlineStr">
        <is>
          <t>R_0058</t>
        </is>
      </c>
      <c r="C893" s="46" t="inlineStr">
        <is>
          <t>Strategy 4 – One-Shot + Template + BLUF</t>
        </is>
      </c>
      <c r="D893" s="46" t="inlineStr">
        <is>
          <t>SC04</t>
        </is>
      </c>
      <c r="E893" s="46" t="inlineStr">
        <is>
          <t>Supply Chain</t>
        </is>
      </c>
      <c r="F893" s="47" t="n">
        <v>10</v>
      </c>
      <c r="G893" s="46" t="inlineStr">
        <is>
          <t>Gemma3:27b via Ollama</t>
        </is>
      </c>
      <c r="H893" s="48" t="n">
        <v>46166</v>
      </c>
      <c r="I893" s="46" t="inlineStr">
        <is>
          <t>6.702</t>
        </is>
      </c>
      <c r="J893" s="46" t="inlineStr">
        <is>
          <t>67.74</t>
        </is>
      </c>
      <c r="K893" s="46" t="inlineStr">
        <is>
          <t>Gemma3:27b</t>
        </is>
      </c>
      <c r="L893" s="46" t="inlineStr">
        <is>
          <t>0.3</t>
        </is>
      </c>
      <c r="M893" s="73" t="inlineStr">
        <is>
          <t>Complete</t>
        </is>
      </c>
    </row>
    <row r="894" ht="13.5" customHeight="1" s="38">
      <c r="A894" s="46" t="inlineStr">
        <is>
          <t>S_S4_SC05_I01</t>
        </is>
      </c>
      <c r="B894" s="46" t="inlineStr">
        <is>
          <t>R_0795</t>
        </is>
      </c>
      <c r="C894" s="46" t="inlineStr">
        <is>
          <t>Strategy 4 – One-Shot + Template + BLUF</t>
        </is>
      </c>
      <c r="D894" s="46" t="inlineStr">
        <is>
          <t>SC05</t>
        </is>
      </c>
      <c r="E894" s="46" t="inlineStr">
        <is>
          <t>Supply Chain</t>
        </is>
      </c>
      <c r="F894" s="47" t="n">
        <v>1</v>
      </c>
      <c r="G894" s="46" t="inlineStr">
        <is>
          <t>Gemma3:27b via Ollama</t>
        </is>
      </c>
      <c r="H894" s="48" t="n">
        <v>46166</v>
      </c>
      <c r="I894" s="46" t="inlineStr">
        <is>
          <t>6.845</t>
        </is>
      </c>
      <c r="J894" s="46" t="inlineStr">
        <is>
          <t>67.21</t>
        </is>
      </c>
      <c r="K894" s="46" t="inlineStr">
        <is>
          <t>Gemma3:27b</t>
        </is>
      </c>
      <c r="L894" s="46" t="inlineStr">
        <is>
          <t>0.3</t>
        </is>
      </c>
      <c r="M894" s="73" t="inlineStr">
        <is>
          <t>Complete</t>
        </is>
      </c>
    </row>
    <row r="895" ht="13.5" customHeight="1" s="38">
      <c r="A895" s="46" t="inlineStr">
        <is>
          <t>S_S4_SC05_I02</t>
        </is>
      </c>
      <c r="B895" s="46" t="inlineStr">
        <is>
          <t>R_0787</t>
        </is>
      </c>
      <c r="C895" s="46" t="inlineStr">
        <is>
          <t>Strategy 4 – One-Shot + Template + BLUF</t>
        </is>
      </c>
      <c r="D895" s="46" t="inlineStr">
        <is>
          <t>SC05</t>
        </is>
      </c>
      <c r="E895" s="46" t="inlineStr">
        <is>
          <t>Supply Chain</t>
        </is>
      </c>
      <c r="F895" s="47" t="n">
        <v>2</v>
      </c>
      <c r="G895" s="46" t="inlineStr">
        <is>
          <t>Gemma3:27b via Ollama</t>
        </is>
      </c>
      <c r="H895" s="48" t="n">
        <v>46166</v>
      </c>
      <c r="I895" s="46" t="inlineStr">
        <is>
          <t>6.283</t>
        </is>
      </c>
      <c r="J895" s="46" t="inlineStr">
        <is>
          <t>65.58</t>
        </is>
      </c>
      <c r="K895" s="46" t="inlineStr">
        <is>
          <t>Gemma3:27b</t>
        </is>
      </c>
      <c r="L895" s="46" t="inlineStr">
        <is>
          <t>0.3</t>
        </is>
      </c>
      <c r="M895" s="73" t="inlineStr">
        <is>
          <t>Complete</t>
        </is>
      </c>
    </row>
    <row r="896" ht="13.5" customHeight="1" s="38">
      <c r="A896" s="46" t="inlineStr">
        <is>
          <t>S_S4_SC05_I03</t>
        </is>
      </c>
      <c r="B896" s="46" t="inlineStr">
        <is>
          <t>R_0864</t>
        </is>
      </c>
      <c r="C896" s="46" t="inlineStr">
        <is>
          <t>Strategy 4 – One-Shot + Template + BLUF</t>
        </is>
      </c>
      <c r="D896" s="46" t="inlineStr">
        <is>
          <t>SC05</t>
        </is>
      </c>
      <c r="E896" s="46" t="inlineStr">
        <is>
          <t>Supply Chain</t>
        </is>
      </c>
      <c r="F896" s="47" t="n">
        <v>3</v>
      </c>
      <c r="G896" s="46" t="inlineStr">
        <is>
          <t>Gemma3:27b via Ollama</t>
        </is>
      </c>
      <c r="H896" s="48" t="n">
        <v>46166</v>
      </c>
      <c r="I896" s="46" t="inlineStr">
        <is>
          <t>7.001</t>
        </is>
      </c>
      <c r="J896" s="46" t="inlineStr">
        <is>
          <t>66.84</t>
        </is>
      </c>
      <c r="K896" s="46" t="inlineStr">
        <is>
          <t>Gemma3:27b</t>
        </is>
      </c>
      <c r="L896" s="46" t="inlineStr">
        <is>
          <t>0.3</t>
        </is>
      </c>
      <c r="M896" s="73" t="inlineStr">
        <is>
          <t>Complete</t>
        </is>
      </c>
    </row>
    <row r="897" ht="13.5" customHeight="1" s="38">
      <c r="A897" s="46" t="inlineStr">
        <is>
          <t>S_S4_SC05_I04</t>
        </is>
      </c>
      <c r="B897" s="46" t="inlineStr">
        <is>
          <t>R_0333</t>
        </is>
      </c>
      <c r="C897" s="46" t="inlineStr">
        <is>
          <t>Strategy 4 – One-Shot + Template + BLUF</t>
        </is>
      </c>
      <c r="D897" s="46" t="inlineStr">
        <is>
          <t>SC05</t>
        </is>
      </c>
      <c r="E897" s="46" t="inlineStr">
        <is>
          <t>Supply Chain</t>
        </is>
      </c>
      <c r="F897" s="47" t="n">
        <v>4</v>
      </c>
      <c r="G897" s="46" t="inlineStr">
        <is>
          <t>Gemma3:27b via Ollama</t>
        </is>
      </c>
      <c r="H897" s="48" t="n">
        <v>46166</v>
      </c>
      <c r="I897" s="46" t="inlineStr">
        <is>
          <t>6.332</t>
        </is>
      </c>
      <c r="J897" s="46" t="inlineStr">
        <is>
          <t>67.60</t>
        </is>
      </c>
      <c r="K897" s="46" t="inlineStr">
        <is>
          <t>Gemma3:27b</t>
        </is>
      </c>
      <c r="L897" s="46" t="inlineStr">
        <is>
          <t>0.3</t>
        </is>
      </c>
      <c r="M897" s="73" t="inlineStr">
        <is>
          <t>Complete</t>
        </is>
      </c>
    </row>
    <row r="898" ht="13.5" customHeight="1" s="38">
      <c r="A898" s="46" t="inlineStr">
        <is>
          <t>S_S4_SC05_I05</t>
        </is>
      </c>
      <c r="B898" s="46" t="inlineStr">
        <is>
          <t>R_0702</t>
        </is>
      </c>
      <c r="C898" s="46" t="inlineStr">
        <is>
          <t>Strategy 4 – One-Shot + Template + BLUF</t>
        </is>
      </c>
      <c r="D898" s="46" t="inlineStr">
        <is>
          <t>SC05</t>
        </is>
      </c>
      <c r="E898" s="46" t="inlineStr">
        <is>
          <t>Supply Chain</t>
        </is>
      </c>
      <c r="F898" s="47" t="n">
        <v>5</v>
      </c>
      <c r="G898" s="46" t="inlineStr">
        <is>
          <t>Gemma3:27b via Ollama</t>
        </is>
      </c>
      <c r="H898" s="48" t="n">
        <v>46166</v>
      </c>
      <c r="I898" s="46" t="inlineStr">
        <is>
          <t>7.433</t>
        </is>
      </c>
      <c r="J898" s="46" t="inlineStr">
        <is>
          <t>66.32</t>
        </is>
      </c>
      <c r="K898" s="46" t="inlineStr">
        <is>
          <t>Gemma3:27b</t>
        </is>
      </c>
      <c r="L898" s="46" t="inlineStr">
        <is>
          <t>0.3</t>
        </is>
      </c>
      <c r="M898" s="73" t="inlineStr">
        <is>
          <t>Complete</t>
        </is>
      </c>
    </row>
    <row r="899" ht="13.5" customHeight="1" s="38">
      <c r="A899" s="46" t="inlineStr">
        <is>
          <t>S_S4_SC05_I06</t>
        </is>
      </c>
      <c r="B899" s="46" t="inlineStr">
        <is>
          <t>R_0225</t>
        </is>
      </c>
      <c r="C899" s="46" t="inlineStr">
        <is>
          <t>Strategy 4 – One-Shot + Template + BLUF</t>
        </is>
      </c>
      <c r="D899" s="46" t="inlineStr">
        <is>
          <t>SC05</t>
        </is>
      </c>
      <c r="E899" s="46" t="inlineStr">
        <is>
          <t>Supply Chain</t>
        </is>
      </c>
      <c r="F899" s="47" t="n">
        <v>6</v>
      </c>
      <c r="G899" s="46" t="inlineStr">
        <is>
          <t>Gemma3:27b via Ollama</t>
        </is>
      </c>
      <c r="H899" s="48" t="n">
        <v>46166</v>
      </c>
      <c r="I899" s="46" t="inlineStr">
        <is>
          <t>6.933</t>
        </is>
      </c>
      <c r="J899" s="46" t="inlineStr">
        <is>
          <t>67.64</t>
        </is>
      </c>
      <c r="K899" s="46" t="inlineStr">
        <is>
          <t>Gemma3:27b</t>
        </is>
      </c>
      <c r="L899" s="46" t="inlineStr">
        <is>
          <t>0.3</t>
        </is>
      </c>
      <c r="M899" s="73" t="inlineStr">
        <is>
          <t>Complete</t>
        </is>
      </c>
    </row>
    <row r="900" ht="13.5" customHeight="1" s="38">
      <c r="A900" s="46" t="inlineStr">
        <is>
          <t>S_S4_SC05_I07</t>
        </is>
      </c>
      <c r="B900" s="46" t="inlineStr">
        <is>
          <t>R_0571</t>
        </is>
      </c>
      <c r="C900" s="46" t="inlineStr">
        <is>
          <t>Strategy 4 – One-Shot + Template + BLUF</t>
        </is>
      </c>
      <c r="D900" s="46" t="inlineStr">
        <is>
          <t>SC05</t>
        </is>
      </c>
      <c r="E900" s="46" t="inlineStr">
        <is>
          <t>Supply Chain</t>
        </is>
      </c>
      <c r="F900" s="47" t="n">
        <v>7</v>
      </c>
      <c r="G900" s="46" t="inlineStr">
        <is>
          <t>Gemma3:27b via Ollama</t>
        </is>
      </c>
      <c r="H900" s="48" t="n">
        <v>46166</v>
      </c>
      <c r="I900" s="46" t="inlineStr">
        <is>
          <t>6.657</t>
        </is>
      </c>
      <c r="J900" s="46" t="inlineStr">
        <is>
          <t>67.74</t>
        </is>
      </c>
      <c r="K900" s="46" t="inlineStr">
        <is>
          <t>Gemma3:27b</t>
        </is>
      </c>
      <c r="L900" s="46" t="inlineStr">
        <is>
          <t>0.3</t>
        </is>
      </c>
      <c r="M900" s="73" t="inlineStr">
        <is>
          <t>Complete</t>
        </is>
      </c>
    </row>
    <row r="901" ht="13.5" customHeight="1" s="38">
      <c r="A901" s="46" t="inlineStr">
        <is>
          <t>S_S4_SC05_I08</t>
        </is>
      </c>
      <c r="B901" s="46" t="inlineStr">
        <is>
          <t>R_0705</t>
        </is>
      </c>
      <c r="C901" s="46" t="inlineStr">
        <is>
          <t>Strategy 4 – One-Shot + Template + BLUF</t>
        </is>
      </c>
      <c r="D901" s="46" t="inlineStr">
        <is>
          <t>SC05</t>
        </is>
      </c>
      <c r="E901" s="46" t="inlineStr">
        <is>
          <t>Supply Chain</t>
        </is>
      </c>
      <c r="F901" s="47" t="n">
        <v>8</v>
      </c>
      <c r="G901" s="46" t="inlineStr">
        <is>
          <t>Gemma3:27b via Ollama</t>
        </is>
      </c>
      <c r="H901" s="48" t="n">
        <v>46166</v>
      </c>
      <c r="I901" s="46" t="inlineStr">
        <is>
          <t>6.813</t>
        </is>
      </c>
      <c r="J901" s="46" t="inlineStr">
        <is>
          <t>67.81</t>
        </is>
      </c>
      <c r="K901" s="46" t="inlineStr">
        <is>
          <t>Gemma3:27b</t>
        </is>
      </c>
      <c r="L901" s="46" t="inlineStr">
        <is>
          <t>0.3</t>
        </is>
      </c>
      <c r="M901" s="73" t="inlineStr">
        <is>
          <t>Complete</t>
        </is>
      </c>
    </row>
    <row r="902" ht="13.5" customHeight="1" s="38">
      <c r="A902" s="46" t="inlineStr">
        <is>
          <t>S_S4_SC05_I09</t>
        </is>
      </c>
      <c r="B902" s="46" t="inlineStr">
        <is>
          <t>R_0656</t>
        </is>
      </c>
      <c r="C902" s="46" t="inlineStr">
        <is>
          <t>Strategy 4 – One-Shot + Template + BLUF</t>
        </is>
      </c>
      <c r="D902" s="46" t="inlineStr">
        <is>
          <t>SC05</t>
        </is>
      </c>
      <c r="E902" s="46" t="inlineStr">
        <is>
          <t>Supply Chain</t>
        </is>
      </c>
      <c r="F902" s="47" t="n">
        <v>9</v>
      </c>
      <c r="G902" s="46" t="inlineStr">
        <is>
          <t>Gemma3:27b via Ollama</t>
        </is>
      </c>
      <c r="H902" s="48" t="n">
        <v>46166</v>
      </c>
      <c r="I902" s="46" t="inlineStr">
        <is>
          <t>6.946</t>
        </is>
      </c>
      <c r="J902" s="46" t="inlineStr">
        <is>
          <t>67.67</t>
        </is>
      </c>
      <c r="K902" s="46" t="inlineStr">
        <is>
          <t>Gemma3:27b</t>
        </is>
      </c>
      <c r="L902" s="46" t="inlineStr">
        <is>
          <t>0.3</t>
        </is>
      </c>
      <c r="M902" s="73" t="inlineStr">
        <is>
          <t>Complete</t>
        </is>
      </c>
    </row>
    <row r="903" ht="13.5" customHeight="1" s="38">
      <c r="A903" s="46" t="inlineStr">
        <is>
          <t>S_S4_SC05_I10</t>
        </is>
      </c>
      <c r="B903" s="46" t="inlineStr">
        <is>
          <t>R_0277</t>
        </is>
      </c>
      <c r="C903" s="46" t="inlineStr">
        <is>
          <t>Strategy 4 – One-Shot + Template + BLUF</t>
        </is>
      </c>
      <c r="D903" s="46" t="inlineStr">
        <is>
          <t>SC05</t>
        </is>
      </c>
      <c r="E903" s="46" t="inlineStr">
        <is>
          <t>Supply Chain</t>
        </is>
      </c>
      <c r="F903" s="47" t="n">
        <v>10</v>
      </c>
      <c r="G903" s="46" t="inlineStr">
        <is>
          <t>Gemma3:27b via Ollama</t>
        </is>
      </c>
      <c r="H903" s="48" t="n">
        <v>46166</v>
      </c>
      <c r="I903" s="46" t="inlineStr">
        <is>
          <t>7.158</t>
        </is>
      </c>
      <c r="J903" s="46" t="inlineStr">
        <is>
          <t>67.76</t>
        </is>
      </c>
      <c r="K903" s="46" t="inlineStr">
        <is>
          <t>Gemma3:27b</t>
        </is>
      </c>
      <c r="L903" s="46" t="inlineStr">
        <is>
          <t>0.3</t>
        </is>
      </c>
      <c r="M903" s="73" t="inlineStr">
        <is>
          <t>Complete</t>
        </is>
      </c>
    </row>
    <row r="904" ht="13.5" customHeight="1" s="38">
      <c r="A904" s="46" t="inlineStr">
        <is>
          <t>Z_S4_SC01_I01</t>
        </is>
      </c>
      <c r="B904" s="46" t="inlineStr">
        <is>
          <t>R_0389</t>
        </is>
      </c>
      <c r="C904" s="46" t="inlineStr">
        <is>
          <t>Strategy 4 – One-Shot + Template + BLUF</t>
        </is>
      </c>
      <c r="D904" s="46" t="inlineStr">
        <is>
          <t>SC01</t>
        </is>
      </c>
      <c r="E904" s="46" t="inlineStr">
        <is>
          <t>Zero-Day / Edge Device</t>
        </is>
      </c>
      <c r="F904" s="47" t="n">
        <v>1</v>
      </c>
      <c r="G904" s="46" t="inlineStr">
        <is>
          <t>Gemma3:27b via Ollama</t>
        </is>
      </c>
      <c r="H904" s="48" t="n">
        <v>46165</v>
      </c>
      <c r="I904" s="46" t="inlineStr">
        <is>
          <t>7.147</t>
        </is>
      </c>
      <c r="J904" s="46" t="inlineStr">
        <is>
          <t>65.20</t>
        </is>
      </c>
      <c r="K904" s="46" t="inlineStr">
        <is>
          <t>Gemma3:27b</t>
        </is>
      </c>
      <c r="L904" s="46" t="inlineStr">
        <is>
          <t>0.3</t>
        </is>
      </c>
      <c r="M904" s="73" t="inlineStr">
        <is>
          <t>Complete</t>
        </is>
      </c>
    </row>
    <row r="905" ht="13.5" customHeight="1" s="38">
      <c r="A905" s="46" t="inlineStr">
        <is>
          <t>Z_S4_SC01_I02</t>
        </is>
      </c>
      <c r="B905" s="46" t="inlineStr">
        <is>
          <t>R_0474</t>
        </is>
      </c>
      <c r="C905" s="46" t="inlineStr">
        <is>
          <t>Strategy 4 – One-Shot + Template + BLUF</t>
        </is>
      </c>
      <c r="D905" s="46" t="inlineStr">
        <is>
          <t>SC01</t>
        </is>
      </c>
      <c r="E905" s="46" t="inlineStr">
        <is>
          <t>Zero-Day / Edge Device</t>
        </is>
      </c>
      <c r="F905" s="47" t="n">
        <v>2</v>
      </c>
      <c r="G905" s="46" t="inlineStr">
        <is>
          <t>Gemma3:27b via Ollama</t>
        </is>
      </c>
      <c r="H905" s="48" t="n">
        <v>46165</v>
      </c>
      <c r="I905" s="46" t="inlineStr">
        <is>
          <t>9.084</t>
        </is>
      </c>
      <c r="J905" s="46" t="inlineStr">
        <is>
          <t>65.50</t>
        </is>
      </c>
      <c r="K905" s="46" t="inlineStr">
        <is>
          <t>Gemma3:27b</t>
        </is>
      </c>
      <c r="L905" s="46" t="inlineStr">
        <is>
          <t>0.3</t>
        </is>
      </c>
      <c r="M905" s="73" t="inlineStr">
        <is>
          <t>Complete</t>
        </is>
      </c>
    </row>
    <row r="906" ht="13.5" customHeight="1" s="38">
      <c r="A906" s="46" t="inlineStr">
        <is>
          <t>Z_S4_SC01_I03</t>
        </is>
      </c>
      <c r="B906" s="46" t="inlineStr">
        <is>
          <t>R_0168</t>
        </is>
      </c>
      <c r="C906" s="46" t="inlineStr">
        <is>
          <t>Strategy 4 – One-Shot + Template + BLUF</t>
        </is>
      </c>
      <c r="D906" s="46" t="inlineStr">
        <is>
          <t>SC01</t>
        </is>
      </c>
      <c r="E906" s="46" t="inlineStr">
        <is>
          <t>Zero-Day / Edge Device</t>
        </is>
      </c>
      <c r="F906" s="47" t="n">
        <v>3</v>
      </c>
      <c r="G906" s="46" t="inlineStr">
        <is>
          <t>Gemma3:27b via Ollama</t>
        </is>
      </c>
      <c r="H906" s="48" t="n">
        <v>46165</v>
      </c>
      <c r="I906" s="46" t="inlineStr">
        <is>
          <t>6.832</t>
        </is>
      </c>
      <c r="J906" s="46" t="inlineStr">
        <is>
          <t>65.28</t>
        </is>
      </c>
      <c r="K906" s="46" t="inlineStr">
        <is>
          <t>Gemma3:27b</t>
        </is>
      </c>
      <c r="L906" s="46" t="inlineStr">
        <is>
          <t>0.3</t>
        </is>
      </c>
      <c r="M906" s="73" t="inlineStr">
        <is>
          <t>Complete</t>
        </is>
      </c>
    </row>
    <row r="907" ht="13.5" customHeight="1" s="38">
      <c r="A907" s="46" t="inlineStr">
        <is>
          <t>Z_S4_SC01_I04</t>
        </is>
      </c>
      <c r="B907" s="46" t="inlineStr">
        <is>
          <t>R_0251</t>
        </is>
      </c>
      <c r="C907" s="46" t="inlineStr">
        <is>
          <t>Strategy 4 – One-Shot + Template + BLUF</t>
        </is>
      </c>
      <c r="D907" s="46" t="inlineStr">
        <is>
          <t>SC01</t>
        </is>
      </c>
      <c r="E907" s="46" t="inlineStr">
        <is>
          <t>Zero-Day / Edge Device</t>
        </is>
      </c>
      <c r="F907" s="47" t="n">
        <v>4</v>
      </c>
      <c r="G907" s="46" t="inlineStr">
        <is>
          <t>Gemma3:27b via Ollama</t>
        </is>
      </c>
      <c r="H907" s="48" t="n">
        <v>46165</v>
      </c>
      <c r="I907" s="46" t="inlineStr">
        <is>
          <t>9.381</t>
        </is>
      </c>
      <c r="J907" s="46" t="inlineStr">
        <is>
          <t>63.11</t>
        </is>
      </c>
      <c r="K907" s="46" t="inlineStr">
        <is>
          <t>Gemma3:27b</t>
        </is>
      </c>
      <c r="L907" s="46" t="inlineStr">
        <is>
          <t>0.3</t>
        </is>
      </c>
      <c r="M907" s="73" t="inlineStr">
        <is>
          <t>Complete</t>
        </is>
      </c>
    </row>
    <row r="908" ht="13.5" customHeight="1" s="38">
      <c r="A908" s="46" t="inlineStr">
        <is>
          <t>Z_S4_SC01_I05</t>
        </is>
      </c>
      <c r="B908" s="46" t="inlineStr">
        <is>
          <t>R_0747</t>
        </is>
      </c>
      <c r="C908" s="46" t="inlineStr">
        <is>
          <t>Strategy 4 – One-Shot + Template + BLUF</t>
        </is>
      </c>
      <c r="D908" s="46" t="inlineStr">
        <is>
          <t>SC01</t>
        </is>
      </c>
      <c r="E908" s="46" t="inlineStr">
        <is>
          <t>Zero-Day / Edge Device</t>
        </is>
      </c>
      <c r="F908" s="47" t="n">
        <v>5</v>
      </c>
      <c r="G908" s="46" t="inlineStr">
        <is>
          <t>Gemma3:27b via Ollama</t>
        </is>
      </c>
      <c r="H908" s="48" t="n">
        <v>46165</v>
      </c>
      <c r="I908" s="46" t="inlineStr">
        <is>
          <t>7.233</t>
        </is>
      </c>
      <c r="J908" s="46" t="inlineStr">
        <is>
          <t>63.45</t>
        </is>
      </c>
      <c r="K908" s="46" t="inlineStr">
        <is>
          <t>Gemma3:27b</t>
        </is>
      </c>
      <c r="L908" s="46" t="inlineStr">
        <is>
          <t>0.3</t>
        </is>
      </c>
      <c r="M908" s="73" t="inlineStr">
        <is>
          <t>Complete</t>
        </is>
      </c>
    </row>
    <row r="909" ht="13.5" customHeight="1" s="38">
      <c r="A909" s="46" t="inlineStr">
        <is>
          <t>Z_S4_SC01_I06</t>
        </is>
      </c>
      <c r="B909" s="46" t="inlineStr">
        <is>
          <t>R_0547</t>
        </is>
      </c>
      <c r="C909" s="46" t="inlineStr">
        <is>
          <t>Strategy 4 – One-Shot + Template + BLUF</t>
        </is>
      </c>
      <c r="D909" s="46" t="inlineStr">
        <is>
          <t>SC01</t>
        </is>
      </c>
      <c r="E909" s="46" t="inlineStr">
        <is>
          <t>Zero-Day / Edge Device</t>
        </is>
      </c>
      <c r="F909" s="47" t="n">
        <v>6</v>
      </c>
      <c r="G909" s="46" t="inlineStr">
        <is>
          <t>Gemma3:27b via Ollama</t>
        </is>
      </c>
      <c r="H909" s="48" t="n">
        <v>46165</v>
      </c>
      <c r="I909" s="46" t="inlineStr">
        <is>
          <t>7.346</t>
        </is>
      </c>
      <c r="J909" s="46" t="inlineStr">
        <is>
          <t>64.80</t>
        </is>
      </c>
      <c r="K909" s="46" t="inlineStr">
        <is>
          <t>Gemma3:27b</t>
        </is>
      </c>
      <c r="L909" s="46" t="inlineStr">
        <is>
          <t>0.3</t>
        </is>
      </c>
      <c r="M909" s="73" t="inlineStr">
        <is>
          <t>Complete</t>
        </is>
      </c>
    </row>
    <row r="910" ht="13.5" customHeight="1" s="38">
      <c r="A910" s="46" t="inlineStr">
        <is>
          <t>Z_S4_SC01_I07</t>
        </is>
      </c>
      <c r="B910" s="46" t="inlineStr">
        <is>
          <t>R_0176</t>
        </is>
      </c>
      <c r="C910" s="46" t="inlineStr">
        <is>
          <t>Strategy 4 – One-Shot + Template + BLUF</t>
        </is>
      </c>
      <c r="D910" s="46" t="inlineStr">
        <is>
          <t>SC01</t>
        </is>
      </c>
      <c r="E910" s="46" t="inlineStr">
        <is>
          <t>Zero-Day / Edge Device</t>
        </is>
      </c>
      <c r="F910" s="47" t="n">
        <v>7</v>
      </c>
      <c r="G910" s="46" t="inlineStr">
        <is>
          <t>Gemma3:27b via Ollama</t>
        </is>
      </c>
      <c r="H910" s="48" t="n">
        <v>46165</v>
      </c>
      <c r="I910" s="46" t="inlineStr">
        <is>
          <t>7.315</t>
        </is>
      </c>
      <c r="J910" s="46" t="inlineStr">
        <is>
          <t>63.16</t>
        </is>
      </c>
      <c r="K910" s="46" t="inlineStr">
        <is>
          <t>Gemma3:27b</t>
        </is>
      </c>
      <c r="L910" s="46" t="inlineStr">
        <is>
          <t>0.3</t>
        </is>
      </c>
      <c r="M910" s="73" t="inlineStr">
        <is>
          <t>Complete</t>
        </is>
      </c>
    </row>
    <row r="911" ht="13.5" customHeight="1" s="38">
      <c r="A911" s="46" t="inlineStr">
        <is>
          <t>Z_S4_SC01_I08</t>
        </is>
      </c>
      <c r="B911" s="46" t="inlineStr">
        <is>
          <t>R_0922</t>
        </is>
      </c>
      <c r="C911" s="46" t="inlineStr">
        <is>
          <t>Strategy 4 – One-Shot + Template + BLUF</t>
        </is>
      </c>
      <c r="D911" s="46" t="inlineStr">
        <is>
          <t>SC01</t>
        </is>
      </c>
      <c r="E911" s="46" t="inlineStr">
        <is>
          <t>Zero-Day / Edge Device</t>
        </is>
      </c>
      <c r="F911" s="47" t="n">
        <v>8</v>
      </c>
      <c r="G911" s="46" t="inlineStr">
        <is>
          <t>Gemma3:27b via Ollama</t>
        </is>
      </c>
      <c r="H911" s="48" t="n">
        <v>46165</v>
      </c>
      <c r="I911" s="46" t="inlineStr">
        <is>
          <t>7.444</t>
        </is>
      </c>
      <c r="J911" s="46" t="inlineStr">
        <is>
          <t>63.54</t>
        </is>
      </c>
      <c r="K911" s="46" t="inlineStr">
        <is>
          <t>Gemma3:27b</t>
        </is>
      </c>
      <c r="L911" s="46" t="inlineStr">
        <is>
          <t>0.3</t>
        </is>
      </c>
      <c r="M911" s="73" t="inlineStr">
        <is>
          <t>Complete</t>
        </is>
      </c>
    </row>
    <row r="912" ht="13.5" customHeight="1" s="38">
      <c r="A912" s="46" t="inlineStr">
        <is>
          <t>Z_S4_SC01_I09</t>
        </is>
      </c>
      <c r="B912" s="46" t="inlineStr">
        <is>
          <t>R_0624</t>
        </is>
      </c>
      <c r="C912" s="46" t="inlineStr">
        <is>
          <t>Strategy 4 – One-Shot + Template + BLUF</t>
        </is>
      </c>
      <c r="D912" s="46" t="inlineStr">
        <is>
          <t>SC01</t>
        </is>
      </c>
      <c r="E912" s="46" t="inlineStr">
        <is>
          <t>Zero-Day / Edge Device</t>
        </is>
      </c>
      <c r="F912" s="47" t="n">
        <v>9</v>
      </c>
      <c r="G912" s="46" t="inlineStr">
        <is>
          <t>Gemma3:27b via Ollama</t>
        </is>
      </c>
      <c r="H912" s="48" t="n">
        <v>46165</v>
      </c>
      <c r="I912" s="46" t="inlineStr">
        <is>
          <t>6.603</t>
        </is>
      </c>
      <c r="J912" s="46" t="inlineStr">
        <is>
          <t>64.82</t>
        </is>
      </c>
      <c r="K912" s="46" t="inlineStr">
        <is>
          <t>Gemma3:27b</t>
        </is>
      </c>
      <c r="L912" s="46" t="inlineStr">
        <is>
          <t>0.3</t>
        </is>
      </c>
      <c r="M912" s="73" t="inlineStr">
        <is>
          <t>Complete</t>
        </is>
      </c>
    </row>
    <row r="913" ht="13.5" customHeight="1" s="38">
      <c r="A913" s="46" t="inlineStr">
        <is>
          <t>Z_S4_SC01_I10</t>
        </is>
      </c>
      <c r="B913" s="46" t="inlineStr">
        <is>
          <t>R_0074</t>
        </is>
      </c>
      <c r="C913" s="46" t="inlineStr">
        <is>
          <t>Strategy 4 – One-Shot + Template + BLUF</t>
        </is>
      </c>
      <c r="D913" s="46" t="inlineStr">
        <is>
          <t>SC01</t>
        </is>
      </c>
      <c r="E913" s="46" t="inlineStr">
        <is>
          <t>Zero-Day / Edge Device</t>
        </is>
      </c>
      <c r="F913" s="47" t="n">
        <v>10</v>
      </c>
      <c r="G913" s="46" t="inlineStr">
        <is>
          <t>Gemma3:27b via Ollama</t>
        </is>
      </c>
      <c r="H913" s="48" t="n">
        <v>46165</v>
      </c>
      <c r="I913" s="46" t="inlineStr">
        <is>
          <t>7.044</t>
        </is>
      </c>
      <c r="J913" s="46" t="inlineStr">
        <is>
          <t>64.74</t>
        </is>
      </c>
      <c r="K913" s="46" t="inlineStr">
        <is>
          <t>Gemma3:27b</t>
        </is>
      </c>
      <c r="L913" s="46" t="inlineStr">
        <is>
          <t>0.3</t>
        </is>
      </c>
      <c r="M913" s="73" t="inlineStr">
        <is>
          <t>Complete</t>
        </is>
      </c>
    </row>
    <row r="914" ht="13.5" customHeight="1" s="38">
      <c r="A914" s="46" t="inlineStr">
        <is>
          <t>Z_S4_SC02_I01</t>
        </is>
      </c>
      <c r="B914" s="46" t="inlineStr">
        <is>
          <t>R_0664</t>
        </is>
      </c>
      <c r="C914" s="46" t="inlineStr">
        <is>
          <t>Strategy 4 – One-Shot + Template + BLUF</t>
        </is>
      </c>
      <c r="D914" s="46" t="inlineStr">
        <is>
          <t>SC02</t>
        </is>
      </c>
      <c r="E914" s="46" t="inlineStr">
        <is>
          <t>Zero-Day / Edge Device</t>
        </is>
      </c>
      <c r="F914" s="47" t="n">
        <v>1</v>
      </c>
      <c r="G914" s="46" t="inlineStr">
        <is>
          <t>Gemma3:27b via Ollama</t>
        </is>
      </c>
      <c r="H914" s="48" t="n">
        <v>46165</v>
      </c>
      <c r="I914" s="46" t="inlineStr">
        <is>
          <t>7.110</t>
        </is>
      </c>
      <c r="J914" s="46" t="inlineStr">
        <is>
          <t>64.84</t>
        </is>
      </c>
      <c r="K914" s="46" t="inlineStr">
        <is>
          <t>Gemma3:27b</t>
        </is>
      </c>
      <c r="L914" s="46" t="inlineStr">
        <is>
          <t>0.3</t>
        </is>
      </c>
      <c r="M914" s="73" t="inlineStr">
        <is>
          <t>Complete</t>
        </is>
      </c>
    </row>
    <row r="915" ht="13.5" customHeight="1" s="38">
      <c r="A915" s="46" t="inlineStr">
        <is>
          <t>Z_S4_SC02_I02</t>
        </is>
      </c>
      <c r="B915" s="46" t="inlineStr">
        <is>
          <t>R_0700</t>
        </is>
      </c>
      <c r="C915" s="46" t="inlineStr">
        <is>
          <t>Strategy 4 – One-Shot + Template + BLUF</t>
        </is>
      </c>
      <c r="D915" s="46" t="inlineStr">
        <is>
          <t>SC02</t>
        </is>
      </c>
      <c r="E915" s="46" t="inlineStr">
        <is>
          <t>Zero-Day / Edge Device</t>
        </is>
      </c>
      <c r="F915" s="47" t="n">
        <v>2</v>
      </c>
      <c r="G915" s="46" t="inlineStr">
        <is>
          <t>Gemma3:27b via Ollama</t>
        </is>
      </c>
      <c r="H915" s="48" t="n">
        <v>46165</v>
      </c>
      <c r="I915" s="46" t="inlineStr">
        <is>
          <t>6.634</t>
        </is>
      </c>
      <c r="J915" s="46" t="inlineStr">
        <is>
          <t>63.77</t>
        </is>
      </c>
      <c r="K915" s="46" t="inlineStr">
        <is>
          <t>Gemma3:27b</t>
        </is>
      </c>
      <c r="L915" s="46" t="inlineStr">
        <is>
          <t>0.3</t>
        </is>
      </c>
      <c r="M915" s="73" t="inlineStr">
        <is>
          <t>Complete</t>
        </is>
      </c>
    </row>
    <row r="916" ht="13.5" customHeight="1" s="38">
      <c r="A916" s="46" t="inlineStr">
        <is>
          <t>Z_S4_SC02_I03</t>
        </is>
      </c>
      <c r="B916" s="46" t="inlineStr">
        <is>
          <t>R_0986</t>
        </is>
      </c>
      <c r="C916" s="46" t="inlineStr">
        <is>
          <t>Strategy 4 – One-Shot + Template + BLUF</t>
        </is>
      </c>
      <c r="D916" s="46" t="inlineStr">
        <is>
          <t>SC02</t>
        </is>
      </c>
      <c r="E916" s="46" t="inlineStr">
        <is>
          <t>Zero-Day / Edge Device</t>
        </is>
      </c>
      <c r="F916" s="47" t="n">
        <v>3</v>
      </c>
      <c r="G916" s="46" t="inlineStr">
        <is>
          <t>Gemma3:27b via Ollama</t>
        </is>
      </c>
      <c r="H916" s="48" t="n">
        <v>46165</v>
      </c>
      <c r="I916" s="46" t="inlineStr">
        <is>
          <t>7.454</t>
        </is>
      </c>
      <c r="J916" s="46" t="inlineStr">
        <is>
          <t>62.65</t>
        </is>
      </c>
      <c r="K916" s="46" t="inlineStr">
        <is>
          <t>Gemma3:27b</t>
        </is>
      </c>
      <c r="L916" s="46" t="inlineStr">
        <is>
          <t>0.3</t>
        </is>
      </c>
      <c r="M916" s="73" t="inlineStr">
        <is>
          <t>Complete</t>
        </is>
      </c>
    </row>
    <row r="917" ht="13.5" customHeight="1" s="38">
      <c r="A917" s="46" t="inlineStr">
        <is>
          <t>Z_S4_SC02_I04</t>
        </is>
      </c>
      <c r="B917" s="46" t="inlineStr">
        <is>
          <t>R_0274</t>
        </is>
      </c>
      <c r="C917" s="46" t="inlineStr">
        <is>
          <t>Strategy 4 – One-Shot + Template + BLUF</t>
        </is>
      </c>
      <c r="D917" s="46" t="inlineStr">
        <is>
          <t>SC02</t>
        </is>
      </c>
      <c r="E917" s="46" t="inlineStr">
        <is>
          <t>Zero-Day / Edge Device</t>
        </is>
      </c>
      <c r="F917" s="47" t="n">
        <v>4</v>
      </c>
      <c r="G917" s="46" t="inlineStr">
        <is>
          <t>Gemma3:27b via Ollama</t>
        </is>
      </c>
      <c r="H917" s="48" t="n">
        <v>46165</v>
      </c>
      <c r="I917" s="46" t="inlineStr">
        <is>
          <t>7.258</t>
        </is>
      </c>
      <c r="J917" s="46" t="inlineStr">
        <is>
          <t>64.75</t>
        </is>
      </c>
      <c r="K917" s="46" t="inlineStr">
        <is>
          <t>Gemma3:27b</t>
        </is>
      </c>
      <c r="L917" s="46" t="inlineStr">
        <is>
          <t>0.3</t>
        </is>
      </c>
      <c r="M917" s="73" t="inlineStr">
        <is>
          <t>Complete</t>
        </is>
      </c>
    </row>
    <row r="918" ht="13.5" customHeight="1" s="38">
      <c r="A918" s="46" t="inlineStr">
        <is>
          <t>Z_S4_SC02_I05</t>
        </is>
      </c>
      <c r="B918" s="46" t="inlineStr">
        <is>
          <t>R_0687</t>
        </is>
      </c>
      <c r="C918" s="46" t="inlineStr">
        <is>
          <t>Strategy 4 – One-Shot + Template + BLUF</t>
        </is>
      </c>
      <c r="D918" s="46" t="inlineStr">
        <is>
          <t>SC02</t>
        </is>
      </c>
      <c r="E918" s="46" t="inlineStr">
        <is>
          <t>Zero-Day / Edge Device</t>
        </is>
      </c>
      <c r="F918" s="47" t="n">
        <v>5</v>
      </c>
      <c r="G918" s="46" t="inlineStr">
        <is>
          <t>Gemma3:27b via Ollama</t>
        </is>
      </c>
      <c r="H918" s="48" t="n">
        <v>46165</v>
      </c>
      <c r="I918" s="46" t="inlineStr">
        <is>
          <t>7.588</t>
        </is>
      </c>
      <c r="J918" s="46" t="inlineStr">
        <is>
          <t>61.81</t>
        </is>
      </c>
      <c r="K918" s="46" t="inlineStr">
        <is>
          <t>Gemma3:27b</t>
        </is>
      </c>
      <c r="L918" s="46" t="inlineStr">
        <is>
          <t>0.3</t>
        </is>
      </c>
      <c r="M918" s="73" t="inlineStr">
        <is>
          <t>Complete</t>
        </is>
      </c>
    </row>
    <row r="919" ht="13.5" customHeight="1" s="38">
      <c r="A919" s="46" t="inlineStr">
        <is>
          <t>Z_S4_SC02_I06</t>
        </is>
      </c>
      <c r="B919" s="46" t="inlineStr">
        <is>
          <t>R_0215</t>
        </is>
      </c>
      <c r="C919" s="46" t="inlineStr">
        <is>
          <t>Strategy 4 – One-Shot + Template + BLUF</t>
        </is>
      </c>
      <c r="D919" s="46" t="inlineStr">
        <is>
          <t>SC02</t>
        </is>
      </c>
      <c r="E919" s="46" t="inlineStr">
        <is>
          <t>Zero-Day / Edge Device</t>
        </is>
      </c>
      <c r="F919" s="47" t="n">
        <v>6</v>
      </c>
      <c r="G919" s="46" t="inlineStr">
        <is>
          <t>Gemma3:27b via Ollama</t>
        </is>
      </c>
      <c r="H919" s="48" t="n">
        <v>46165</v>
      </c>
      <c r="I919" s="46" t="inlineStr">
        <is>
          <t>7.312</t>
        </is>
      </c>
      <c r="J919" s="46" t="inlineStr">
        <is>
          <t>64.41</t>
        </is>
      </c>
      <c r="K919" s="46" t="inlineStr">
        <is>
          <t>Gemma3:27b</t>
        </is>
      </c>
      <c r="L919" s="46" t="inlineStr">
        <is>
          <t>0.3</t>
        </is>
      </c>
      <c r="M919" s="73" t="inlineStr">
        <is>
          <t>Complete</t>
        </is>
      </c>
    </row>
    <row r="920" ht="13.5" customHeight="1" s="38">
      <c r="A920" s="46" t="inlineStr">
        <is>
          <t>Z_S4_SC02_I07</t>
        </is>
      </c>
      <c r="B920" s="46" t="inlineStr">
        <is>
          <t>R_0364</t>
        </is>
      </c>
      <c r="C920" s="46" t="inlineStr">
        <is>
          <t>Strategy 4 – One-Shot + Template + BLUF</t>
        </is>
      </c>
      <c r="D920" s="46" t="inlineStr">
        <is>
          <t>SC02</t>
        </is>
      </c>
      <c r="E920" s="46" t="inlineStr">
        <is>
          <t>Zero-Day / Edge Device</t>
        </is>
      </c>
      <c r="F920" s="47" t="n">
        <v>7</v>
      </c>
      <c r="G920" s="46" t="inlineStr">
        <is>
          <t>Gemma3:27b via Ollama</t>
        </is>
      </c>
      <c r="H920" s="48" t="n">
        <v>46165</v>
      </c>
      <c r="I920" s="46" t="inlineStr">
        <is>
          <t>6.969</t>
        </is>
      </c>
      <c r="J920" s="46" t="inlineStr">
        <is>
          <t>64.86</t>
        </is>
      </c>
      <c r="K920" s="46" t="inlineStr">
        <is>
          <t>Gemma3:27b</t>
        </is>
      </c>
      <c r="L920" s="46" t="inlineStr">
        <is>
          <t>0.3</t>
        </is>
      </c>
      <c r="M920" s="73" t="inlineStr">
        <is>
          <t>Complete</t>
        </is>
      </c>
    </row>
    <row r="921" ht="13.5" customHeight="1" s="38">
      <c r="A921" s="46" t="inlineStr">
        <is>
          <t>Z_S4_SC02_I08</t>
        </is>
      </c>
      <c r="B921" s="46" t="inlineStr">
        <is>
          <t>R_0380</t>
        </is>
      </c>
      <c r="C921" s="46" t="inlineStr">
        <is>
          <t>Strategy 4 – One-Shot + Template + BLUF</t>
        </is>
      </c>
      <c r="D921" s="46" t="inlineStr">
        <is>
          <t>SC02</t>
        </is>
      </c>
      <c r="E921" s="46" t="inlineStr">
        <is>
          <t>Zero-Day / Edge Device</t>
        </is>
      </c>
      <c r="F921" s="47" t="n">
        <v>8</v>
      </c>
      <c r="G921" s="46" t="inlineStr">
        <is>
          <t>Gemma3:27b via Ollama</t>
        </is>
      </c>
      <c r="H921" s="48" t="n">
        <v>46165</v>
      </c>
      <c r="I921" s="46" t="inlineStr">
        <is>
          <t>7.713</t>
        </is>
      </c>
      <c r="J921" s="46" t="inlineStr">
        <is>
          <t>64.95</t>
        </is>
      </c>
      <c r="K921" s="46" t="inlineStr">
        <is>
          <t>Gemma3:27b</t>
        </is>
      </c>
      <c r="L921" s="46" t="inlineStr">
        <is>
          <t>0.3</t>
        </is>
      </c>
      <c r="M921" s="73" t="inlineStr">
        <is>
          <t>Complete</t>
        </is>
      </c>
    </row>
    <row r="922" ht="13.5" customHeight="1" s="38">
      <c r="A922" s="46" t="inlineStr">
        <is>
          <t>Z_S4_SC02_I09</t>
        </is>
      </c>
      <c r="B922" s="46" t="inlineStr">
        <is>
          <t>R_0167</t>
        </is>
      </c>
      <c r="C922" s="46" t="inlineStr">
        <is>
          <t>Strategy 4 – One-Shot + Template + BLUF</t>
        </is>
      </c>
      <c r="D922" s="46" t="inlineStr">
        <is>
          <t>SC02</t>
        </is>
      </c>
      <c r="E922" s="46" t="inlineStr">
        <is>
          <t>Zero-Day / Edge Device</t>
        </is>
      </c>
      <c r="F922" s="47" t="n">
        <v>9</v>
      </c>
      <c r="G922" s="46" t="inlineStr">
        <is>
          <t>Gemma3:27b via Ollama</t>
        </is>
      </c>
      <c r="H922" s="48" t="n">
        <v>46165</v>
      </c>
      <c r="I922" s="46" t="inlineStr">
        <is>
          <t>7.276</t>
        </is>
      </c>
      <c r="J922" s="46" t="inlineStr">
        <is>
          <t>66.66</t>
        </is>
      </c>
      <c r="K922" s="46" t="inlineStr">
        <is>
          <t>Gemma3:27b</t>
        </is>
      </c>
      <c r="L922" s="46" t="inlineStr">
        <is>
          <t>0.3</t>
        </is>
      </c>
      <c r="M922" s="73" t="inlineStr">
        <is>
          <t>Complete</t>
        </is>
      </c>
    </row>
    <row r="923" ht="13.5" customHeight="1" s="38">
      <c r="A923" s="46" t="inlineStr">
        <is>
          <t>Z_S4_SC02_I10</t>
        </is>
      </c>
      <c r="B923" s="46" t="inlineStr">
        <is>
          <t>R_0374</t>
        </is>
      </c>
      <c r="C923" s="46" t="inlineStr">
        <is>
          <t>Strategy 4 – One-Shot + Template + BLUF</t>
        </is>
      </c>
      <c r="D923" s="46" t="inlineStr">
        <is>
          <t>SC02</t>
        </is>
      </c>
      <c r="E923" s="46" t="inlineStr">
        <is>
          <t>Zero-Day / Edge Device</t>
        </is>
      </c>
      <c r="F923" s="47" t="n">
        <v>10</v>
      </c>
      <c r="G923" s="46" t="inlineStr">
        <is>
          <t>Gemma3:27b via Ollama</t>
        </is>
      </c>
      <c r="H923" s="48" t="n">
        <v>46165</v>
      </c>
      <c r="I923" s="46" t="inlineStr">
        <is>
          <t>6.410</t>
        </is>
      </c>
      <c r="J923" s="46" t="inlineStr">
        <is>
          <t>65.52</t>
        </is>
      </c>
      <c r="K923" s="46" t="inlineStr">
        <is>
          <t>Gemma3:27b</t>
        </is>
      </c>
      <c r="L923" s="46" t="inlineStr">
        <is>
          <t>0.3</t>
        </is>
      </c>
      <c r="M923" s="73" t="inlineStr">
        <is>
          <t>Complete</t>
        </is>
      </c>
    </row>
    <row r="924" ht="13.5" customHeight="1" s="38">
      <c r="A924" s="46" t="inlineStr">
        <is>
          <t>Z_S4_SC03_I01</t>
        </is>
      </c>
      <c r="B924" s="46" t="inlineStr">
        <is>
          <t>R_0855</t>
        </is>
      </c>
      <c r="C924" s="46" t="inlineStr">
        <is>
          <t>Strategy 4 – One-Shot + Template + BLUF</t>
        </is>
      </c>
      <c r="D924" s="46" t="inlineStr">
        <is>
          <t>SC03</t>
        </is>
      </c>
      <c r="E924" s="46" t="inlineStr">
        <is>
          <t>Zero-Day / Edge Device</t>
        </is>
      </c>
      <c r="F924" s="47" t="n">
        <v>1</v>
      </c>
      <c r="G924" s="46" t="inlineStr">
        <is>
          <t>Gemma3:27b via Ollama</t>
        </is>
      </c>
      <c r="H924" s="48" t="n">
        <v>46165</v>
      </c>
      <c r="I924" s="46" t="inlineStr">
        <is>
          <t>6.677</t>
        </is>
      </c>
      <c r="J924" s="46" t="inlineStr">
        <is>
          <t>66.05</t>
        </is>
      </c>
      <c r="K924" s="46" t="inlineStr">
        <is>
          <t>Gemma3:27b</t>
        </is>
      </c>
      <c r="L924" s="46" t="inlineStr">
        <is>
          <t>0.3</t>
        </is>
      </c>
      <c r="M924" s="73" t="inlineStr">
        <is>
          <t>Complete</t>
        </is>
      </c>
    </row>
    <row r="925" ht="13.5" customHeight="1" s="38">
      <c r="A925" s="46" t="inlineStr">
        <is>
          <t>Z_S4_SC03_I02</t>
        </is>
      </c>
      <c r="B925" s="46" t="inlineStr">
        <is>
          <t>R_0651</t>
        </is>
      </c>
      <c r="C925" s="46" t="inlineStr">
        <is>
          <t>Strategy 4 – One-Shot + Template + BLUF</t>
        </is>
      </c>
      <c r="D925" s="46" t="inlineStr">
        <is>
          <t>SC03</t>
        </is>
      </c>
      <c r="E925" s="46" t="inlineStr">
        <is>
          <t>Zero-Day / Edge Device</t>
        </is>
      </c>
      <c r="F925" s="47" t="n">
        <v>2</v>
      </c>
      <c r="G925" s="46" t="inlineStr">
        <is>
          <t>Gemma3:27b via Ollama</t>
        </is>
      </c>
      <c r="H925" s="48" t="n">
        <v>46165</v>
      </c>
      <c r="I925" s="46" t="inlineStr">
        <is>
          <t>6.312</t>
        </is>
      </c>
      <c r="J925" s="46" t="inlineStr">
        <is>
          <t>66.39</t>
        </is>
      </c>
      <c r="K925" s="46" t="inlineStr">
        <is>
          <t>Gemma3:27b</t>
        </is>
      </c>
      <c r="L925" s="46" t="inlineStr">
        <is>
          <t>0.3</t>
        </is>
      </c>
      <c r="M925" s="73" t="inlineStr">
        <is>
          <t>Complete</t>
        </is>
      </c>
    </row>
    <row r="926" ht="13.5" customHeight="1" s="38">
      <c r="A926" s="46" t="inlineStr">
        <is>
          <t>Z_S4_SC03_I03</t>
        </is>
      </c>
      <c r="B926" s="46" t="inlineStr">
        <is>
          <t>R_0465</t>
        </is>
      </c>
      <c r="C926" s="46" t="inlineStr">
        <is>
          <t>Strategy 4 – One-Shot + Template + BLUF</t>
        </is>
      </c>
      <c r="D926" s="46" t="inlineStr">
        <is>
          <t>SC03</t>
        </is>
      </c>
      <c r="E926" s="46" t="inlineStr">
        <is>
          <t>Zero-Day / Edge Device</t>
        </is>
      </c>
      <c r="F926" s="47" t="n">
        <v>3</v>
      </c>
      <c r="G926" s="46" t="inlineStr">
        <is>
          <t>Gemma3:27b via Ollama</t>
        </is>
      </c>
      <c r="H926" s="48" t="n">
        <v>46165</v>
      </c>
      <c r="I926" s="46" t="inlineStr">
        <is>
          <t>6.137</t>
        </is>
      </c>
      <c r="J926" s="46" t="inlineStr">
        <is>
          <t>63.88</t>
        </is>
      </c>
      <c r="K926" s="46" t="inlineStr">
        <is>
          <t>Gemma3:27b</t>
        </is>
      </c>
      <c r="L926" s="46" t="inlineStr">
        <is>
          <t>0.3</t>
        </is>
      </c>
      <c r="M926" s="73" t="inlineStr">
        <is>
          <t>Complete</t>
        </is>
      </c>
    </row>
    <row r="927" ht="13.5" customHeight="1" s="38">
      <c r="A927" s="46" t="inlineStr">
        <is>
          <t>Z_S4_SC03_I04</t>
        </is>
      </c>
      <c r="B927" s="46" t="inlineStr">
        <is>
          <t>R_0970</t>
        </is>
      </c>
      <c r="C927" s="46" t="inlineStr">
        <is>
          <t>Strategy 4 – One-Shot + Template + BLUF</t>
        </is>
      </c>
      <c r="D927" s="46" t="inlineStr">
        <is>
          <t>SC03</t>
        </is>
      </c>
      <c r="E927" s="46" t="inlineStr">
        <is>
          <t>Zero-Day / Edge Device</t>
        </is>
      </c>
      <c r="F927" s="47" t="n">
        <v>4</v>
      </c>
      <c r="G927" s="46" t="inlineStr">
        <is>
          <t>Gemma3:27b via Ollama</t>
        </is>
      </c>
      <c r="H927" s="48" t="n">
        <v>46165</v>
      </c>
      <c r="I927" s="46" t="inlineStr">
        <is>
          <t>6.617</t>
        </is>
      </c>
      <c r="J927" s="46" t="inlineStr">
        <is>
          <t>65.74</t>
        </is>
      </c>
      <c r="K927" s="46" t="inlineStr">
        <is>
          <t>Gemma3:27b</t>
        </is>
      </c>
      <c r="L927" s="46" t="inlineStr">
        <is>
          <t>0.3</t>
        </is>
      </c>
      <c r="M927" s="73" t="inlineStr">
        <is>
          <t>Complete</t>
        </is>
      </c>
    </row>
    <row r="928" ht="13.5" customHeight="1" s="38">
      <c r="A928" s="46" t="inlineStr">
        <is>
          <t>Z_S4_SC03_I05</t>
        </is>
      </c>
      <c r="B928" s="46" t="inlineStr">
        <is>
          <t>R_0963</t>
        </is>
      </c>
      <c r="C928" s="46" t="inlineStr">
        <is>
          <t>Strategy 4 – One-Shot + Template + BLUF</t>
        </is>
      </c>
      <c r="D928" s="46" t="inlineStr">
        <is>
          <t>SC03</t>
        </is>
      </c>
      <c r="E928" s="46" t="inlineStr">
        <is>
          <t>Zero-Day / Edge Device</t>
        </is>
      </c>
      <c r="F928" s="47" t="n">
        <v>5</v>
      </c>
      <c r="G928" s="46" t="inlineStr">
        <is>
          <t>Gemma3:27b via Ollama</t>
        </is>
      </c>
      <c r="H928" s="48" t="n">
        <v>46165</v>
      </c>
      <c r="I928" s="46" t="inlineStr">
        <is>
          <t>6.448</t>
        </is>
      </c>
      <c r="J928" s="46" t="inlineStr">
        <is>
          <t>65.75</t>
        </is>
      </c>
      <c r="K928" s="46" t="inlineStr">
        <is>
          <t>Gemma3:27b</t>
        </is>
      </c>
      <c r="L928" s="46" t="inlineStr">
        <is>
          <t>0.3</t>
        </is>
      </c>
      <c r="M928" s="73" t="inlineStr">
        <is>
          <t>Complete</t>
        </is>
      </c>
    </row>
    <row r="929" ht="13.5" customHeight="1" s="38">
      <c r="A929" s="46" t="inlineStr">
        <is>
          <t>Z_S4_SC03_I06</t>
        </is>
      </c>
      <c r="B929" s="46" t="inlineStr">
        <is>
          <t>R_0104</t>
        </is>
      </c>
      <c r="C929" s="46" t="inlineStr">
        <is>
          <t>Strategy 4 – One-Shot + Template + BLUF</t>
        </is>
      </c>
      <c r="D929" s="46" t="inlineStr">
        <is>
          <t>SC03</t>
        </is>
      </c>
      <c r="E929" s="46" t="inlineStr">
        <is>
          <t>Zero-Day / Edge Device</t>
        </is>
      </c>
      <c r="F929" s="47" t="n">
        <v>6</v>
      </c>
      <c r="G929" s="46" t="inlineStr">
        <is>
          <t>Gemma3:27b via Ollama</t>
        </is>
      </c>
      <c r="H929" s="48" t="n">
        <v>46165</v>
      </c>
      <c r="I929" s="46" t="inlineStr">
        <is>
          <t>6.630</t>
        </is>
      </c>
      <c r="J929" s="46" t="inlineStr">
        <is>
          <t>66.06</t>
        </is>
      </c>
      <c r="K929" s="46" t="inlineStr">
        <is>
          <t>Gemma3:27b</t>
        </is>
      </c>
      <c r="L929" s="46" t="inlineStr">
        <is>
          <t>0.3</t>
        </is>
      </c>
      <c r="M929" s="73" t="inlineStr">
        <is>
          <t>Complete</t>
        </is>
      </c>
    </row>
    <row r="930" ht="13.5" customHeight="1" s="38">
      <c r="A930" s="46" t="inlineStr">
        <is>
          <t>Z_S4_SC03_I07</t>
        </is>
      </c>
      <c r="B930" s="46" t="inlineStr">
        <is>
          <t>R_0888</t>
        </is>
      </c>
      <c r="C930" s="46" t="inlineStr">
        <is>
          <t>Strategy 4 – One-Shot + Template + BLUF</t>
        </is>
      </c>
      <c r="D930" s="46" t="inlineStr">
        <is>
          <t>SC03</t>
        </is>
      </c>
      <c r="E930" s="46" t="inlineStr">
        <is>
          <t>Zero-Day / Edge Device</t>
        </is>
      </c>
      <c r="F930" s="47" t="n">
        <v>7</v>
      </c>
      <c r="G930" s="46" t="inlineStr">
        <is>
          <t>Gemma3:27b via Ollama</t>
        </is>
      </c>
      <c r="H930" s="48" t="n">
        <v>46165</v>
      </c>
      <c r="I930" s="46" t="inlineStr">
        <is>
          <t>6.559</t>
        </is>
      </c>
      <c r="J930" s="46" t="inlineStr">
        <is>
          <t>65.72</t>
        </is>
      </c>
      <c r="K930" s="46" t="inlineStr">
        <is>
          <t>Gemma3:27b</t>
        </is>
      </c>
      <c r="L930" s="46" t="inlineStr">
        <is>
          <t>0.3</t>
        </is>
      </c>
      <c r="M930" s="73" t="inlineStr">
        <is>
          <t>Complete</t>
        </is>
      </c>
    </row>
    <row r="931" ht="13.5" customHeight="1" s="38">
      <c r="A931" s="46" t="inlineStr">
        <is>
          <t>Z_S4_SC03_I08</t>
        </is>
      </c>
      <c r="B931" s="46" t="inlineStr">
        <is>
          <t>R_0994</t>
        </is>
      </c>
      <c r="C931" s="46" t="inlineStr">
        <is>
          <t>Strategy 4 – One-Shot + Template + BLUF</t>
        </is>
      </c>
      <c r="D931" s="46" t="inlineStr">
        <is>
          <t>SC03</t>
        </is>
      </c>
      <c r="E931" s="46" t="inlineStr">
        <is>
          <t>Zero-Day / Edge Device</t>
        </is>
      </c>
      <c r="F931" s="47" t="n">
        <v>8</v>
      </c>
      <c r="G931" s="46" t="inlineStr">
        <is>
          <t>Gemma3:27b via Ollama</t>
        </is>
      </c>
      <c r="H931" s="48" t="n">
        <v>46165</v>
      </c>
      <c r="I931" s="46" t="inlineStr">
        <is>
          <t>7.323</t>
        </is>
      </c>
      <c r="J931" s="46" t="inlineStr">
        <is>
          <t>63.91</t>
        </is>
      </c>
      <c r="K931" s="46" t="inlineStr">
        <is>
          <t>Gemma3:27b</t>
        </is>
      </c>
      <c r="L931" s="46" t="inlineStr">
        <is>
          <t>0.3</t>
        </is>
      </c>
      <c r="M931" s="73" t="inlineStr">
        <is>
          <t>Complete</t>
        </is>
      </c>
    </row>
    <row r="932" ht="13.5" customHeight="1" s="38">
      <c r="A932" s="46" t="inlineStr">
        <is>
          <t>Z_S4_SC03_I09</t>
        </is>
      </c>
      <c r="B932" s="46" t="inlineStr">
        <is>
          <t>R_0876</t>
        </is>
      </c>
      <c r="C932" s="46" t="inlineStr">
        <is>
          <t>Strategy 4 – One-Shot + Template + BLUF</t>
        </is>
      </c>
      <c r="D932" s="46" t="inlineStr">
        <is>
          <t>SC03</t>
        </is>
      </c>
      <c r="E932" s="46" t="inlineStr">
        <is>
          <t>Zero-Day / Edge Device</t>
        </is>
      </c>
      <c r="F932" s="47" t="n">
        <v>9</v>
      </c>
      <c r="G932" s="46" t="inlineStr">
        <is>
          <t>Gemma3:27b via Ollama</t>
        </is>
      </c>
      <c r="H932" s="48" t="n">
        <v>46165</v>
      </c>
      <c r="I932" s="46" t="inlineStr">
        <is>
          <t>6.889</t>
        </is>
      </c>
      <c r="J932" s="46" t="inlineStr">
        <is>
          <t>65.75</t>
        </is>
      </c>
      <c r="K932" s="46" t="inlineStr">
        <is>
          <t>Gemma3:27b</t>
        </is>
      </c>
      <c r="L932" s="46" t="inlineStr">
        <is>
          <t>0.3</t>
        </is>
      </c>
      <c r="M932" s="73" t="inlineStr">
        <is>
          <t>Complete</t>
        </is>
      </c>
    </row>
    <row r="933" ht="13.5" customHeight="1" s="38">
      <c r="A933" s="46" t="inlineStr">
        <is>
          <t>Z_S4_SC03_I10</t>
        </is>
      </c>
      <c r="B933" s="46" t="inlineStr">
        <is>
          <t>R_0082</t>
        </is>
      </c>
      <c r="C933" s="46" t="inlineStr">
        <is>
          <t>Strategy 4 – One-Shot + Template + BLUF</t>
        </is>
      </c>
      <c r="D933" s="46" t="inlineStr">
        <is>
          <t>SC03</t>
        </is>
      </c>
      <c r="E933" s="46" t="inlineStr">
        <is>
          <t>Zero-Day / Edge Device</t>
        </is>
      </c>
      <c r="F933" s="47" t="n">
        <v>10</v>
      </c>
      <c r="G933" s="46" t="inlineStr">
        <is>
          <t>Gemma3:27b via Ollama</t>
        </is>
      </c>
      <c r="H933" s="48" t="n">
        <v>46165</v>
      </c>
      <c r="I933" s="46" t="inlineStr">
        <is>
          <t>7.148</t>
        </is>
      </c>
      <c r="J933" s="46" t="inlineStr">
        <is>
          <t>65.89</t>
        </is>
      </c>
      <c r="K933" s="46" t="inlineStr">
        <is>
          <t>Gemma3:27b</t>
        </is>
      </c>
      <c r="L933" s="46" t="inlineStr">
        <is>
          <t>0.3</t>
        </is>
      </c>
      <c r="M933" s="73" t="inlineStr">
        <is>
          <t>Complete</t>
        </is>
      </c>
    </row>
    <row r="934" ht="13.5" customHeight="1" s="38">
      <c r="A934" s="46" t="inlineStr">
        <is>
          <t>Z_S4_SC04_I01</t>
        </is>
      </c>
      <c r="B934" s="46" t="inlineStr">
        <is>
          <t>R_0297</t>
        </is>
      </c>
      <c r="C934" s="46" t="inlineStr">
        <is>
          <t>Strategy 4 – One-Shot + Template + BLUF</t>
        </is>
      </c>
      <c r="D934" s="46" t="inlineStr">
        <is>
          <t>SC04</t>
        </is>
      </c>
      <c r="E934" s="46" t="inlineStr">
        <is>
          <t>Zero-Day / Edge Device</t>
        </is>
      </c>
      <c r="F934" s="47" t="n">
        <v>1</v>
      </c>
      <c r="G934" s="46" t="inlineStr">
        <is>
          <t>Gemma3:27b via Ollama</t>
        </is>
      </c>
      <c r="H934" s="48" t="n">
        <v>46166</v>
      </c>
      <c r="I934" s="46" t="inlineStr">
        <is>
          <t>6.715</t>
        </is>
      </c>
      <c r="J934" s="46" t="inlineStr">
        <is>
          <t>67.46</t>
        </is>
      </c>
      <c r="K934" s="46" t="inlineStr">
        <is>
          <t>Gemma3:27b</t>
        </is>
      </c>
      <c r="L934" s="46" t="inlineStr">
        <is>
          <t>0.3</t>
        </is>
      </c>
      <c r="M934" s="73" t="inlineStr">
        <is>
          <t>Complete</t>
        </is>
      </c>
    </row>
    <row r="935" ht="13.5" customHeight="1" s="38">
      <c r="A935" s="46" t="inlineStr">
        <is>
          <t>Z_S4_SC04_I02</t>
        </is>
      </c>
      <c r="B935" s="46" t="inlineStr">
        <is>
          <t>R_0792</t>
        </is>
      </c>
      <c r="C935" s="46" t="inlineStr">
        <is>
          <t>Strategy 4 – One-Shot + Template + BLUF</t>
        </is>
      </c>
      <c r="D935" s="46" t="inlineStr">
        <is>
          <t>SC04</t>
        </is>
      </c>
      <c r="E935" s="46" t="inlineStr">
        <is>
          <t>Zero-Day / Edge Device</t>
        </is>
      </c>
      <c r="F935" s="47" t="n">
        <v>2</v>
      </c>
      <c r="G935" s="46" t="inlineStr">
        <is>
          <t>Gemma3:27b via Ollama</t>
        </is>
      </c>
      <c r="H935" s="48" t="n">
        <v>46166</v>
      </c>
      <c r="I935" s="46" t="inlineStr">
        <is>
          <t>7.245</t>
        </is>
      </c>
      <c r="J935" s="46" t="inlineStr">
        <is>
          <t>67.35</t>
        </is>
      </c>
      <c r="K935" s="46" t="inlineStr">
        <is>
          <t>Gemma3:27b</t>
        </is>
      </c>
      <c r="L935" s="46" t="inlineStr">
        <is>
          <t>0.3</t>
        </is>
      </c>
      <c r="M935" s="73" t="inlineStr">
        <is>
          <t>Complete</t>
        </is>
      </c>
    </row>
    <row r="936" ht="13.5" customHeight="1" s="38">
      <c r="A936" s="46" t="inlineStr">
        <is>
          <t>Z_S4_SC04_I03</t>
        </is>
      </c>
      <c r="B936" s="46" t="inlineStr">
        <is>
          <t>R_0234</t>
        </is>
      </c>
      <c r="C936" s="46" t="inlineStr">
        <is>
          <t>Strategy 4 – One-Shot + Template + BLUF</t>
        </is>
      </c>
      <c r="D936" s="46" t="inlineStr">
        <is>
          <t>SC04</t>
        </is>
      </c>
      <c r="E936" s="46" t="inlineStr">
        <is>
          <t>Zero-Day / Edge Device</t>
        </is>
      </c>
      <c r="F936" s="47" t="n">
        <v>3</v>
      </c>
      <c r="G936" s="46" t="inlineStr">
        <is>
          <t>Gemma3:27b via Ollama</t>
        </is>
      </c>
      <c r="H936" s="48" t="n">
        <v>46166</v>
      </c>
      <c r="I936" s="46" t="inlineStr">
        <is>
          <t>7.297</t>
        </is>
      </c>
      <c r="J936" s="46" t="inlineStr">
        <is>
          <t>67.56</t>
        </is>
      </c>
      <c r="K936" s="46" t="inlineStr">
        <is>
          <t>Gemma3:27b</t>
        </is>
      </c>
      <c r="L936" s="46" t="inlineStr">
        <is>
          <t>0.3</t>
        </is>
      </c>
      <c r="M936" s="73" t="inlineStr">
        <is>
          <t>Complete</t>
        </is>
      </c>
    </row>
    <row r="937" ht="13.5" customHeight="1" s="38">
      <c r="A937" s="46" t="inlineStr">
        <is>
          <t>Z_S4_SC04_I04</t>
        </is>
      </c>
      <c r="B937" s="46" t="inlineStr">
        <is>
          <t>R_0678</t>
        </is>
      </c>
      <c r="C937" s="46" t="inlineStr">
        <is>
          <t>Strategy 4 – One-Shot + Template + BLUF</t>
        </is>
      </c>
      <c r="D937" s="46" t="inlineStr">
        <is>
          <t>SC04</t>
        </is>
      </c>
      <c r="E937" s="46" t="inlineStr">
        <is>
          <t>Zero-Day / Edge Device</t>
        </is>
      </c>
      <c r="F937" s="47" t="n">
        <v>4</v>
      </c>
      <c r="G937" s="46" t="inlineStr">
        <is>
          <t>Gemma3:27b via Ollama</t>
        </is>
      </c>
      <c r="H937" s="48" t="n">
        <v>46166</v>
      </c>
      <c r="I937" s="46" t="inlineStr">
        <is>
          <t>8.021</t>
        </is>
      </c>
      <c r="J937" s="46" t="inlineStr">
        <is>
          <t>67.32</t>
        </is>
      </c>
      <c r="K937" s="46" t="inlineStr">
        <is>
          <t>Gemma3:27b</t>
        </is>
      </c>
      <c r="L937" s="46" t="inlineStr">
        <is>
          <t>0.3</t>
        </is>
      </c>
      <c r="M937" s="73" t="inlineStr">
        <is>
          <t>Complete</t>
        </is>
      </c>
    </row>
    <row r="938" ht="13.5" customHeight="1" s="38">
      <c r="A938" s="46" t="inlineStr">
        <is>
          <t>Z_S4_SC04_I05</t>
        </is>
      </c>
      <c r="B938" s="46" t="inlineStr">
        <is>
          <t>R_0047</t>
        </is>
      </c>
      <c r="C938" s="46" t="inlineStr">
        <is>
          <t>Strategy 4 – One-Shot + Template + BLUF</t>
        </is>
      </c>
      <c r="D938" s="46" t="inlineStr">
        <is>
          <t>SC04</t>
        </is>
      </c>
      <c r="E938" s="46" t="inlineStr">
        <is>
          <t>Zero-Day / Edge Device</t>
        </is>
      </c>
      <c r="F938" s="47" t="n">
        <v>5</v>
      </c>
      <c r="G938" s="46" t="inlineStr">
        <is>
          <t>Gemma3:27b via Ollama</t>
        </is>
      </c>
      <c r="H938" s="48" t="n">
        <v>46166</v>
      </c>
      <c r="I938" s="46" t="inlineStr">
        <is>
          <t>7.400</t>
        </is>
      </c>
      <c r="J938" s="46" t="inlineStr">
        <is>
          <t>67.16</t>
        </is>
      </c>
      <c r="K938" s="46" t="inlineStr">
        <is>
          <t>Gemma3:27b</t>
        </is>
      </c>
      <c r="L938" s="46" t="inlineStr">
        <is>
          <t>0.3</t>
        </is>
      </c>
      <c r="M938" s="73" t="inlineStr">
        <is>
          <t>Complete</t>
        </is>
      </c>
    </row>
    <row r="939" ht="13.5" customHeight="1" s="38">
      <c r="A939" s="46" t="inlineStr">
        <is>
          <t>Z_S4_SC04_I06</t>
        </is>
      </c>
      <c r="B939" s="46" t="inlineStr">
        <is>
          <t>R_0072</t>
        </is>
      </c>
      <c r="C939" s="46" t="inlineStr">
        <is>
          <t>Strategy 4 – One-Shot + Template + BLUF</t>
        </is>
      </c>
      <c r="D939" s="46" t="inlineStr">
        <is>
          <t>SC04</t>
        </is>
      </c>
      <c r="E939" s="46" t="inlineStr">
        <is>
          <t>Zero-Day / Edge Device</t>
        </is>
      </c>
      <c r="F939" s="47" t="n">
        <v>6</v>
      </c>
      <c r="G939" s="46" t="inlineStr">
        <is>
          <t>Gemma3:27b via Ollama</t>
        </is>
      </c>
      <c r="H939" s="48" t="n">
        <v>46166</v>
      </c>
      <c r="I939" s="46" t="inlineStr">
        <is>
          <t>5.861</t>
        </is>
      </c>
      <c r="J939" s="46" t="inlineStr">
        <is>
          <t>67.39</t>
        </is>
      </c>
      <c r="K939" s="46" t="inlineStr">
        <is>
          <t>Gemma3:27b</t>
        </is>
      </c>
      <c r="L939" s="46" t="inlineStr">
        <is>
          <t>0.3</t>
        </is>
      </c>
      <c r="M939" s="73" t="inlineStr">
        <is>
          <t>Complete</t>
        </is>
      </c>
    </row>
    <row r="940" ht="13.5" customHeight="1" s="38">
      <c r="A940" s="46" t="inlineStr">
        <is>
          <t>Z_S4_SC04_I07</t>
        </is>
      </c>
      <c r="B940" s="46" t="inlineStr">
        <is>
          <t>R_0722</t>
        </is>
      </c>
      <c r="C940" s="46" t="inlineStr">
        <is>
          <t>Strategy 4 – One-Shot + Template + BLUF</t>
        </is>
      </c>
      <c r="D940" s="46" t="inlineStr">
        <is>
          <t>SC04</t>
        </is>
      </c>
      <c r="E940" s="46" t="inlineStr">
        <is>
          <t>Zero-Day / Edge Device</t>
        </is>
      </c>
      <c r="F940" s="47" t="n">
        <v>7</v>
      </c>
      <c r="G940" s="46" t="inlineStr">
        <is>
          <t>Gemma3:27b via Ollama</t>
        </is>
      </c>
      <c r="H940" s="48" t="n">
        <v>46166</v>
      </c>
      <c r="I940" s="46" t="inlineStr">
        <is>
          <t>6.158</t>
        </is>
      </c>
      <c r="J940" s="46" t="inlineStr">
        <is>
          <t>67.23</t>
        </is>
      </c>
      <c r="K940" s="46" t="inlineStr">
        <is>
          <t>Gemma3:27b</t>
        </is>
      </c>
      <c r="L940" s="46" t="inlineStr">
        <is>
          <t>0.3</t>
        </is>
      </c>
      <c r="M940" s="73" t="inlineStr">
        <is>
          <t>Complete</t>
        </is>
      </c>
    </row>
    <row r="941" ht="13.5" customHeight="1" s="38">
      <c r="A941" s="46" t="inlineStr">
        <is>
          <t>Z_S4_SC04_I08</t>
        </is>
      </c>
      <c r="B941" s="46" t="inlineStr">
        <is>
          <t>R_0197</t>
        </is>
      </c>
      <c r="C941" s="46" t="inlineStr">
        <is>
          <t>Strategy 4 – One-Shot + Template + BLUF</t>
        </is>
      </c>
      <c r="D941" s="46" t="inlineStr">
        <is>
          <t>SC04</t>
        </is>
      </c>
      <c r="E941" s="46" t="inlineStr">
        <is>
          <t>Zero-Day / Edge Device</t>
        </is>
      </c>
      <c r="F941" s="47" t="n">
        <v>8</v>
      </c>
      <c r="G941" s="46" t="inlineStr">
        <is>
          <t>Gemma3:27b via Ollama</t>
        </is>
      </c>
      <c r="H941" s="48" t="n">
        <v>46166</v>
      </c>
      <c r="I941" s="46" t="inlineStr">
        <is>
          <t>7.513</t>
        </is>
      </c>
      <c r="J941" s="46" t="inlineStr">
        <is>
          <t>67.22</t>
        </is>
      </c>
      <c r="K941" s="46" t="inlineStr">
        <is>
          <t>Gemma3:27b</t>
        </is>
      </c>
      <c r="L941" s="46" t="inlineStr">
        <is>
          <t>0.3</t>
        </is>
      </c>
      <c r="M941" s="73" t="inlineStr">
        <is>
          <t>Complete</t>
        </is>
      </c>
    </row>
    <row r="942" ht="13.5" customHeight="1" s="38">
      <c r="A942" s="46" t="inlineStr">
        <is>
          <t>Z_S4_SC04_I09</t>
        </is>
      </c>
      <c r="B942" s="46" t="inlineStr">
        <is>
          <t>R_0592</t>
        </is>
      </c>
      <c r="C942" s="46" t="inlineStr">
        <is>
          <t>Strategy 4 – One-Shot + Template + BLUF</t>
        </is>
      </c>
      <c r="D942" s="46" t="inlineStr">
        <is>
          <t>SC04</t>
        </is>
      </c>
      <c r="E942" s="46" t="inlineStr">
        <is>
          <t>Zero-Day / Edge Device</t>
        </is>
      </c>
      <c r="F942" s="47" t="n">
        <v>9</v>
      </c>
      <c r="G942" s="46" t="inlineStr">
        <is>
          <t>Gemma3:27b via Ollama</t>
        </is>
      </c>
      <c r="H942" s="48" t="n">
        <v>46166</v>
      </c>
      <c r="I942" s="46" t="inlineStr">
        <is>
          <t>7.272</t>
        </is>
      </c>
      <c r="J942" s="46" t="inlineStr">
        <is>
          <t>67.11</t>
        </is>
      </c>
      <c r="K942" s="46" t="inlineStr">
        <is>
          <t>Gemma3:27b</t>
        </is>
      </c>
      <c r="L942" s="46" t="inlineStr">
        <is>
          <t>0.3</t>
        </is>
      </c>
      <c r="M942" s="73" t="inlineStr">
        <is>
          <t>Complete</t>
        </is>
      </c>
    </row>
    <row r="943" ht="13.5" customHeight="1" s="38">
      <c r="A943" s="46" t="inlineStr">
        <is>
          <t>Z_S4_SC04_I10</t>
        </is>
      </c>
      <c r="B943" s="46" t="inlineStr">
        <is>
          <t>R_0371</t>
        </is>
      </c>
      <c r="C943" s="46" t="inlineStr">
        <is>
          <t>Strategy 4 – One-Shot + Template + BLUF</t>
        </is>
      </c>
      <c r="D943" s="46" t="inlineStr">
        <is>
          <t>SC04</t>
        </is>
      </c>
      <c r="E943" s="46" t="inlineStr">
        <is>
          <t>Zero-Day / Edge Device</t>
        </is>
      </c>
      <c r="F943" s="47" t="n">
        <v>10</v>
      </c>
      <c r="G943" s="46" t="inlineStr">
        <is>
          <t>Gemma3:27b via Ollama</t>
        </is>
      </c>
      <c r="H943" s="48" t="n">
        <v>46166</v>
      </c>
      <c r="I943" s="46" t="inlineStr">
        <is>
          <t>6.598</t>
        </is>
      </c>
      <c r="J943" s="46" t="inlineStr">
        <is>
          <t>65.48</t>
        </is>
      </c>
      <c r="K943" s="46" t="inlineStr">
        <is>
          <t>Gemma3:27b</t>
        </is>
      </c>
      <c r="L943" s="46" t="inlineStr">
        <is>
          <t>0.3</t>
        </is>
      </c>
      <c r="M943" s="73" t="inlineStr">
        <is>
          <t>Complete</t>
        </is>
      </c>
    </row>
    <row r="944" ht="13.5" customHeight="1" s="38">
      <c r="A944" s="46" t="inlineStr">
        <is>
          <t>Z_S4_SC05_I01</t>
        </is>
      </c>
      <c r="B944" s="46" t="inlineStr">
        <is>
          <t>R_0883</t>
        </is>
      </c>
      <c r="C944" s="46" t="inlineStr">
        <is>
          <t>Strategy 4 – One-Shot + Template + BLUF</t>
        </is>
      </c>
      <c r="D944" s="46" t="inlineStr">
        <is>
          <t>SC05</t>
        </is>
      </c>
      <c r="E944" s="46" t="inlineStr">
        <is>
          <t>Zero-Day / Edge Device</t>
        </is>
      </c>
      <c r="F944" s="47" t="n">
        <v>1</v>
      </c>
      <c r="G944" s="46" t="inlineStr">
        <is>
          <t>Gemma3:27b via Ollama</t>
        </is>
      </c>
      <c r="H944" s="48" t="n">
        <v>46166</v>
      </c>
      <c r="I944" s="46" t="inlineStr">
        <is>
          <t>7.109</t>
        </is>
      </c>
      <c r="J944" s="46" t="inlineStr">
        <is>
          <t>67.10</t>
        </is>
      </c>
      <c r="K944" s="46" t="inlineStr">
        <is>
          <t>Gemma3:27b</t>
        </is>
      </c>
      <c r="L944" s="46" t="inlineStr">
        <is>
          <t>0.3</t>
        </is>
      </c>
      <c r="M944" s="73" t="inlineStr">
        <is>
          <t>Complete</t>
        </is>
      </c>
    </row>
    <row r="945" ht="13.5" customHeight="1" s="38">
      <c r="A945" s="46" t="inlineStr">
        <is>
          <t>Z_S4_SC05_I02</t>
        </is>
      </c>
      <c r="B945" s="46" t="inlineStr">
        <is>
          <t>R_0907</t>
        </is>
      </c>
      <c r="C945" s="46" t="inlineStr">
        <is>
          <t>Strategy 4 – One-Shot + Template + BLUF</t>
        </is>
      </c>
      <c r="D945" s="46" t="inlineStr">
        <is>
          <t>SC05</t>
        </is>
      </c>
      <c r="E945" s="46" t="inlineStr">
        <is>
          <t>Zero-Day / Edge Device</t>
        </is>
      </c>
      <c r="F945" s="47" t="n">
        <v>2</v>
      </c>
      <c r="G945" s="46" t="inlineStr">
        <is>
          <t>Gemma3:27b via Ollama</t>
        </is>
      </c>
      <c r="H945" s="48" t="n">
        <v>46166</v>
      </c>
      <c r="I945" s="46" t="inlineStr">
        <is>
          <t>6.784</t>
        </is>
      </c>
      <c r="J945" s="46" t="inlineStr">
        <is>
          <t>67.80</t>
        </is>
      </c>
      <c r="K945" s="46" t="inlineStr">
        <is>
          <t>Gemma3:27b</t>
        </is>
      </c>
      <c r="L945" s="46" t="inlineStr">
        <is>
          <t>0.3</t>
        </is>
      </c>
      <c r="M945" s="73" t="inlineStr">
        <is>
          <t>Complete</t>
        </is>
      </c>
    </row>
    <row r="946" ht="13.5" customHeight="1" s="38">
      <c r="A946" s="46" t="inlineStr">
        <is>
          <t>Z_S4_SC05_I03</t>
        </is>
      </c>
      <c r="B946" s="46" t="inlineStr">
        <is>
          <t>R_0634</t>
        </is>
      </c>
      <c r="C946" s="46" t="inlineStr">
        <is>
          <t>Strategy 4 – One-Shot + Template + BLUF</t>
        </is>
      </c>
      <c r="D946" s="46" t="inlineStr">
        <is>
          <t>SC05</t>
        </is>
      </c>
      <c r="E946" s="46" t="inlineStr">
        <is>
          <t>Zero-Day / Edge Device</t>
        </is>
      </c>
      <c r="F946" s="47" t="n">
        <v>3</v>
      </c>
      <c r="G946" s="46" t="inlineStr">
        <is>
          <t>Gemma3:27b via Ollama</t>
        </is>
      </c>
      <c r="H946" s="48" t="n">
        <v>46166</v>
      </c>
      <c r="I946" s="46" t="inlineStr">
        <is>
          <t>6.271</t>
        </is>
      </c>
      <c r="J946" s="46" t="inlineStr">
        <is>
          <t>66.97</t>
        </is>
      </c>
      <c r="K946" s="46" t="inlineStr">
        <is>
          <t>Gemma3:27b</t>
        </is>
      </c>
      <c r="L946" s="46" t="inlineStr">
        <is>
          <t>0.3</t>
        </is>
      </c>
      <c r="M946" s="73" t="inlineStr">
        <is>
          <t>Complete</t>
        </is>
      </c>
    </row>
    <row r="947" ht="13.5" customHeight="1" s="38">
      <c r="A947" s="46" t="inlineStr">
        <is>
          <t>Z_S4_SC05_I04</t>
        </is>
      </c>
      <c r="B947" s="46" t="inlineStr">
        <is>
          <t>R_0644</t>
        </is>
      </c>
      <c r="C947" s="46" t="inlineStr">
        <is>
          <t>Strategy 4 – One-Shot + Template + BLUF</t>
        </is>
      </c>
      <c r="D947" s="46" t="inlineStr">
        <is>
          <t>SC05</t>
        </is>
      </c>
      <c r="E947" s="46" t="inlineStr">
        <is>
          <t>Zero-Day / Edge Device</t>
        </is>
      </c>
      <c r="F947" s="47" t="n">
        <v>4</v>
      </c>
      <c r="G947" s="46" t="inlineStr">
        <is>
          <t>Gemma3:27b via Ollama</t>
        </is>
      </c>
      <c r="H947" s="48" t="n">
        <v>46166</v>
      </c>
      <c r="I947" s="46" t="inlineStr">
        <is>
          <t>7.686</t>
        </is>
      </c>
      <c r="J947" s="46" t="inlineStr">
        <is>
          <t>67.66</t>
        </is>
      </c>
      <c r="K947" s="46" t="inlineStr">
        <is>
          <t>Gemma3:27b</t>
        </is>
      </c>
      <c r="L947" s="46" t="inlineStr">
        <is>
          <t>0.3</t>
        </is>
      </c>
      <c r="M947" s="73" t="inlineStr">
        <is>
          <t>Complete</t>
        </is>
      </c>
    </row>
    <row r="948" ht="13.5" customHeight="1" s="38">
      <c r="A948" s="46" t="inlineStr">
        <is>
          <t>Z_S4_SC05_I05</t>
        </is>
      </c>
      <c r="B948" s="46" t="inlineStr">
        <is>
          <t>R_0850</t>
        </is>
      </c>
      <c r="C948" s="46" t="inlineStr">
        <is>
          <t>Strategy 4 – One-Shot + Template + BLUF</t>
        </is>
      </c>
      <c r="D948" s="46" t="inlineStr">
        <is>
          <t>SC05</t>
        </is>
      </c>
      <c r="E948" s="46" t="inlineStr">
        <is>
          <t>Zero-Day / Edge Device</t>
        </is>
      </c>
      <c r="F948" s="47" t="n">
        <v>5</v>
      </c>
      <c r="G948" s="46" t="inlineStr">
        <is>
          <t>Gemma3:27b via Ollama</t>
        </is>
      </c>
      <c r="H948" s="48" t="n">
        <v>46166</v>
      </c>
      <c r="I948" s="46" t="inlineStr">
        <is>
          <t>6.503</t>
        </is>
      </c>
      <c r="J948" s="46" t="inlineStr">
        <is>
          <t>66.89</t>
        </is>
      </c>
      <c r="K948" s="46" t="inlineStr">
        <is>
          <t>Gemma3:27b</t>
        </is>
      </c>
      <c r="L948" s="46" t="inlineStr">
        <is>
          <t>0.3</t>
        </is>
      </c>
      <c r="M948" s="73" t="inlineStr">
        <is>
          <t>Complete</t>
        </is>
      </c>
    </row>
    <row r="949" ht="13.5" customHeight="1" s="38">
      <c r="A949" s="46" t="inlineStr">
        <is>
          <t>Z_S4_SC05_I06</t>
        </is>
      </c>
      <c r="B949" s="46" t="inlineStr">
        <is>
          <t>R_0301</t>
        </is>
      </c>
      <c r="C949" s="46" t="inlineStr">
        <is>
          <t>Strategy 4 – One-Shot + Template + BLUF</t>
        </is>
      </c>
      <c r="D949" s="46" t="inlineStr">
        <is>
          <t>SC05</t>
        </is>
      </c>
      <c r="E949" s="46" t="inlineStr">
        <is>
          <t>Zero-Day / Edge Device</t>
        </is>
      </c>
      <c r="F949" s="47" t="n">
        <v>6</v>
      </c>
      <c r="G949" s="46" t="inlineStr">
        <is>
          <t>Gemma3:27b via Ollama</t>
        </is>
      </c>
      <c r="H949" s="48" t="n">
        <v>46166</v>
      </c>
      <c r="I949" s="46" t="inlineStr">
        <is>
          <t>6.549</t>
        </is>
      </c>
      <c r="J949" s="46" t="inlineStr">
        <is>
          <t>67.64</t>
        </is>
      </c>
      <c r="K949" s="46" t="inlineStr">
        <is>
          <t>Gemma3:27b</t>
        </is>
      </c>
      <c r="L949" s="46" t="inlineStr">
        <is>
          <t>0.3</t>
        </is>
      </c>
      <c r="M949" s="73" t="inlineStr">
        <is>
          <t>Complete</t>
        </is>
      </c>
    </row>
    <row r="950" ht="13.5" customHeight="1" s="38">
      <c r="A950" s="46" t="inlineStr">
        <is>
          <t>Z_S4_SC05_I07</t>
        </is>
      </c>
      <c r="B950" s="46" t="inlineStr">
        <is>
          <t>R_0566</t>
        </is>
      </c>
      <c r="C950" s="46" t="inlineStr">
        <is>
          <t>Strategy 4 – One-Shot + Template + BLUF</t>
        </is>
      </c>
      <c r="D950" s="46" t="inlineStr">
        <is>
          <t>SC05</t>
        </is>
      </c>
      <c r="E950" s="46" t="inlineStr">
        <is>
          <t>Zero-Day / Edge Device</t>
        </is>
      </c>
      <c r="F950" s="47" t="n">
        <v>7</v>
      </c>
      <c r="G950" s="46" t="inlineStr">
        <is>
          <t>Gemma3:27b via Ollama</t>
        </is>
      </c>
      <c r="H950" s="48" t="n">
        <v>46166</v>
      </c>
      <c r="I950" s="46" t="inlineStr">
        <is>
          <t>6.767</t>
        </is>
      </c>
      <c r="J950" s="46" t="inlineStr">
        <is>
          <t>67.68</t>
        </is>
      </c>
      <c r="K950" s="46" t="inlineStr">
        <is>
          <t>Gemma3:27b</t>
        </is>
      </c>
      <c r="L950" s="46" t="inlineStr">
        <is>
          <t>0.3</t>
        </is>
      </c>
      <c r="M950" s="73" t="inlineStr">
        <is>
          <t>Complete</t>
        </is>
      </c>
    </row>
    <row r="951" ht="13.5" customHeight="1" s="38">
      <c r="A951" s="46" t="inlineStr">
        <is>
          <t>Z_S4_SC05_I08</t>
        </is>
      </c>
      <c r="B951" s="46" t="inlineStr">
        <is>
          <t>R_0081</t>
        </is>
      </c>
      <c r="C951" s="46" t="inlineStr">
        <is>
          <t>Strategy 4 – One-Shot + Template + BLUF</t>
        </is>
      </c>
      <c r="D951" s="46" t="inlineStr">
        <is>
          <t>SC05</t>
        </is>
      </c>
      <c r="E951" s="46" t="inlineStr">
        <is>
          <t>Zero-Day / Edge Device</t>
        </is>
      </c>
      <c r="F951" s="47" t="n">
        <v>8</v>
      </c>
      <c r="G951" s="46" t="inlineStr">
        <is>
          <t>Gemma3:27b via Ollama</t>
        </is>
      </c>
      <c r="H951" s="48" t="n">
        <v>46166</v>
      </c>
      <c r="I951" s="46" t="inlineStr">
        <is>
          <t>6.443</t>
        </is>
      </c>
      <c r="J951" s="46" t="inlineStr">
        <is>
          <t>67.05</t>
        </is>
      </c>
      <c r="K951" s="46" t="inlineStr">
        <is>
          <t>Gemma3:27b</t>
        </is>
      </c>
      <c r="L951" s="46" t="inlineStr">
        <is>
          <t>0.3</t>
        </is>
      </c>
      <c r="M951" s="73" t="inlineStr">
        <is>
          <t>Complete</t>
        </is>
      </c>
    </row>
    <row r="952" ht="13.5" customHeight="1" s="38">
      <c r="A952" s="46" t="inlineStr">
        <is>
          <t>Z_S4_SC05_I09</t>
        </is>
      </c>
      <c r="B952" s="46" t="inlineStr">
        <is>
          <t>R_0388</t>
        </is>
      </c>
      <c r="C952" s="46" t="inlineStr">
        <is>
          <t>Strategy 4 – One-Shot + Template + BLUF</t>
        </is>
      </c>
      <c r="D952" s="46" t="inlineStr">
        <is>
          <t>SC05</t>
        </is>
      </c>
      <c r="E952" s="46" t="inlineStr">
        <is>
          <t>Zero-Day / Edge Device</t>
        </is>
      </c>
      <c r="F952" s="47" t="n">
        <v>9</v>
      </c>
      <c r="G952" s="46" t="inlineStr">
        <is>
          <t>Gemma3:27b via Ollama</t>
        </is>
      </c>
      <c r="H952" s="48" t="n">
        <v>46166</v>
      </c>
      <c r="I952" s="46" t="inlineStr">
        <is>
          <t>6.783</t>
        </is>
      </c>
      <c r="J952" s="46" t="inlineStr">
        <is>
          <t>66.94</t>
        </is>
      </c>
      <c r="K952" s="46" t="inlineStr">
        <is>
          <t>Gemma3:27b</t>
        </is>
      </c>
      <c r="L952" s="46" t="inlineStr">
        <is>
          <t>0.3</t>
        </is>
      </c>
      <c r="M952" s="73" t="inlineStr">
        <is>
          <t>Complete</t>
        </is>
      </c>
    </row>
    <row r="953" ht="13.5" customHeight="1" s="38">
      <c r="A953" s="46" t="inlineStr">
        <is>
          <t>Z_S4_SC05_I10</t>
        </is>
      </c>
      <c r="B953" s="46" t="inlineStr">
        <is>
          <t>R_0945</t>
        </is>
      </c>
      <c r="C953" s="46" t="inlineStr">
        <is>
          <t>Strategy 4 – One-Shot + Template + BLUF</t>
        </is>
      </c>
      <c r="D953" s="46" t="inlineStr">
        <is>
          <t>SC05</t>
        </is>
      </c>
      <c r="E953" s="46" t="inlineStr">
        <is>
          <t>Zero-Day / Edge Device</t>
        </is>
      </c>
      <c r="F953" s="47" t="n">
        <v>10</v>
      </c>
      <c r="G953" s="46" t="inlineStr">
        <is>
          <t>Gemma3:27b via Ollama</t>
        </is>
      </c>
      <c r="H953" s="48" t="n">
        <v>46166</v>
      </c>
      <c r="I953" s="46" t="inlineStr">
        <is>
          <t>6.647</t>
        </is>
      </c>
      <c r="J953" s="46" t="inlineStr">
        <is>
          <t>67.70</t>
        </is>
      </c>
      <c r="K953" s="46" t="inlineStr">
        <is>
          <t>Gemma3:27b</t>
        </is>
      </c>
      <c r="L953" s="46" t="inlineStr">
        <is>
          <t>0.3</t>
        </is>
      </c>
      <c r="M953" s="73" t="inlineStr">
        <is>
          <t>Complete</t>
        </is>
      </c>
    </row>
    <row r="954" ht="13.5" customHeight="1" s="38">
      <c r="A954" s="46" t="inlineStr">
        <is>
          <t>B_S4_SC01_I01</t>
        </is>
      </c>
      <c r="B954" s="46" t="inlineStr">
        <is>
          <t>R_0128</t>
        </is>
      </c>
      <c r="C954" s="46" t="inlineStr">
        <is>
          <t>Strategy 4 – One-Shot + Template + BLUF</t>
        </is>
      </c>
      <c r="D954" s="46" t="inlineStr">
        <is>
          <t>SC01</t>
        </is>
      </c>
      <c r="E954" s="46" t="inlineStr">
        <is>
          <t>Business Email Compromise</t>
        </is>
      </c>
      <c r="F954" s="47" t="n">
        <v>1</v>
      </c>
      <c r="G954" s="46" t="inlineStr">
        <is>
          <t>Gemma3:27b via Ollama</t>
        </is>
      </c>
      <c r="H954" s="48" t="n">
        <v>46165</v>
      </c>
      <c r="I954" s="46" t="inlineStr">
        <is>
          <t>6.572</t>
        </is>
      </c>
      <c r="J954" s="46" t="inlineStr">
        <is>
          <t>66.19</t>
        </is>
      </c>
      <c r="K954" s="46" t="inlineStr">
        <is>
          <t>Gemma3:27b</t>
        </is>
      </c>
      <c r="L954" s="46" t="inlineStr">
        <is>
          <t>0.3</t>
        </is>
      </c>
      <c r="M954" s="73" t="inlineStr">
        <is>
          <t>Complete</t>
        </is>
      </c>
    </row>
    <row r="955" ht="13.5" customHeight="1" s="38">
      <c r="A955" s="46" t="inlineStr">
        <is>
          <t>B_S4_SC01_I02</t>
        </is>
      </c>
      <c r="B955" s="46" t="inlineStr">
        <is>
          <t>R_0550</t>
        </is>
      </c>
      <c r="C955" s="46" t="inlineStr">
        <is>
          <t>Strategy 4 – One-Shot + Template + BLUF</t>
        </is>
      </c>
      <c r="D955" s="46" t="inlineStr">
        <is>
          <t>SC01</t>
        </is>
      </c>
      <c r="E955" s="46" t="inlineStr">
        <is>
          <t>Business Email Compromise</t>
        </is>
      </c>
      <c r="F955" s="47" t="n">
        <v>2</v>
      </c>
      <c r="G955" s="46" t="inlineStr">
        <is>
          <t>Gemma3:27b via Ollama</t>
        </is>
      </c>
      <c r="H955" s="48" t="n">
        <v>46165</v>
      </c>
      <c r="I955" s="46" t="inlineStr">
        <is>
          <t>7.381</t>
        </is>
      </c>
      <c r="J955" s="46" t="inlineStr">
        <is>
          <t>64.22</t>
        </is>
      </c>
      <c r="K955" s="46" t="inlineStr">
        <is>
          <t>Gemma3:27b</t>
        </is>
      </c>
      <c r="L955" s="46" t="inlineStr">
        <is>
          <t>0.3</t>
        </is>
      </c>
      <c r="M955" s="73" t="inlineStr">
        <is>
          <t>Complete</t>
        </is>
      </c>
    </row>
    <row r="956" ht="13.5" customHeight="1" s="38">
      <c r="A956" s="46" t="inlineStr">
        <is>
          <t>B_S4_SC01_I03</t>
        </is>
      </c>
      <c r="B956" s="46" t="inlineStr">
        <is>
          <t>R_0471</t>
        </is>
      </c>
      <c r="C956" s="46" t="inlineStr">
        <is>
          <t>Strategy 4 – One-Shot + Template + BLUF</t>
        </is>
      </c>
      <c r="D956" s="46" t="inlineStr">
        <is>
          <t>SC01</t>
        </is>
      </c>
      <c r="E956" s="46" t="inlineStr">
        <is>
          <t>Business Email Compromise</t>
        </is>
      </c>
      <c r="F956" s="47" t="n">
        <v>3</v>
      </c>
      <c r="G956" s="46" t="inlineStr">
        <is>
          <t>Gemma3:27b via Ollama</t>
        </is>
      </c>
      <c r="H956" s="48" t="n">
        <v>46165</v>
      </c>
      <c r="I956" s="46" t="inlineStr">
        <is>
          <t>6.569</t>
        </is>
      </c>
      <c r="J956" s="46" t="inlineStr">
        <is>
          <t>65.15</t>
        </is>
      </c>
      <c r="K956" s="46" t="inlineStr">
        <is>
          <t>Gemma3:27b</t>
        </is>
      </c>
      <c r="L956" s="46" t="inlineStr">
        <is>
          <t>0.3</t>
        </is>
      </c>
      <c r="M956" s="73" t="inlineStr">
        <is>
          <t>Complete</t>
        </is>
      </c>
    </row>
    <row r="957" ht="13.5" customHeight="1" s="38">
      <c r="A957" s="46" t="inlineStr">
        <is>
          <t>B_S4_SC01_I04</t>
        </is>
      </c>
      <c r="B957" s="46" t="inlineStr">
        <is>
          <t>R_0748</t>
        </is>
      </c>
      <c r="C957" s="46" t="inlineStr">
        <is>
          <t>Strategy 4 – One-Shot + Template + BLUF</t>
        </is>
      </c>
      <c r="D957" s="46" t="inlineStr">
        <is>
          <t>SC01</t>
        </is>
      </c>
      <c r="E957" s="46" t="inlineStr">
        <is>
          <t>Business Email Compromise</t>
        </is>
      </c>
      <c r="F957" s="47" t="n">
        <v>4</v>
      </c>
      <c r="G957" s="46" t="inlineStr">
        <is>
          <t>Gemma3:27b via Ollama</t>
        </is>
      </c>
      <c r="H957" s="48" t="n">
        <v>46165</v>
      </c>
      <c r="I957" s="46" t="inlineStr">
        <is>
          <t>8.012</t>
        </is>
      </c>
      <c r="J957" s="46" t="inlineStr">
        <is>
          <t>66.25</t>
        </is>
      </c>
      <c r="K957" s="46" t="inlineStr">
        <is>
          <t>Gemma3:27b</t>
        </is>
      </c>
      <c r="L957" s="46" t="inlineStr">
        <is>
          <t>0.3</t>
        </is>
      </c>
      <c r="M957" s="73" t="inlineStr">
        <is>
          <t>Complete</t>
        </is>
      </c>
    </row>
    <row r="958" ht="13.5" customHeight="1" s="38">
      <c r="A958" s="46" t="inlineStr">
        <is>
          <t>B_S4_SC01_I05</t>
        </is>
      </c>
      <c r="B958" s="46" t="inlineStr">
        <is>
          <t>R_0045</t>
        </is>
      </c>
      <c r="C958" s="46" t="inlineStr">
        <is>
          <t>Strategy 4 – One-Shot + Template + BLUF</t>
        </is>
      </c>
      <c r="D958" s="46" t="inlineStr">
        <is>
          <t>SC01</t>
        </is>
      </c>
      <c r="E958" s="46" t="inlineStr">
        <is>
          <t>Business Email Compromise</t>
        </is>
      </c>
      <c r="F958" s="47" t="n">
        <v>5</v>
      </c>
      <c r="G958" s="46" t="inlineStr">
        <is>
          <t>Gemma3:27b via Ollama</t>
        </is>
      </c>
      <c r="H958" s="48" t="n">
        <v>46165</v>
      </c>
      <c r="I958" s="46" t="inlineStr">
        <is>
          <t>7.303</t>
        </is>
      </c>
      <c r="J958" s="46" t="inlineStr">
        <is>
          <t>67.10</t>
        </is>
      </c>
      <c r="K958" s="46" t="inlineStr">
        <is>
          <t>Gemma3:27b</t>
        </is>
      </c>
      <c r="L958" s="46" t="inlineStr">
        <is>
          <t>0.3</t>
        </is>
      </c>
      <c r="M958" s="73" t="inlineStr">
        <is>
          <t>Complete</t>
        </is>
      </c>
    </row>
    <row r="959" ht="13.5" customHeight="1" s="38">
      <c r="A959" s="46" t="inlineStr">
        <is>
          <t>B_S4_SC01_I06</t>
        </is>
      </c>
      <c r="B959" s="46" t="inlineStr">
        <is>
          <t>R_0827</t>
        </is>
      </c>
      <c r="C959" s="46" t="inlineStr">
        <is>
          <t>Strategy 4 – One-Shot + Template + BLUF</t>
        </is>
      </c>
      <c r="D959" s="46" t="inlineStr">
        <is>
          <t>SC01</t>
        </is>
      </c>
      <c r="E959" s="46" t="inlineStr">
        <is>
          <t>Business Email Compromise</t>
        </is>
      </c>
      <c r="F959" s="47" t="n">
        <v>6</v>
      </c>
      <c r="G959" s="46" t="inlineStr">
        <is>
          <t>Gemma3:27b via Ollama</t>
        </is>
      </c>
      <c r="H959" s="48" t="n">
        <v>46165</v>
      </c>
      <c r="I959" s="46" t="inlineStr">
        <is>
          <t>6.483</t>
        </is>
      </c>
      <c r="J959" s="46" t="inlineStr">
        <is>
          <t>67.41</t>
        </is>
      </c>
      <c r="K959" s="46" t="inlineStr">
        <is>
          <t>Gemma3:27b</t>
        </is>
      </c>
      <c r="L959" s="46" t="inlineStr">
        <is>
          <t>0.3</t>
        </is>
      </c>
      <c r="M959" s="73" t="inlineStr">
        <is>
          <t>Complete</t>
        </is>
      </c>
    </row>
    <row r="960" ht="13.5" customHeight="1" s="38">
      <c r="A960" s="46" t="inlineStr">
        <is>
          <t>B_S4_SC01_I07</t>
        </is>
      </c>
      <c r="B960" s="46" t="inlineStr">
        <is>
          <t>R_0271</t>
        </is>
      </c>
      <c r="C960" s="46" t="inlineStr">
        <is>
          <t>Strategy 4 – One-Shot + Template + BLUF</t>
        </is>
      </c>
      <c r="D960" s="46" t="inlineStr">
        <is>
          <t>SC01</t>
        </is>
      </c>
      <c r="E960" s="46" t="inlineStr">
        <is>
          <t>Business Email Compromise</t>
        </is>
      </c>
      <c r="F960" s="47" t="n">
        <v>7</v>
      </c>
      <c r="G960" s="46" t="inlineStr">
        <is>
          <t>Gemma3:27b via Ollama</t>
        </is>
      </c>
      <c r="H960" s="48" t="n">
        <v>46165</v>
      </c>
      <c r="I960" s="46" t="inlineStr">
        <is>
          <t>6.000</t>
        </is>
      </c>
      <c r="J960" s="46" t="inlineStr">
        <is>
          <t>65.50</t>
        </is>
      </c>
      <c r="K960" s="46" t="inlineStr">
        <is>
          <t>Gemma3:27b</t>
        </is>
      </c>
      <c r="L960" s="46" t="inlineStr">
        <is>
          <t>0.3</t>
        </is>
      </c>
      <c r="M960" s="73" t="inlineStr">
        <is>
          <t>Complete</t>
        </is>
      </c>
    </row>
    <row r="961" ht="13.5" customHeight="1" s="38">
      <c r="A961" s="46" t="inlineStr">
        <is>
          <t>B_S4_SC01_I08</t>
        </is>
      </c>
      <c r="B961" s="46" t="inlineStr">
        <is>
          <t>R_0619</t>
        </is>
      </c>
      <c r="C961" s="46" t="inlineStr">
        <is>
          <t>Strategy 4 – One-Shot + Template + BLUF</t>
        </is>
      </c>
      <c r="D961" s="46" t="inlineStr">
        <is>
          <t>SC01</t>
        </is>
      </c>
      <c r="E961" s="46" t="inlineStr">
        <is>
          <t>Business Email Compromise</t>
        </is>
      </c>
      <c r="F961" s="47" t="n">
        <v>8</v>
      </c>
      <c r="G961" s="46" t="inlineStr">
        <is>
          <t>Gemma3:27b via Ollama</t>
        </is>
      </c>
      <c r="H961" s="48" t="n">
        <v>46165</v>
      </c>
      <c r="I961" s="46" t="inlineStr">
        <is>
          <t>6.788</t>
        </is>
      </c>
      <c r="J961" s="46" t="inlineStr">
        <is>
          <t>64.38</t>
        </is>
      </c>
      <c r="K961" s="46" t="inlineStr">
        <is>
          <t>Gemma3:27b</t>
        </is>
      </c>
      <c r="L961" s="46" t="inlineStr">
        <is>
          <t>0.3</t>
        </is>
      </c>
      <c r="M961" s="73" t="inlineStr">
        <is>
          <t>Complete</t>
        </is>
      </c>
    </row>
    <row r="962" ht="13.5" customHeight="1" s="38">
      <c r="A962" s="46" t="inlineStr">
        <is>
          <t>B_S4_SC01_I09</t>
        </is>
      </c>
      <c r="B962" s="46" t="inlineStr">
        <is>
          <t>R_0353</t>
        </is>
      </c>
      <c r="C962" s="46" t="inlineStr">
        <is>
          <t>Strategy 4 – One-Shot + Template + BLUF</t>
        </is>
      </c>
      <c r="D962" s="46" t="inlineStr">
        <is>
          <t>SC01</t>
        </is>
      </c>
      <c r="E962" s="46" t="inlineStr">
        <is>
          <t>Business Email Compromise</t>
        </is>
      </c>
      <c r="F962" s="47" t="n">
        <v>9</v>
      </c>
      <c r="G962" s="46" t="inlineStr">
        <is>
          <t>Gemma3:27b via Ollama</t>
        </is>
      </c>
      <c r="H962" s="48" t="n">
        <v>46165</v>
      </c>
      <c r="I962" s="46" t="inlineStr">
        <is>
          <t>7.891</t>
        </is>
      </c>
      <c r="J962" s="46" t="inlineStr">
        <is>
          <t>66.66</t>
        </is>
      </c>
      <c r="K962" s="46" t="inlineStr">
        <is>
          <t>Gemma3:27b</t>
        </is>
      </c>
      <c r="L962" s="46" t="inlineStr">
        <is>
          <t>0.3</t>
        </is>
      </c>
      <c r="M962" s="73" t="inlineStr">
        <is>
          <t>Complete</t>
        </is>
      </c>
    </row>
    <row r="963" ht="13.5" customHeight="1" s="38">
      <c r="A963" s="46" t="inlineStr">
        <is>
          <t>B_S4_SC01_I10</t>
        </is>
      </c>
      <c r="B963" s="46" t="inlineStr">
        <is>
          <t>R_0868</t>
        </is>
      </c>
      <c r="C963" s="46" t="inlineStr">
        <is>
          <t>Strategy 4 – One-Shot + Template + BLUF</t>
        </is>
      </c>
      <c r="D963" s="46" t="inlineStr">
        <is>
          <t>SC01</t>
        </is>
      </c>
      <c r="E963" s="46" t="inlineStr">
        <is>
          <t>Business Email Compromise</t>
        </is>
      </c>
      <c r="F963" s="47" t="n">
        <v>10</v>
      </c>
      <c r="G963" s="46" t="inlineStr">
        <is>
          <t>Gemma3:27b via Ollama</t>
        </is>
      </c>
      <c r="H963" s="48" t="n">
        <v>46165</v>
      </c>
      <c r="I963" s="46" t="inlineStr">
        <is>
          <t>6.753</t>
        </is>
      </c>
      <c r="J963" s="46" t="inlineStr">
        <is>
          <t>63.23</t>
        </is>
      </c>
      <c r="K963" s="46" t="inlineStr">
        <is>
          <t>Gemma3:27b</t>
        </is>
      </c>
      <c r="L963" s="46" t="inlineStr">
        <is>
          <t>0.3</t>
        </is>
      </c>
      <c r="M963" s="73" t="inlineStr">
        <is>
          <t>Complete</t>
        </is>
      </c>
    </row>
    <row r="964" ht="13.5" customHeight="1" s="38">
      <c r="A964" s="46" t="inlineStr">
        <is>
          <t>B_S4_SC02_I01</t>
        </is>
      </c>
      <c r="B964" s="46" t="inlineStr">
        <is>
          <t>R_0368</t>
        </is>
      </c>
      <c r="C964" s="46" t="inlineStr">
        <is>
          <t>Strategy 4 – One-Shot + Template + BLUF</t>
        </is>
      </c>
      <c r="D964" s="46" t="inlineStr">
        <is>
          <t>SC02</t>
        </is>
      </c>
      <c r="E964" s="46" t="inlineStr">
        <is>
          <t>Business Email Compromise</t>
        </is>
      </c>
      <c r="F964" s="47" t="n">
        <v>1</v>
      </c>
      <c r="G964" s="46" t="inlineStr">
        <is>
          <t>Gemma3:27b via Ollama</t>
        </is>
      </c>
      <c r="H964" s="48" t="n">
        <v>46165</v>
      </c>
      <c r="I964" s="46" t="inlineStr">
        <is>
          <t>7.188</t>
        </is>
      </c>
      <c r="J964" s="46" t="inlineStr">
        <is>
          <t>65.52</t>
        </is>
      </c>
      <c r="K964" s="46" t="inlineStr">
        <is>
          <t>Gemma3:27b</t>
        </is>
      </c>
      <c r="L964" s="46" t="inlineStr">
        <is>
          <t>0.3</t>
        </is>
      </c>
      <c r="M964" s="73" t="inlineStr">
        <is>
          <t>Complete</t>
        </is>
      </c>
    </row>
    <row r="965" ht="13.5" customHeight="1" s="38">
      <c r="A965" s="46" t="inlineStr">
        <is>
          <t>B_S4_SC02_I02</t>
        </is>
      </c>
      <c r="B965" s="46" t="inlineStr">
        <is>
          <t>R_0100</t>
        </is>
      </c>
      <c r="C965" s="46" t="inlineStr">
        <is>
          <t>Strategy 4 – One-Shot + Template + BLUF</t>
        </is>
      </c>
      <c r="D965" s="46" t="inlineStr">
        <is>
          <t>SC02</t>
        </is>
      </c>
      <c r="E965" s="46" t="inlineStr">
        <is>
          <t>Business Email Compromise</t>
        </is>
      </c>
      <c r="F965" s="47" t="n">
        <v>2</v>
      </c>
      <c r="G965" s="46" t="inlineStr">
        <is>
          <t>Gemma3:27b via Ollama</t>
        </is>
      </c>
      <c r="H965" s="48" t="n">
        <v>46165</v>
      </c>
      <c r="I965" s="46" t="inlineStr">
        <is>
          <t>7.152</t>
        </is>
      </c>
      <c r="J965" s="46" t="inlineStr">
        <is>
          <t>62.22</t>
        </is>
      </c>
      <c r="K965" s="46" t="inlineStr">
        <is>
          <t>Gemma3:27b</t>
        </is>
      </c>
      <c r="L965" s="46" t="inlineStr">
        <is>
          <t>0.3</t>
        </is>
      </c>
      <c r="M965" s="73" t="inlineStr">
        <is>
          <t>Complete</t>
        </is>
      </c>
    </row>
    <row r="966" ht="13.5" customHeight="1" s="38">
      <c r="A966" s="46" t="inlineStr">
        <is>
          <t>B_S4_SC02_I03</t>
        </is>
      </c>
      <c r="B966" s="46" t="inlineStr">
        <is>
          <t>R_0390</t>
        </is>
      </c>
      <c r="C966" s="46" t="inlineStr">
        <is>
          <t>Strategy 4 – One-Shot + Template + BLUF</t>
        </is>
      </c>
      <c r="D966" s="46" t="inlineStr">
        <is>
          <t>SC02</t>
        </is>
      </c>
      <c r="E966" s="46" t="inlineStr">
        <is>
          <t>Business Email Compromise</t>
        </is>
      </c>
      <c r="F966" s="47" t="n">
        <v>3</v>
      </c>
      <c r="G966" s="46" t="inlineStr">
        <is>
          <t>Gemma3:27b via Ollama</t>
        </is>
      </c>
      <c r="H966" s="48" t="n">
        <v>46165</v>
      </c>
      <c r="I966" s="46" t="inlineStr">
        <is>
          <t>7.996</t>
        </is>
      </c>
      <c r="J966" s="46" t="inlineStr">
        <is>
          <t>63.78</t>
        </is>
      </c>
      <c r="K966" s="46" t="inlineStr">
        <is>
          <t>Gemma3:27b</t>
        </is>
      </c>
      <c r="L966" s="46" t="inlineStr">
        <is>
          <t>0.3</t>
        </is>
      </c>
      <c r="M966" s="73" t="inlineStr">
        <is>
          <t>Complete</t>
        </is>
      </c>
    </row>
    <row r="967" ht="13.5" customHeight="1" s="38">
      <c r="A967" s="46" t="inlineStr">
        <is>
          <t>B_S4_SC02_I04</t>
        </is>
      </c>
      <c r="B967" s="46" t="inlineStr">
        <is>
          <t>R_0095</t>
        </is>
      </c>
      <c r="C967" s="46" t="inlineStr">
        <is>
          <t>Strategy 4 – One-Shot + Template + BLUF</t>
        </is>
      </c>
      <c r="D967" s="46" t="inlineStr">
        <is>
          <t>SC02</t>
        </is>
      </c>
      <c r="E967" s="46" t="inlineStr">
        <is>
          <t>Business Email Compromise</t>
        </is>
      </c>
      <c r="F967" s="47" t="n">
        <v>4</v>
      </c>
      <c r="G967" s="46" t="inlineStr">
        <is>
          <t>Gemma3:27b via Ollama</t>
        </is>
      </c>
      <c r="H967" s="48" t="n">
        <v>46165</v>
      </c>
      <c r="I967" s="46" t="inlineStr">
        <is>
          <t>7.655</t>
        </is>
      </c>
      <c r="J967" s="46" t="inlineStr">
        <is>
          <t>64.53</t>
        </is>
      </c>
      <c r="K967" s="46" t="inlineStr">
        <is>
          <t>Gemma3:27b</t>
        </is>
      </c>
      <c r="L967" s="46" t="inlineStr">
        <is>
          <t>0.3</t>
        </is>
      </c>
      <c r="M967" s="73" t="inlineStr">
        <is>
          <t>Complete</t>
        </is>
      </c>
    </row>
    <row r="968" ht="13.5" customHeight="1" s="38">
      <c r="A968" s="46" t="inlineStr">
        <is>
          <t>B_S4_SC02_I05</t>
        </is>
      </c>
      <c r="B968" s="46" t="inlineStr">
        <is>
          <t>R_0105</t>
        </is>
      </c>
      <c r="C968" s="46" t="inlineStr">
        <is>
          <t>Strategy 4 – One-Shot + Template + BLUF</t>
        </is>
      </c>
      <c r="D968" s="46" t="inlineStr">
        <is>
          <t>SC02</t>
        </is>
      </c>
      <c r="E968" s="46" t="inlineStr">
        <is>
          <t>Business Email Compromise</t>
        </is>
      </c>
      <c r="F968" s="47" t="n">
        <v>5</v>
      </c>
      <c r="G968" s="46" t="inlineStr">
        <is>
          <t>Gemma3:27b via Ollama</t>
        </is>
      </c>
      <c r="H968" s="48" t="n">
        <v>46165</v>
      </c>
      <c r="I968" s="46" t="inlineStr">
        <is>
          <t>7.476</t>
        </is>
      </c>
      <c r="J968" s="46" t="inlineStr">
        <is>
          <t>63.81</t>
        </is>
      </c>
      <c r="K968" s="46" t="inlineStr">
        <is>
          <t>Gemma3:27b</t>
        </is>
      </c>
      <c r="L968" s="46" t="inlineStr">
        <is>
          <t>0.3</t>
        </is>
      </c>
      <c r="M968" s="73" t="inlineStr">
        <is>
          <t>Complete</t>
        </is>
      </c>
    </row>
    <row r="969" ht="13.5" customHeight="1" s="38">
      <c r="A969" s="46" t="inlineStr">
        <is>
          <t>B_S4_SC02_I06</t>
        </is>
      </c>
      <c r="B969" s="46" t="inlineStr">
        <is>
          <t>R_0345</t>
        </is>
      </c>
      <c r="C969" s="46" t="inlineStr">
        <is>
          <t>Strategy 4 – One-Shot + Template + BLUF</t>
        </is>
      </c>
      <c r="D969" s="46" t="inlineStr">
        <is>
          <t>SC02</t>
        </is>
      </c>
      <c r="E969" s="46" t="inlineStr">
        <is>
          <t>Business Email Compromise</t>
        </is>
      </c>
      <c r="F969" s="47" t="n">
        <v>6</v>
      </c>
      <c r="G969" s="46" t="inlineStr">
        <is>
          <t>Gemma3:27b via Ollama</t>
        </is>
      </c>
      <c r="H969" s="48" t="n">
        <v>46165</v>
      </c>
      <c r="I969" s="46" t="inlineStr">
        <is>
          <t>7.727</t>
        </is>
      </c>
      <c r="J969" s="46" t="inlineStr">
        <is>
          <t>64.45</t>
        </is>
      </c>
      <c r="K969" s="46" t="inlineStr">
        <is>
          <t>Gemma3:27b</t>
        </is>
      </c>
      <c r="L969" s="46" t="inlineStr">
        <is>
          <t>0.3</t>
        </is>
      </c>
      <c r="M969" s="73" t="inlineStr">
        <is>
          <t>Complete</t>
        </is>
      </c>
    </row>
    <row r="970" ht="13.5" customHeight="1" s="38">
      <c r="A970" s="46" t="inlineStr">
        <is>
          <t>B_S4_SC02_I07</t>
        </is>
      </c>
      <c r="B970" s="46" t="inlineStr">
        <is>
          <t>R_0782</t>
        </is>
      </c>
      <c r="C970" s="46" t="inlineStr">
        <is>
          <t>Strategy 4 – One-Shot + Template + BLUF</t>
        </is>
      </c>
      <c r="D970" s="46" t="inlineStr">
        <is>
          <t>SC02</t>
        </is>
      </c>
      <c r="E970" s="46" t="inlineStr">
        <is>
          <t>Business Email Compromise</t>
        </is>
      </c>
      <c r="F970" s="47" t="n">
        <v>7</v>
      </c>
      <c r="G970" s="46" t="inlineStr">
        <is>
          <t>Gemma3:27b via Ollama</t>
        </is>
      </c>
      <c r="H970" s="48" t="n">
        <v>46165</v>
      </c>
      <c r="I970" s="46" t="inlineStr">
        <is>
          <t>7.603</t>
        </is>
      </c>
      <c r="J970" s="46" t="inlineStr">
        <is>
          <t>66.03</t>
        </is>
      </c>
      <c r="K970" s="46" t="inlineStr">
        <is>
          <t>Gemma3:27b</t>
        </is>
      </c>
      <c r="L970" s="46" t="inlineStr">
        <is>
          <t>0.3</t>
        </is>
      </c>
      <c r="M970" s="73" t="inlineStr">
        <is>
          <t>Complete</t>
        </is>
      </c>
    </row>
    <row r="971" ht="13.5" customHeight="1" s="38">
      <c r="A971" s="46" t="inlineStr">
        <is>
          <t>B_S4_SC02_I08</t>
        </is>
      </c>
      <c r="B971" s="46" t="inlineStr">
        <is>
          <t>R_0221</t>
        </is>
      </c>
      <c r="C971" s="46" t="inlineStr">
        <is>
          <t>Strategy 4 – One-Shot + Template + BLUF</t>
        </is>
      </c>
      <c r="D971" s="46" t="inlineStr">
        <is>
          <t>SC02</t>
        </is>
      </c>
      <c r="E971" s="46" t="inlineStr">
        <is>
          <t>Business Email Compromise</t>
        </is>
      </c>
      <c r="F971" s="47" t="n">
        <v>8</v>
      </c>
      <c r="G971" s="46" t="inlineStr">
        <is>
          <t>Gemma3:27b via Ollama</t>
        </is>
      </c>
      <c r="H971" s="48" t="n">
        <v>46165</v>
      </c>
      <c r="I971" s="46" t="inlineStr">
        <is>
          <t>6.606</t>
        </is>
      </c>
      <c r="J971" s="46" t="inlineStr">
        <is>
          <t>67.37</t>
        </is>
      </c>
      <c r="K971" s="46" t="inlineStr">
        <is>
          <t>Gemma3:27b</t>
        </is>
      </c>
      <c r="L971" s="46" t="inlineStr">
        <is>
          <t>0.3</t>
        </is>
      </c>
      <c r="M971" s="73" t="inlineStr">
        <is>
          <t>Complete</t>
        </is>
      </c>
    </row>
    <row r="972" ht="13.5" customHeight="1" s="38">
      <c r="A972" s="46" t="inlineStr">
        <is>
          <t>B_S4_SC02_I09</t>
        </is>
      </c>
      <c r="B972" s="46" t="inlineStr">
        <is>
          <t>R_0160</t>
        </is>
      </c>
      <c r="C972" s="46" t="inlineStr">
        <is>
          <t>Strategy 4 – One-Shot + Template + BLUF</t>
        </is>
      </c>
      <c r="D972" s="46" t="inlineStr">
        <is>
          <t>SC02</t>
        </is>
      </c>
      <c r="E972" s="46" t="inlineStr">
        <is>
          <t>Business Email Compromise</t>
        </is>
      </c>
      <c r="F972" s="47" t="n">
        <v>9</v>
      </c>
      <c r="G972" s="46" t="inlineStr">
        <is>
          <t>Gemma3:27b via Ollama</t>
        </is>
      </c>
      <c r="H972" s="48" t="n">
        <v>46165</v>
      </c>
      <c r="I972" s="46" t="inlineStr">
        <is>
          <t>7.080</t>
        </is>
      </c>
      <c r="J972" s="46" t="inlineStr">
        <is>
          <t>65.68</t>
        </is>
      </c>
      <c r="K972" s="46" t="inlineStr">
        <is>
          <t>Gemma3:27b</t>
        </is>
      </c>
      <c r="L972" s="46" t="inlineStr">
        <is>
          <t>0.3</t>
        </is>
      </c>
      <c r="M972" s="73" t="inlineStr">
        <is>
          <t>Complete</t>
        </is>
      </c>
    </row>
    <row r="973" ht="13.5" customHeight="1" s="38">
      <c r="A973" s="46" t="inlineStr">
        <is>
          <t>B_S4_SC02_I10</t>
        </is>
      </c>
      <c r="B973" s="46" t="inlineStr">
        <is>
          <t>R_0980</t>
        </is>
      </c>
      <c r="C973" s="46" t="inlineStr">
        <is>
          <t>Strategy 4 – One-Shot + Template + BLUF</t>
        </is>
      </c>
      <c r="D973" s="46" t="inlineStr">
        <is>
          <t>SC02</t>
        </is>
      </c>
      <c r="E973" s="46" t="inlineStr">
        <is>
          <t>Business Email Compromise</t>
        </is>
      </c>
      <c r="F973" s="47" t="n">
        <v>10</v>
      </c>
      <c r="G973" s="46" t="inlineStr">
        <is>
          <t>Gemma3:27b via Ollama</t>
        </is>
      </c>
      <c r="H973" s="48" t="n">
        <v>46165</v>
      </c>
      <c r="I973" s="46" t="inlineStr">
        <is>
          <t>8.000</t>
        </is>
      </c>
      <c r="J973" s="46" t="inlineStr">
        <is>
          <t>66.50</t>
        </is>
      </c>
      <c r="K973" s="46" t="inlineStr">
        <is>
          <t>Gemma3:27b</t>
        </is>
      </c>
      <c r="L973" s="46" t="inlineStr">
        <is>
          <t>0.3</t>
        </is>
      </c>
      <c r="M973" s="73" t="inlineStr">
        <is>
          <t>Complete</t>
        </is>
      </c>
    </row>
    <row r="974" ht="13.5" customHeight="1" s="38">
      <c r="A974" s="46" t="inlineStr">
        <is>
          <t>B_S4_SC03_I01</t>
        </is>
      </c>
      <c r="B974" s="46" t="inlineStr">
        <is>
          <t>R_0349</t>
        </is>
      </c>
      <c r="C974" s="46" t="inlineStr">
        <is>
          <t>Strategy 4 – One-Shot + Template + BLUF</t>
        </is>
      </c>
      <c r="D974" s="46" t="inlineStr">
        <is>
          <t>SC03</t>
        </is>
      </c>
      <c r="E974" s="46" t="inlineStr">
        <is>
          <t>Business Email Compromise</t>
        </is>
      </c>
      <c r="F974" s="47" t="n">
        <v>1</v>
      </c>
      <c r="G974" s="46" t="inlineStr">
        <is>
          <t>Gemma3:27b via Ollama</t>
        </is>
      </c>
      <c r="H974" s="48" t="n">
        <v>46165</v>
      </c>
      <c r="I974" s="46" t="inlineStr">
        <is>
          <t>7.159</t>
        </is>
      </c>
      <c r="J974" s="46" t="inlineStr">
        <is>
          <t>67.89</t>
        </is>
      </c>
      <c r="K974" s="46" t="inlineStr">
        <is>
          <t>Gemma3:27b</t>
        </is>
      </c>
      <c r="L974" s="46" t="inlineStr">
        <is>
          <t>0.3</t>
        </is>
      </c>
      <c r="M974" s="73" t="inlineStr">
        <is>
          <t>Complete</t>
        </is>
      </c>
    </row>
    <row r="975" ht="13.5" customHeight="1" s="38">
      <c r="A975" s="46" t="inlineStr">
        <is>
          <t>B_S4_SC03_I02</t>
        </is>
      </c>
      <c r="B975" s="46" t="inlineStr">
        <is>
          <t>R_0999</t>
        </is>
      </c>
      <c r="C975" s="46" t="inlineStr">
        <is>
          <t>Strategy 4 – One-Shot + Template + BLUF</t>
        </is>
      </c>
      <c r="D975" s="46" t="inlineStr">
        <is>
          <t>SC03</t>
        </is>
      </c>
      <c r="E975" s="46" t="inlineStr">
        <is>
          <t>Business Email Compromise</t>
        </is>
      </c>
      <c r="F975" s="47" t="n">
        <v>2</v>
      </c>
      <c r="G975" s="46" t="inlineStr">
        <is>
          <t>Gemma3:27b via Ollama</t>
        </is>
      </c>
      <c r="H975" s="48" t="n">
        <v>46165</v>
      </c>
      <c r="I975" s="46" t="inlineStr">
        <is>
          <t>7.606</t>
        </is>
      </c>
      <c r="J975" s="46" t="inlineStr">
        <is>
          <t>66.92</t>
        </is>
      </c>
      <c r="K975" s="46" t="inlineStr">
        <is>
          <t>Gemma3:27b</t>
        </is>
      </c>
      <c r="L975" s="46" t="inlineStr">
        <is>
          <t>0.3</t>
        </is>
      </c>
      <c r="M975" s="73" t="inlineStr">
        <is>
          <t>Complete</t>
        </is>
      </c>
    </row>
    <row r="976" ht="13.5" customHeight="1" s="38">
      <c r="A976" s="46" t="inlineStr">
        <is>
          <t>B_S4_SC03_I03</t>
        </is>
      </c>
      <c r="B976" s="46" t="inlineStr">
        <is>
          <t>R_0715</t>
        </is>
      </c>
      <c r="C976" s="46" t="inlineStr">
        <is>
          <t>Strategy 4 – One-Shot + Template + BLUF</t>
        </is>
      </c>
      <c r="D976" s="46" t="inlineStr">
        <is>
          <t>SC03</t>
        </is>
      </c>
      <c r="E976" s="46" t="inlineStr">
        <is>
          <t>Business Email Compromise</t>
        </is>
      </c>
      <c r="F976" s="47" t="n">
        <v>3</v>
      </c>
      <c r="G976" s="46" t="inlineStr">
        <is>
          <t>Gemma3:27b via Ollama</t>
        </is>
      </c>
      <c r="H976" s="48" t="n">
        <v>46165</v>
      </c>
      <c r="I976" s="46" t="inlineStr">
        <is>
          <t>7.328</t>
        </is>
      </c>
      <c r="J976" s="46" t="inlineStr">
        <is>
          <t>67.28</t>
        </is>
      </c>
      <c r="K976" s="46" t="inlineStr">
        <is>
          <t>Gemma3:27b</t>
        </is>
      </c>
      <c r="L976" s="46" t="inlineStr">
        <is>
          <t>0.3</t>
        </is>
      </c>
      <c r="M976" s="73" t="inlineStr">
        <is>
          <t>Complete</t>
        </is>
      </c>
    </row>
    <row r="977" ht="13.5" customHeight="1" s="38">
      <c r="A977" s="46" t="inlineStr">
        <is>
          <t>B_S4_SC03_I04</t>
        </is>
      </c>
      <c r="B977" s="46" t="inlineStr">
        <is>
          <t>R_0164</t>
        </is>
      </c>
      <c r="C977" s="46" t="inlineStr">
        <is>
          <t>Strategy 4 – One-Shot + Template + BLUF</t>
        </is>
      </c>
      <c r="D977" s="46" t="inlineStr">
        <is>
          <t>SC03</t>
        </is>
      </c>
      <c r="E977" s="46" t="inlineStr">
        <is>
          <t>Business Email Compromise</t>
        </is>
      </c>
      <c r="F977" s="47" t="n">
        <v>4</v>
      </c>
      <c r="G977" s="46" t="inlineStr">
        <is>
          <t>Gemma3:27b via Ollama</t>
        </is>
      </c>
      <c r="H977" s="48" t="n">
        <v>46165</v>
      </c>
      <c r="I977" s="46" t="inlineStr">
        <is>
          <t>8.282</t>
        </is>
      </c>
      <c r="J977" s="46" t="inlineStr">
        <is>
          <t>66.53</t>
        </is>
      </c>
      <c r="K977" s="46" t="inlineStr">
        <is>
          <t>Gemma3:27b</t>
        </is>
      </c>
      <c r="L977" s="46" t="inlineStr">
        <is>
          <t>0.3</t>
        </is>
      </c>
      <c r="M977" s="73" t="inlineStr">
        <is>
          <t>Complete</t>
        </is>
      </c>
    </row>
    <row r="978" ht="13.5" customHeight="1" s="38">
      <c r="A978" s="46" t="inlineStr">
        <is>
          <t>B_S4_SC03_I05</t>
        </is>
      </c>
      <c r="B978" s="46" t="inlineStr">
        <is>
          <t>R_0826</t>
        </is>
      </c>
      <c r="C978" s="46" t="inlineStr">
        <is>
          <t>Strategy 4 – One-Shot + Template + BLUF</t>
        </is>
      </c>
      <c r="D978" s="46" t="inlineStr">
        <is>
          <t>SC03</t>
        </is>
      </c>
      <c r="E978" s="46" t="inlineStr">
        <is>
          <t>Business Email Compromise</t>
        </is>
      </c>
      <c r="F978" s="47" t="n">
        <v>5</v>
      </c>
      <c r="G978" s="46" t="inlineStr">
        <is>
          <t>Gemma3:27b via Ollama</t>
        </is>
      </c>
      <c r="H978" s="48" t="n">
        <v>46165</v>
      </c>
      <c r="I978" s="46" t="inlineStr">
        <is>
          <t>7.992</t>
        </is>
      </c>
      <c r="J978" s="46" t="inlineStr">
        <is>
          <t>67.69</t>
        </is>
      </c>
      <c r="K978" s="46" t="inlineStr">
        <is>
          <t>Gemma3:27b</t>
        </is>
      </c>
      <c r="L978" s="46" t="inlineStr">
        <is>
          <t>0.3</t>
        </is>
      </c>
      <c r="M978" s="73" t="inlineStr">
        <is>
          <t>Complete</t>
        </is>
      </c>
    </row>
    <row r="979" ht="13.5" customHeight="1" s="38">
      <c r="A979" s="46" t="inlineStr">
        <is>
          <t>B_S4_SC03_I06</t>
        </is>
      </c>
      <c r="B979" s="46" t="inlineStr">
        <is>
          <t>R_0778</t>
        </is>
      </c>
      <c r="C979" s="46" t="inlineStr">
        <is>
          <t>Strategy 4 – One-Shot + Template + BLUF</t>
        </is>
      </c>
      <c r="D979" s="46" t="inlineStr">
        <is>
          <t>SC03</t>
        </is>
      </c>
      <c r="E979" s="46" t="inlineStr">
        <is>
          <t>Business Email Compromise</t>
        </is>
      </c>
      <c r="F979" s="47" t="n">
        <v>6</v>
      </c>
      <c r="G979" s="46" t="inlineStr">
        <is>
          <t>Gemma3:27b via Ollama</t>
        </is>
      </c>
      <c r="H979" s="48" t="n">
        <v>46165</v>
      </c>
      <c r="I979" s="46" t="inlineStr">
        <is>
          <t>8.451</t>
        </is>
      </c>
      <c r="J979" s="46" t="inlineStr">
        <is>
          <t>67.68</t>
        </is>
      </c>
      <c r="K979" s="46" t="inlineStr">
        <is>
          <t>Gemma3:27b</t>
        </is>
      </c>
      <c r="L979" s="46" t="inlineStr">
        <is>
          <t>0.3</t>
        </is>
      </c>
      <c r="M979" s="73" t="inlineStr">
        <is>
          <t>Complete</t>
        </is>
      </c>
    </row>
    <row r="980" ht="13.5" customHeight="1" s="38">
      <c r="A980" s="46" t="inlineStr">
        <is>
          <t>B_S4_SC03_I07</t>
        </is>
      </c>
      <c r="B980" s="46" t="inlineStr">
        <is>
          <t>R_0007</t>
        </is>
      </c>
      <c r="C980" s="46" t="inlineStr">
        <is>
          <t>Strategy 4 – One-Shot + Template + BLUF</t>
        </is>
      </c>
      <c r="D980" s="46" t="inlineStr">
        <is>
          <t>SC03</t>
        </is>
      </c>
      <c r="E980" s="46" t="inlineStr">
        <is>
          <t>Business Email Compromise</t>
        </is>
      </c>
      <c r="F980" s="47" t="n">
        <v>7</v>
      </c>
      <c r="G980" s="46" t="inlineStr">
        <is>
          <t>Gemma3:27b via Ollama</t>
        </is>
      </c>
      <c r="H980" s="48" t="n">
        <v>46165</v>
      </c>
      <c r="I980" s="46" t="inlineStr">
        <is>
          <t>7.696</t>
        </is>
      </c>
      <c r="J980" s="46" t="inlineStr">
        <is>
          <t>67.82</t>
        </is>
      </c>
      <c r="K980" s="46" t="inlineStr">
        <is>
          <t>Gemma3:27b</t>
        </is>
      </c>
      <c r="L980" s="46" t="inlineStr">
        <is>
          <t>0.3</t>
        </is>
      </c>
      <c r="M980" s="73" t="inlineStr">
        <is>
          <t>Complete</t>
        </is>
      </c>
    </row>
    <row r="981" ht="13.5" customHeight="1" s="38">
      <c r="A981" s="46" t="inlineStr">
        <is>
          <t>B_S4_SC03_I08</t>
        </is>
      </c>
      <c r="B981" s="46" t="inlineStr">
        <is>
          <t>R_0891</t>
        </is>
      </c>
      <c r="C981" s="46" t="inlineStr">
        <is>
          <t>Strategy 4 – One-Shot + Template + BLUF</t>
        </is>
      </c>
      <c r="D981" s="46" t="inlineStr">
        <is>
          <t>SC03</t>
        </is>
      </c>
      <c r="E981" s="46" t="inlineStr">
        <is>
          <t>Business Email Compromise</t>
        </is>
      </c>
      <c r="F981" s="47" t="n">
        <v>8</v>
      </c>
      <c r="G981" s="46" t="inlineStr">
        <is>
          <t>Gemma3:27b via Ollama</t>
        </is>
      </c>
      <c r="H981" s="48" t="n">
        <v>46165</v>
      </c>
      <c r="I981" s="46" t="inlineStr">
        <is>
          <t>7.600</t>
        </is>
      </c>
      <c r="J981" s="46" t="inlineStr">
        <is>
          <t>65.79</t>
        </is>
      </c>
      <c r="K981" s="46" t="inlineStr">
        <is>
          <t>Gemma3:27b</t>
        </is>
      </c>
      <c r="L981" s="46" t="inlineStr">
        <is>
          <t>0.3</t>
        </is>
      </c>
      <c r="M981" s="73" t="inlineStr">
        <is>
          <t>Complete</t>
        </is>
      </c>
    </row>
    <row r="982" ht="13.5" customHeight="1" s="38">
      <c r="A982" s="46" t="inlineStr">
        <is>
          <t>B_S4_SC03_I09</t>
        </is>
      </c>
      <c r="B982" s="46" t="inlineStr">
        <is>
          <t>R_0829</t>
        </is>
      </c>
      <c r="C982" s="46" t="inlineStr">
        <is>
          <t>Strategy 4 – One-Shot + Template + BLUF</t>
        </is>
      </c>
      <c r="D982" s="46" t="inlineStr">
        <is>
          <t>SC03</t>
        </is>
      </c>
      <c r="E982" s="46" t="inlineStr">
        <is>
          <t>Business Email Compromise</t>
        </is>
      </c>
      <c r="F982" s="47" t="n">
        <v>9</v>
      </c>
      <c r="G982" s="46" t="inlineStr">
        <is>
          <t>Gemma3:27b via Ollama</t>
        </is>
      </c>
      <c r="H982" s="48" t="n">
        <v>46165</v>
      </c>
      <c r="I982" s="46" t="inlineStr">
        <is>
          <t>7.793</t>
        </is>
      </c>
      <c r="J982" s="46" t="inlineStr">
        <is>
          <t>65.83</t>
        </is>
      </c>
      <c r="K982" s="46" t="inlineStr">
        <is>
          <t>Gemma3:27b</t>
        </is>
      </c>
      <c r="L982" s="46" t="inlineStr">
        <is>
          <t>0.3</t>
        </is>
      </c>
      <c r="M982" s="73" t="inlineStr">
        <is>
          <t>Complete</t>
        </is>
      </c>
    </row>
    <row r="983" ht="13.5" customHeight="1" s="38">
      <c r="A983" s="46" t="inlineStr">
        <is>
          <t>B_S4_SC03_I10</t>
        </is>
      </c>
      <c r="B983" s="46" t="inlineStr">
        <is>
          <t>R_0285</t>
        </is>
      </c>
      <c r="C983" s="46" t="inlineStr">
        <is>
          <t>Strategy 4 – One-Shot + Template + BLUF</t>
        </is>
      </c>
      <c r="D983" s="46" t="inlineStr">
        <is>
          <t>SC03</t>
        </is>
      </c>
      <c r="E983" s="46" t="inlineStr">
        <is>
          <t>Business Email Compromise</t>
        </is>
      </c>
      <c r="F983" s="47" t="n">
        <v>10</v>
      </c>
      <c r="G983" s="46" t="inlineStr">
        <is>
          <t>Gemma3:27b via Ollama</t>
        </is>
      </c>
      <c r="H983" s="48" t="n">
        <v>46165</v>
      </c>
      <c r="I983" s="46" t="inlineStr">
        <is>
          <t>7.395</t>
        </is>
      </c>
      <c r="J983" s="46" t="inlineStr">
        <is>
          <t>67.75</t>
        </is>
      </c>
      <c r="K983" s="46" t="inlineStr">
        <is>
          <t>Gemma3:27b</t>
        </is>
      </c>
      <c r="L983" s="46" t="inlineStr">
        <is>
          <t>0.3</t>
        </is>
      </c>
      <c r="M983" s="73" t="inlineStr">
        <is>
          <t>Complete</t>
        </is>
      </c>
    </row>
    <row r="984" ht="13.5" customHeight="1" s="38">
      <c r="A984" s="46" t="inlineStr">
        <is>
          <t>B_S4_SC04_I01</t>
        </is>
      </c>
      <c r="B984" s="46" t="inlineStr">
        <is>
          <t>R_0604</t>
        </is>
      </c>
      <c r="C984" s="46" t="inlineStr">
        <is>
          <t>Strategy 4 – One-Shot + Template + BLUF</t>
        </is>
      </c>
      <c r="D984" s="46" t="inlineStr">
        <is>
          <t>SC04</t>
        </is>
      </c>
      <c r="E984" s="46" t="inlineStr">
        <is>
          <t>Business Email Compromise</t>
        </is>
      </c>
      <c r="F984" s="47" t="n">
        <v>1</v>
      </c>
      <c r="G984" s="46" t="inlineStr">
        <is>
          <t>Gemma3:27b via Ollama</t>
        </is>
      </c>
      <c r="H984" s="48" t="n">
        <v>46166</v>
      </c>
      <c r="I984" s="46" t="inlineStr">
        <is>
          <t>7.478</t>
        </is>
      </c>
      <c r="J984" s="46" t="inlineStr">
        <is>
          <t>67.80</t>
        </is>
      </c>
      <c r="K984" s="46" t="inlineStr">
        <is>
          <t>Gemma3:27b</t>
        </is>
      </c>
      <c r="L984" s="46" t="inlineStr">
        <is>
          <t>0.3</t>
        </is>
      </c>
      <c r="M984" s="73" t="inlineStr">
        <is>
          <t>Complete</t>
        </is>
      </c>
    </row>
    <row r="985" ht="13.5" customHeight="1" s="38">
      <c r="A985" s="46" t="inlineStr">
        <is>
          <t>B_S4_SC04_I02</t>
        </is>
      </c>
      <c r="B985" s="46" t="inlineStr">
        <is>
          <t>R_0460</t>
        </is>
      </c>
      <c r="C985" s="46" t="inlineStr">
        <is>
          <t>Strategy 4 – One-Shot + Template + BLUF</t>
        </is>
      </c>
      <c r="D985" s="46" t="inlineStr">
        <is>
          <t>SC04</t>
        </is>
      </c>
      <c r="E985" s="46" t="inlineStr">
        <is>
          <t>Business Email Compromise</t>
        </is>
      </c>
      <c r="F985" s="47" t="n">
        <v>2</v>
      </c>
      <c r="G985" s="46" t="inlineStr">
        <is>
          <t>Gemma3:27b via Ollama</t>
        </is>
      </c>
      <c r="H985" s="48" t="n">
        <v>46166</v>
      </c>
      <c r="I985" s="46" t="inlineStr">
        <is>
          <t>7.131</t>
        </is>
      </c>
      <c r="J985" s="46" t="inlineStr">
        <is>
          <t>67.74</t>
        </is>
      </c>
      <c r="K985" s="46" t="inlineStr">
        <is>
          <t>Gemma3:27b</t>
        </is>
      </c>
      <c r="L985" s="46" t="inlineStr">
        <is>
          <t>0.3</t>
        </is>
      </c>
      <c r="M985" s="73" t="inlineStr">
        <is>
          <t>Complete</t>
        </is>
      </c>
    </row>
    <row r="986" ht="13.5" customHeight="1" s="38">
      <c r="A986" s="46" t="inlineStr">
        <is>
          <t>B_S4_SC04_I03</t>
        </is>
      </c>
      <c r="B986" s="46" t="inlineStr">
        <is>
          <t>R_0226</t>
        </is>
      </c>
      <c r="C986" s="46" t="inlineStr">
        <is>
          <t>Strategy 4 – One-Shot + Template + BLUF</t>
        </is>
      </c>
      <c r="D986" s="46" t="inlineStr">
        <is>
          <t>SC04</t>
        </is>
      </c>
      <c r="E986" s="46" t="inlineStr">
        <is>
          <t>Business Email Compromise</t>
        </is>
      </c>
      <c r="F986" s="47" t="n">
        <v>3</v>
      </c>
      <c r="G986" s="46" t="inlineStr">
        <is>
          <t>Gemma3:27b via Ollama</t>
        </is>
      </c>
      <c r="H986" s="48" t="n">
        <v>46166</v>
      </c>
      <c r="I986" s="46" t="inlineStr">
        <is>
          <t>7.801</t>
        </is>
      </c>
      <c r="J986" s="46" t="inlineStr">
        <is>
          <t>66.40</t>
        </is>
      </c>
      <c r="K986" s="46" t="inlineStr">
        <is>
          <t>Gemma3:27b</t>
        </is>
      </c>
      <c r="L986" s="46" t="inlineStr">
        <is>
          <t>0.3</t>
        </is>
      </c>
      <c r="M986" s="73" t="inlineStr">
        <is>
          <t>Complete</t>
        </is>
      </c>
    </row>
    <row r="987" ht="13.5" customHeight="1" s="38">
      <c r="A987" s="46" t="inlineStr">
        <is>
          <t>B_S4_SC04_I04</t>
        </is>
      </c>
      <c r="B987" s="46" t="inlineStr">
        <is>
          <t>R_0430</t>
        </is>
      </c>
      <c r="C987" s="46" t="inlineStr">
        <is>
          <t>Strategy 4 – One-Shot + Template + BLUF</t>
        </is>
      </c>
      <c r="D987" s="46" t="inlineStr">
        <is>
          <t>SC04</t>
        </is>
      </c>
      <c r="E987" s="46" t="inlineStr">
        <is>
          <t>Business Email Compromise</t>
        </is>
      </c>
      <c r="F987" s="47" t="n">
        <v>4</v>
      </c>
      <c r="G987" s="46" t="inlineStr">
        <is>
          <t>Gemma3:27b via Ollama</t>
        </is>
      </c>
      <c r="H987" s="48" t="n">
        <v>46166</v>
      </c>
      <c r="I987" s="46" t="inlineStr">
        <is>
          <t>6.423</t>
        </is>
      </c>
      <c r="J987" s="46" t="inlineStr">
        <is>
          <t>67.88</t>
        </is>
      </c>
      <c r="K987" s="46" t="inlineStr">
        <is>
          <t>Gemma3:27b</t>
        </is>
      </c>
      <c r="L987" s="46" t="inlineStr">
        <is>
          <t>0.3</t>
        </is>
      </c>
      <c r="M987" s="73" t="inlineStr">
        <is>
          <t>Complete</t>
        </is>
      </c>
    </row>
    <row r="988" ht="13.5" customHeight="1" s="38">
      <c r="A988" s="46" t="inlineStr">
        <is>
          <t>B_S4_SC04_I05</t>
        </is>
      </c>
      <c r="B988" s="46" t="inlineStr">
        <is>
          <t>R_0559</t>
        </is>
      </c>
      <c r="C988" s="46" t="inlineStr">
        <is>
          <t>Strategy 4 – One-Shot + Template + BLUF</t>
        </is>
      </c>
      <c r="D988" s="46" t="inlineStr">
        <is>
          <t>SC04</t>
        </is>
      </c>
      <c r="E988" s="46" t="inlineStr">
        <is>
          <t>Business Email Compromise</t>
        </is>
      </c>
      <c r="F988" s="47" t="n">
        <v>5</v>
      </c>
      <c r="G988" s="46" t="inlineStr">
        <is>
          <t>Gemma3:27b via Ollama</t>
        </is>
      </c>
      <c r="H988" s="48" t="n">
        <v>46166</v>
      </c>
      <c r="I988" s="46" t="inlineStr">
        <is>
          <t>7.131</t>
        </is>
      </c>
      <c r="J988" s="46" t="inlineStr">
        <is>
          <t>67.03</t>
        </is>
      </c>
      <c r="K988" s="46" t="inlineStr">
        <is>
          <t>Gemma3:27b</t>
        </is>
      </c>
      <c r="L988" s="46" t="inlineStr">
        <is>
          <t>0.3</t>
        </is>
      </c>
      <c r="M988" s="73" t="inlineStr">
        <is>
          <t>Complete</t>
        </is>
      </c>
    </row>
    <row r="989" ht="13.5" customHeight="1" s="38">
      <c r="A989" s="46" t="inlineStr">
        <is>
          <t>B_S4_SC04_I06</t>
        </is>
      </c>
      <c r="B989" s="46" t="inlineStr">
        <is>
          <t>R_0719</t>
        </is>
      </c>
      <c r="C989" s="46" t="inlineStr">
        <is>
          <t>Strategy 4 – One-Shot + Template + BLUF</t>
        </is>
      </c>
      <c r="D989" s="46" t="inlineStr">
        <is>
          <t>SC04</t>
        </is>
      </c>
      <c r="E989" s="46" t="inlineStr">
        <is>
          <t>Business Email Compromise</t>
        </is>
      </c>
      <c r="F989" s="47" t="n">
        <v>6</v>
      </c>
      <c r="G989" s="46" t="inlineStr">
        <is>
          <t>Gemma3:27b via Ollama</t>
        </is>
      </c>
      <c r="H989" s="48" t="n">
        <v>46166</v>
      </c>
      <c r="I989" s="46" t="inlineStr">
        <is>
          <t>6.275</t>
        </is>
      </c>
      <c r="J989" s="46" t="inlineStr">
        <is>
          <t>67.57</t>
        </is>
      </c>
      <c r="K989" s="46" t="inlineStr">
        <is>
          <t>Gemma3:27b</t>
        </is>
      </c>
      <c r="L989" s="46" t="inlineStr">
        <is>
          <t>0.3</t>
        </is>
      </c>
      <c r="M989" s="73" t="inlineStr">
        <is>
          <t>Complete</t>
        </is>
      </c>
    </row>
    <row r="990" ht="13.5" customHeight="1" s="38">
      <c r="A990" s="46" t="inlineStr">
        <is>
          <t>B_S4_SC04_I07</t>
        </is>
      </c>
      <c r="B990" s="46" t="inlineStr">
        <is>
          <t>R_0666</t>
        </is>
      </c>
      <c r="C990" s="46" t="inlineStr">
        <is>
          <t>Strategy 4 – One-Shot + Template + BLUF</t>
        </is>
      </c>
      <c r="D990" s="46" t="inlineStr">
        <is>
          <t>SC04</t>
        </is>
      </c>
      <c r="E990" s="46" t="inlineStr">
        <is>
          <t>Business Email Compromise</t>
        </is>
      </c>
      <c r="F990" s="47" t="n">
        <v>7</v>
      </c>
      <c r="G990" s="46" t="inlineStr">
        <is>
          <t>Gemma3:27b via Ollama</t>
        </is>
      </c>
      <c r="H990" s="48" t="n">
        <v>46166</v>
      </c>
      <c r="I990" s="46" t="inlineStr">
        <is>
          <t>7.302</t>
        </is>
      </c>
      <c r="J990" s="46" t="inlineStr">
        <is>
          <t>67.11</t>
        </is>
      </c>
      <c r="K990" s="46" t="inlineStr">
        <is>
          <t>Gemma3:27b</t>
        </is>
      </c>
      <c r="L990" s="46" t="inlineStr">
        <is>
          <t>0.3</t>
        </is>
      </c>
      <c r="M990" s="73" t="inlineStr">
        <is>
          <t>Complete</t>
        </is>
      </c>
    </row>
    <row r="991" ht="13.5" customHeight="1" s="38">
      <c r="A991" s="46" t="inlineStr">
        <is>
          <t>B_S4_SC04_I08</t>
        </is>
      </c>
      <c r="B991" s="46" t="inlineStr">
        <is>
          <t>R_0734</t>
        </is>
      </c>
      <c r="C991" s="46" t="inlineStr">
        <is>
          <t>Strategy 4 – One-Shot + Template + BLUF</t>
        </is>
      </c>
      <c r="D991" s="46" t="inlineStr">
        <is>
          <t>SC04</t>
        </is>
      </c>
      <c r="E991" s="46" t="inlineStr">
        <is>
          <t>Business Email Compromise</t>
        </is>
      </c>
      <c r="F991" s="47" t="n">
        <v>8</v>
      </c>
      <c r="G991" s="46" t="inlineStr">
        <is>
          <t>Gemma3:27b via Ollama</t>
        </is>
      </c>
      <c r="H991" s="48" t="n">
        <v>46166</v>
      </c>
      <c r="I991" s="46" t="inlineStr">
        <is>
          <t>7.111</t>
        </is>
      </c>
      <c r="J991" s="46" t="inlineStr">
        <is>
          <t>67.65</t>
        </is>
      </c>
      <c r="K991" s="46" t="inlineStr">
        <is>
          <t>Gemma3:27b</t>
        </is>
      </c>
      <c r="L991" s="46" t="inlineStr">
        <is>
          <t>0.3</t>
        </is>
      </c>
      <c r="M991" s="73" t="inlineStr">
        <is>
          <t>Complete</t>
        </is>
      </c>
    </row>
    <row r="992" ht="13.5" customHeight="1" s="38">
      <c r="A992" s="46" t="inlineStr">
        <is>
          <t>B_S4_SC04_I09</t>
        </is>
      </c>
      <c r="B992" s="46" t="inlineStr">
        <is>
          <t>R_0204</t>
        </is>
      </c>
      <c r="C992" s="46" t="inlineStr">
        <is>
          <t>Strategy 4 – One-Shot + Template + BLUF</t>
        </is>
      </c>
      <c r="D992" s="46" t="inlineStr">
        <is>
          <t>SC04</t>
        </is>
      </c>
      <c r="E992" s="46" t="inlineStr">
        <is>
          <t>Business Email Compromise</t>
        </is>
      </c>
      <c r="F992" s="47" t="n">
        <v>9</v>
      </c>
      <c r="G992" s="46" t="inlineStr">
        <is>
          <t>Gemma3:27b via Ollama</t>
        </is>
      </c>
      <c r="H992" s="48" t="n">
        <v>46166</v>
      </c>
      <c r="I992" s="46" t="inlineStr">
        <is>
          <t>6.710</t>
        </is>
      </c>
      <c r="J992" s="46" t="inlineStr">
        <is>
          <t>67.81</t>
        </is>
      </c>
      <c r="K992" s="46" t="inlineStr">
        <is>
          <t>Gemma3:27b</t>
        </is>
      </c>
      <c r="L992" s="46" t="inlineStr">
        <is>
          <t>0.3</t>
        </is>
      </c>
      <c r="M992" s="73" t="inlineStr">
        <is>
          <t>Complete</t>
        </is>
      </c>
    </row>
    <row r="993" ht="13.5" customHeight="1" s="38">
      <c r="A993" s="46" t="inlineStr">
        <is>
          <t>B_S4_SC04_I10</t>
        </is>
      </c>
      <c r="B993" s="46" t="inlineStr">
        <is>
          <t>R_0575</t>
        </is>
      </c>
      <c r="C993" s="46" t="inlineStr">
        <is>
          <t>Strategy 4 – One-Shot + Template + BLUF</t>
        </is>
      </c>
      <c r="D993" s="46" t="inlineStr">
        <is>
          <t>SC04</t>
        </is>
      </c>
      <c r="E993" s="46" t="inlineStr">
        <is>
          <t>Business Email Compromise</t>
        </is>
      </c>
      <c r="F993" s="47" t="n">
        <v>10</v>
      </c>
      <c r="G993" s="46" t="inlineStr">
        <is>
          <t>Gemma3:27b via Ollama</t>
        </is>
      </c>
      <c r="H993" s="48" t="n">
        <v>46166</v>
      </c>
      <c r="I993" s="46" t="inlineStr">
        <is>
          <t>7.220</t>
        </is>
      </c>
      <c r="J993" s="46" t="inlineStr">
        <is>
          <t>67.87</t>
        </is>
      </c>
      <c r="K993" s="46" t="inlineStr">
        <is>
          <t>Gemma3:27b</t>
        </is>
      </c>
      <c r="L993" s="46" t="inlineStr">
        <is>
          <t>0.3</t>
        </is>
      </c>
      <c r="M993" s="73" t="inlineStr">
        <is>
          <t>Complete</t>
        </is>
      </c>
    </row>
    <row r="994" ht="13.5" customHeight="1" s="38">
      <c r="A994" s="46" t="inlineStr">
        <is>
          <t>B_S4_SC05_I01</t>
        </is>
      </c>
      <c r="B994" s="46" t="inlineStr">
        <is>
          <t>R_0028</t>
        </is>
      </c>
      <c r="C994" s="46" t="inlineStr">
        <is>
          <t>Strategy 4 – One-Shot + Template + BLUF</t>
        </is>
      </c>
      <c r="D994" s="46" t="inlineStr">
        <is>
          <t>SC05</t>
        </is>
      </c>
      <c r="E994" s="46" t="inlineStr">
        <is>
          <t>Business Email Compromise</t>
        </is>
      </c>
      <c r="F994" s="47" t="n">
        <v>1</v>
      </c>
      <c r="G994" s="46" t="inlineStr">
        <is>
          <t>Gemma3:27b via Ollama</t>
        </is>
      </c>
      <c r="H994" s="48" t="n">
        <v>46166</v>
      </c>
      <c r="I994" s="46" t="inlineStr">
        <is>
          <t>6.856</t>
        </is>
      </c>
      <c r="J994" s="46" t="inlineStr">
        <is>
          <t>67.82</t>
        </is>
      </c>
      <c r="K994" s="46" t="inlineStr">
        <is>
          <t>Gemma3:27b</t>
        </is>
      </c>
      <c r="L994" s="46" t="inlineStr">
        <is>
          <t>0.3</t>
        </is>
      </c>
      <c r="M994" s="73" t="inlineStr">
        <is>
          <t>Complete</t>
        </is>
      </c>
    </row>
    <row r="995" ht="13.5" customHeight="1" s="38">
      <c r="A995" s="46" t="inlineStr">
        <is>
          <t>B_S4_SC05_I02</t>
        </is>
      </c>
      <c r="B995" s="46" t="inlineStr">
        <is>
          <t>R_0617</t>
        </is>
      </c>
      <c r="C995" s="46" t="inlineStr">
        <is>
          <t>Strategy 4 – One-Shot + Template + BLUF</t>
        </is>
      </c>
      <c r="D995" s="46" t="inlineStr">
        <is>
          <t>SC05</t>
        </is>
      </c>
      <c r="E995" s="46" t="inlineStr">
        <is>
          <t>Business Email Compromise</t>
        </is>
      </c>
      <c r="F995" s="47" t="n">
        <v>2</v>
      </c>
      <c r="G995" s="46" t="inlineStr">
        <is>
          <t>Gemma3:27b via Ollama</t>
        </is>
      </c>
      <c r="H995" s="48" t="n">
        <v>46166</v>
      </c>
      <c r="I995" s="46" t="inlineStr">
        <is>
          <t>7.689</t>
        </is>
      </c>
      <c r="J995" s="46" t="inlineStr">
        <is>
          <t>67.76</t>
        </is>
      </c>
      <c r="K995" s="46" t="inlineStr">
        <is>
          <t>Gemma3:27b</t>
        </is>
      </c>
      <c r="L995" s="46" t="inlineStr">
        <is>
          <t>0.3</t>
        </is>
      </c>
      <c r="M995" s="73" t="inlineStr">
        <is>
          <t>Complete</t>
        </is>
      </c>
    </row>
    <row r="996" ht="13.5" customHeight="1" s="38">
      <c r="A996" s="46" t="inlineStr">
        <is>
          <t>B_S4_SC05_I03</t>
        </is>
      </c>
      <c r="B996" s="46" t="inlineStr">
        <is>
          <t>R_0518</t>
        </is>
      </c>
      <c r="C996" s="46" t="inlineStr">
        <is>
          <t>Strategy 4 – One-Shot + Template + BLUF</t>
        </is>
      </c>
      <c r="D996" s="46" t="inlineStr">
        <is>
          <t>SC05</t>
        </is>
      </c>
      <c r="E996" s="46" t="inlineStr">
        <is>
          <t>Business Email Compromise</t>
        </is>
      </c>
      <c r="F996" s="47" t="n">
        <v>3</v>
      </c>
      <c r="G996" s="46" t="inlineStr">
        <is>
          <t>Gemma3:27b via Ollama</t>
        </is>
      </c>
      <c r="H996" s="48" t="n">
        <v>46166</v>
      </c>
      <c r="I996" s="46" t="inlineStr">
        <is>
          <t>7.493</t>
        </is>
      </c>
      <c r="J996" s="46" t="inlineStr">
        <is>
          <t>67.80</t>
        </is>
      </c>
      <c r="K996" s="46" t="inlineStr">
        <is>
          <t>Gemma3:27b</t>
        </is>
      </c>
      <c r="L996" s="46" t="inlineStr">
        <is>
          <t>0.3</t>
        </is>
      </c>
      <c r="M996" s="73" t="inlineStr">
        <is>
          <t>Complete</t>
        </is>
      </c>
    </row>
    <row r="997" ht="13.5" customHeight="1" s="38">
      <c r="A997" s="46" t="inlineStr">
        <is>
          <t>B_S4_SC05_I04</t>
        </is>
      </c>
      <c r="B997" s="46" t="inlineStr">
        <is>
          <t>R_0239</t>
        </is>
      </c>
      <c r="C997" s="46" t="inlineStr">
        <is>
          <t>Strategy 4 – One-Shot + Template + BLUF</t>
        </is>
      </c>
      <c r="D997" s="46" t="inlineStr">
        <is>
          <t>SC05</t>
        </is>
      </c>
      <c r="E997" s="46" t="inlineStr">
        <is>
          <t>Business Email Compromise</t>
        </is>
      </c>
      <c r="F997" s="47" t="n">
        <v>4</v>
      </c>
      <c r="G997" s="46" t="inlineStr">
        <is>
          <t>Gemma3:27b via Ollama</t>
        </is>
      </c>
      <c r="H997" s="48" t="n">
        <v>46166</v>
      </c>
      <c r="I997" s="46" t="inlineStr">
        <is>
          <t>7.341</t>
        </is>
      </c>
      <c r="J997" s="46" t="inlineStr">
        <is>
          <t>67.03</t>
        </is>
      </c>
      <c r="K997" s="46" t="inlineStr">
        <is>
          <t>Gemma3:27b</t>
        </is>
      </c>
      <c r="L997" s="46" t="inlineStr">
        <is>
          <t>0.3</t>
        </is>
      </c>
      <c r="M997" s="73" t="inlineStr">
        <is>
          <t>Complete</t>
        </is>
      </c>
    </row>
    <row r="998" ht="13.5" customHeight="1" s="38">
      <c r="A998" s="46" t="inlineStr">
        <is>
          <t>B_S4_SC05_I05</t>
        </is>
      </c>
      <c r="B998" s="46" t="inlineStr">
        <is>
          <t>R_0224</t>
        </is>
      </c>
      <c r="C998" s="46" t="inlineStr">
        <is>
          <t>Strategy 4 – One-Shot + Template + BLUF</t>
        </is>
      </c>
      <c r="D998" s="46" t="inlineStr">
        <is>
          <t>SC05</t>
        </is>
      </c>
      <c r="E998" s="46" t="inlineStr">
        <is>
          <t>Business Email Compromise</t>
        </is>
      </c>
      <c r="F998" s="47" t="n">
        <v>5</v>
      </c>
      <c r="G998" s="46" t="inlineStr">
        <is>
          <t>Gemma3:27b via Ollama</t>
        </is>
      </c>
      <c r="H998" s="48" t="n">
        <v>46166</v>
      </c>
      <c r="I998" s="46" t="inlineStr">
        <is>
          <t>7.142</t>
        </is>
      </c>
      <c r="J998" s="46" t="inlineStr">
        <is>
          <t>65.67</t>
        </is>
      </c>
      <c r="K998" s="46" t="inlineStr">
        <is>
          <t>Gemma3:27b</t>
        </is>
      </c>
      <c r="L998" s="46" t="inlineStr">
        <is>
          <t>0.3</t>
        </is>
      </c>
      <c r="M998" s="73" t="inlineStr">
        <is>
          <t>Complete</t>
        </is>
      </c>
    </row>
    <row r="999" ht="13.5" customHeight="1" s="38">
      <c r="A999" s="46" t="inlineStr">
        <is>
          <t>B_S4_SC05_I06</t>
        </is>
      </c>
      <c r="B999" s="46" t="inlineStr">
        <is>
          <t>R_0096</t>
        </is>
      </c>
      <c r="C999" s="46" t="inlineStr">
        <is>
          <t>Strategy 4 – One-Shot + Template + BLUF</t>
        </is>
      </c>
      <c r="D999" s="46" t="inlineStr">
        <is>
          <t>SC05</t>
        </is>
      </c>
      <c r="E999" s="46" t="inlineStr">
        <is>
          <t>Business Email Compromise</t>
        </is>
      </c>
      <c r="F999" s="47" t="n">
        <v>6</v>
      </c>
      <c r="G999" s="46" t="inlineStr">
        <is>
          <t>Gemma3:27b via Ollama</t>
        </is>
      </c>
      <c r="H999" s="48" t="n">
        <v>46166</v>
      </c>
      <c r="I999" s="46" t="inlineStr">
        <is>
          <t>7.202</t>
        </is>
      </c>
      <c r="J999" s="46" t="inlineStr">
        <is>
          <t>65.81</t>
        </is>
      </c>
      <c r="K999" s="46" t="inlineStr">
        <is>
          <t>Gemma3:27b</t>
        </is>
      </c>
      <c r="L999" s="46" t="inlineStr">
        <is>
          <t>0.3</t>
        </is>
      </c>
      <c r="M999" s="73" t="inlineStr">
        <is>
          <t>Complete</t>
        </is>
      </c>
    </row>
    <row r="1000" ht="13.5" customHeight="1" s="38">
      <c r="A1000" s="46" t="inlineStr">
        <is>
          <t>B_S4_SC05_I07</t>
        </is>
      </c>
      <c r="B1000" s="46" t="inlineStr">
        <is>
          <t>R_0031</t>
        </is>
      </c>
      <c r="C1000" s="46" t="inlineStr">
        <is>
          <t>Strategy 4 – One-Shot + Template + BLUF</t>
        </is>
      </c>
      <c r="D1000" s="46" t="inlineStr">
        <is>
          <t>SC05</t>
        </is>
      </c>
      <c r="E1000" s="46" t="inlineStr">
        <is>
          <t>Business Email Compromise</t>
        </is>
      </c>
      <c r="F1000" s="47" t="n">
        <v>7</v>
      </c>
      <c r="G1000" s="46" t="inlineStr">
        <is>
          <t>Gemma3:27b via Ollama</t>
        </is>
      </c>
      <c r="H1000" s="48" t="n">
        <v>46166</v>
      </c>
      <c r="I1000" s="46" t="inlineStr">
        <is>
          <t>7.150</t>
        </is>
      </c>
      <c r="J1000" s="46" t="inlineStr">
        <is>
          <t>67.13</t>
        </is>
      </c>
      <c r="K1000" s="46" t="inlineStr">
        <is>
          <t>Gemma3:27b</t>
        </is>
      </c>
      <c r="L1000" s="46" t="inlineStr">
        <is>
          <t>0.3</t>
        </is>
      </c>
      <c r="M1000" s="73" t="inlineStr">
        <is>
          <t>Complete</t>
        </is>
      </c>
    </row>
    <row r="1001" ht="13.5" customHeight="1" s="38">
      <c r="A1001" s="46" t="inlineStr">
        <is>
          <t>B_S4_SC05_I08</t>
        </is>
      </c>
      <c r="B1001" s="46" t="inlineStr">
        <is>
          <t>R_0033</t>
        </is>
      </c>
      <c r="C1001" s="46" t="inlineStr">
        <is>
          <t>Strategy 4 – One-Shot + Template + BLUF</t>
        </is>
      </c>
      <c r="D1001" s="46" t="inlineStr">
        <is>
          <t>SC05</t>
        </is>
      </c>
      <c r="E1001" s="46" t="inlineStr">
        <is>
          <t>Business Email Compromise</t>
        </is>
      </c>
      <c r="F1001" s="47" t="n">
        <v>8</v>
      </c>
      <c r="G1001" s="46" t="inlineStr">
        <is>
          <t>Gemma3:27b via Ollama</t>
        </is>
      </c>
      <c r="H1001" s="48" t="n">
        <v>46166</v>
      </c>
      <c r="I1001" s="46" t="inlineStr">
        <is>
          <t>7.794</t>
        </is>
      </c>
      <c r="J1001" s="46" t="inlineStr">
        <is>
          <t>67.10</t>
        </is>
      </c>
      <c r="K1001" s="46" t="inlineStr">
        <is>
          <t>Gemma3:27b</t>
        </is>
      </c>
      <c r="L1001" s="46" t="inlineStr">
        <is>
          <t>0.3</t>
        </is>
      </c>
      <c r="M1001" s="73" t="inlineStr">
        <is>
          <t>Complete</t>
        </is>
      </c>
    </row>
    <row r="1002" ht="13.5" customHeight="1" s="38">
      <c r="A1002" s="46" t="inlineStr">
        <is>
          <t>B_S4_SC05_I09</t>
        </is>
      </c>
      <c r="B1002" s="46" t="inlineStr">
        <is>
          <t>R_0433</t>
        </is>
      </c>
      <c r="C1002" s="46" t="inlineStr">
        <is>
          <t>Strategy 4 – One-Shot + Template + BLUF</t>
        </is>
      </c>
      <c r="D1002" s="46" t="inlineStr">
        <is>
          <t>SC05</t>
        </is>
      </c>
      <c r="E1002" s="46" t="inlineStr">
        <is>
          <t>Business Email Compromise</t>
        </is>
      </c>
      <c r="F1002" s="47" t="n">
        <v>9</v>
      </c>
      <c r="G1002" s="46" t="inlineStr">
        <is>
          <t>Gemma3:27b via Ollama</t>
        </is>
      </c>
      <c r="H1002" s="48" t="n">
        <v>46166</v>
      </c>
      <c r="I1002" s="46" t="inlineStr">
        <is>
          <t>6.996</t>
        </is>
      </c>
      <c r="J1002" s="46" t="inlineStr">
        <is>
          <t>65.75</t>
        </is>
      </c>
      <c r="K1002" s="46" t="inlineStr">
        <is>
          <t>Gemma3:27b</t>
        </is>
      </c>
      <c r="L1002" s="46" t="inlineStr">
        <is>
          <t>0.3</t>
        </is>
      </c>
      <c r="M1002" s="73" t="inlineStr">
        <is>
          <t>Complete</t>
        </is>
      </c>
    </row>
    <row r="1003" ht="13.5" customHeight="1" s="38">
      <c r="A1003" s="46" t="inlineStr">
        <is>
          <t>B_S4_SC05_I10</t>
        </is>
      </c>
      <c r="B1003" s="46" t="inlineStr">
        <is>
          <t>R_0605</t>
        </is>
      </c>
      <c r="C1003" s="46" t="inlineStr">
        <is>
          <t>Strategy 4 – One-Shot + Template + BLUF</t>
        </is>
      </c>
      <c r="D1003" s="46" t="inlineStr">
        <is>
          <t>SC05</t>
        </is>
      </c>
      <c r="E1003" s="46" t="inlineStr">
        <is>
          <t>Business Email Compromise</t>
        </is>
      </c>
      <c r="F1003" s="47" t="n">
        <v>10</v>
      </c>
      <c r="G1003" s="46" t="inlineStr">
        <is>
          <t>Gemma3:27b via Ollama</t>
        </is>
      </c>
      <c r="H1003" s="48" t="n">
        <v>46166</v>
      </c>
      <c r="I1003" s="46" t="inlineStr">
        <is>
          <t>7.676</t>
        </is>
      </c>
      <c r="J1003" s="46" t="inlineStr">
        <is>
          <t>66.70</t>
        </is>
      </c>
      <c r="K1003" s="46" t="inlineStr">
        <is>
          <t>Gemma3:27b</t>
        </is>
      </c>
      <c r="L1003" s="46" t="inlineStr">
        <is>
          <t>0.3</t>
        </is>
      </c>
      <c r="M1003" s="73" t="inlineStr">
        <is>
          <t>Complete</t>
        </is>
      </c>
    </row>
  </sheetData>
  <mergeCells count="2">
    <mergeCell ref="A2:M2"/>
    <mergeCell ref="A1:M1"/>
  </mergeCells>
  <printOptions horizontalCentered="0" verticalCentered="0" headings="0" gridLines="0" gridLinesSet="1"/>
  <pageMargins left="0.75" right="0.75" top="1" bottom="1" header="0.511811023622047" footer="0.511805555555556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10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006" activeCellId="0" sqref="C1006"/>
    </sheetView>
  </sheetViews>
  <sheetFormatPr baseColWidth="8" defaultColWidth="8.66796875" defaultRowHeight="15" customHeight="0" zeroHeight="0" outlineLevelRow="0"/>
  <cols>
    <col width="12" customWidth="1" style="37" min="1" max="1"/>
    <col width="22" customWidth="1" style="37" min="2" max="2"/>
    <col width="26" customWidth="1" style="37" min="3" max="3"/>
    <col width="22" customWidth="1" style="37" min="4" max="4"/>
    <col width="26" customWidth="1" style="37" min="5" max="5"/>
    <col width="22" customWidth="1" style="37" min="6" max="6"/>
    <col width="26" customWidth="1" style="37" min="7" max="7"/>
    <col width="18" customWidth="1" style="37" min="8" max="8"/>
    <col width="24" customWidth="1" style="37" min="9" max="9"/>
    <col width="16" customWidth="1" style="37" min="10" max="10"/>
    <col width="20" customWidth="1" style="37" min="11" max="11"/>
    <col width="30" customWidth="1" style="37" min="12" max="14"/>
    <col width="8.67" customWidth="1" style="37" min="15" max="16384"/>
  </cols>
  <sheetData>
    <row r="1" ht="21.75" customHeight="1" s="38">
      <c r="A1" s="39" t="inlineStr">
        <is>
          <t>BLIND SCORING SHEET  |  Evaluators see Random_ID only – NO metadata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1" t="n"/>
    </row>
    <row r="2" ht="21.75" customHeight="1" s="38">
      <c r="A2" s="42" t="inlineStr">
        <is>
          <t>Score each report on Random_ID only.  Complete ALL scoring before consulting Master Tracking Ledger.  Pass threshold: Composite ≥ 3.5 / 5.0</t>
        </is>
      </c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  <c r="K2" s="43" t="n"/>
      <c r="L2" s="43" t="n"/>
      <c r="M2" s="43" t="n"/>
      <c r="N2" s="44" t="n"/>
    </row>
    <row r="3" ht="48" customHeight="1" s="38">
      <c r="A3" s="73" t="inlineStr">
        <is>
          <t>Random_ID</t>
        </is>
      </c>
      <c r="B3" s="73" t="inlineStr">
        <is>
          <t>Actionability (Raw /5.0)</t>
        </is>
      </c>
      <c r="C3" s="73" t="inlineStr">
        <is>
          <t>Actionability Weighted (×0.35)</t>
        </is>
      </c>
      <c r="D3" s="73" t="inlineStr">
        <is>
          <t>Analytical Rigor (Raw /5.0)</t>
        </is>
      </c>
      <c r="E3" s="73" t="inlineStr">
        <is>
          <t>Analytical Rigor Weighted (×0.30)</t>
        </is>
      </c>
      <c r="F3" s="73" t="inlineStr">
        <is>
          <t>Language Appr. (Raw /5.0)</t>
        </is>
      </c>
      <c r="G3" s="73" t="inlineStr">
        <is>
          <t>Language Appr. Weighted (×0.20)</t>
        </is>
      </c>
      <c r="H3" s="73" t="inlineStr">
        <is>
          <t>Structure (Raw /5.0)</t>
        </is>
      </c>
      <c r="I3" s="73" t="inlineStr">
        <is>
          <t>Structure Weighted (×0.15)</t>
        </is>
      </c>
      <c r="J3" s="73" t="inlineStr">
        <is>
          <t>Composite Score</t>
        </is>
      </c>
      <c r="K3" s="73" t="inlineStr">
        <is>
          <t>Pass / Fail (≥3.5)</t>
        </is>
      </c>
      <c r="L3" s="73" t="inlineStr">
        <is>
          <t>Strengths</t>
        </is>
      </c>
      <c r="M3" s="73" t="inlineStr">
        <is>
          <t>Weaknesses</t>
        </is>
      </c>
      <c r="N3" s="73" t="inlineStr">
        <is>
          <t>Notes / Edge Cases</t>
        </is>
      </c>
    </row>
    <row r="4" ht="13.5" customHeight="1" s="38">
      <c r="A4" s="73" t="inlineStr">
        <is>
          <t>R_0001</t>
        </is>
      </c>
      <c r="B4" s="49" t="n">
        <v>3.1</v>
      </c>
      <c r="C4" s="50" t="n">
        <v>1.085</v>
      </c>
      <c r="D4" s="49" t="n">
        <v>3.4</v>
      </c>
      <c r="E4" s="50" t="n">
        <v>1.02</v>
      </c>
      <c r="F4" s="49" t="n">
        <v>3.8</v>
      </c>
      <c r="G4" s="50" t="n">
        <v>0.76</v>
      </c>
      <c r="H4" s="49" t="n">
        <v>3</v>
      </c>
      <c r="I4" s="50" t="n">
        <v>0.45</v>
      </c>
      <c r="J4" s="50" t="n">
        <v>3.32</v>
      </c>
      <c r="K4" s="50" t="inlineStr">
        <is>
          <t>Fail</t>
        </is>
      </c>
      <c r="L4" s="51" t="n"/>
      <c r="M4" s="51" t="n"/>
      <c r="N4" s="51" t="n"/>
    </row>
    <row r="5" ht="13.5" customHeight="1" s="38">
      <c r="A5" s="73" t="inlineStr">
        <is>
          <t>R_0002</t>
        </is>
      </c>
      <c r="B5" s="49" t="n">
        <v>3.2</v>
      </c>
      <c r="C5" s="50" t="n">
        <v>1.12</v>
      </c>
      <c r="D5" s="49" t="n">
        <v>3.1</v>
      </c>
      <c r="E5" s="50" t="n">
        <v>0.93</v>
      </c>
      <c r="F5" s="49" t="n">
        <v>3.8</v>
      </c>
      <c r="G5" s="50" t="n">
        <v>0.76</v>
      </c>
      <c r="H5" s="49" t="n">
        <v>3</v>
      </c>
      <c r="I5" s="50" t="n">
        <v>0.45</v>
      </c>
      <c r="J5" s="50" t="n">
        <v>3.26</v>
      </c>
      <c r="K5" s="50" t="inlineStr">
        <is>
          <t>Fail</t>
        </is>
      </c>
      <c r="L5" s="51" t="n"/>
      <c r="M5" s="51" t="n"/>
      <c r="N5" s="51" t="n"/>
    </row>
    <row r="6" ht="13.5" customHeight="1" s="38">
      <c r="A6" s="73" t="inlineStr">
        <is>
          <t>R_0003</t>
        </is>
      </c>
      <c r="B6" s="49" t="n">
        <v>3.8</v>
      </c>
      <c r="C6" s="50" t="n">
        <v>1.33</v>
      </c>
      <c r="D6" s="49" t="n">
        <v>3.4</v>
      </c>
      <c r="E6" s="50" t="n">
        <v>1.02</v>
      </c>
      <c r="F6" s="49" t="n">
        <v>4</v>
      </c>
      <c r="G6" s="50" t="n">
        <v>0.8</v>
      </c>
      <c r="H6" s="49" t="n">
        <v>3.2</v>
      </c>
      <c r="I6" s="50" t="n">
        <v>0.48</v>
      </c>
      <c r="J6" s="50" t="n">
        <v>3.63</v>
      </c>
      <c r="K6" s="50" t="inlineStr">
        <is>
          <t>Pass</t>
        </is>
      </c>
      <c r="L6" s="51" t="n"/>
      <c r="M6" s="51" t="n"/>
      <c r="N6" s="51" t="n"/>
    </row>
    <row r="7" ht="13.5" customHeight="1" s="38">
      <c r="A7" s="73" t="inlineStr">
        <is>
          <t>R_0004</t>
        </is>
      </c>
      <c r="B7" s="49" t="n">
        <v>4</v>
      </c>
      <c r="C7" s="50" t="n">
        <v>1.4</v>
      </c>
      <c r="D7" s="49" t="n">
        <v>3.6</v>
      </c>
      <c r="E7" s="50" t="n">
        <v>1.08</v>
      </c>
      <c r="F7" s="49" t="n">
        <v>4.2</v>
      </c>
      <c r="G7" s="50" t="n">
        <v>0.84</v>
      </c>
      <c r="H7" s="49" t="n">
        <v>4</v>
      </c>
      <c r="I7" s="50" t="n">
        <v>0.6</v>
      </c>
      <c r="J7" s="50" t="n">
        <v>3.92</v>
      </c>
      <c r="K7" s="50" t="inlineStr">
        <is>
          <t>Pass</t>
        </is>
      </c>
      <c r="L7" s="51" t="n"/>
      <c r="M7" s="51" t="n"/>
      <c r="N7" s="51" t="n"/>
    </row>
    <row r="8" ht="13.5" customHeight="1" s="38">
      <c r="A8" s="73" t="inlineStr">
        <is>
          <t>R_0005</t>
        </is>
      </c>
      <c r="B8" s="49" t="n">
        <v>3.4</v>
      </c>
      <c r="C8" s="50" t="n">
        <v>1.19</v>
      </c>
      <c r="D8" s="49" t="n">
        <v>2.8</v>
      </c>
      <c r="E8" s="50" t="n">
        <v>0.84</v>
      </c>
      <c r="F8" s="49" t="n">
        <v>3.2</v>
      </c>
      <c r="G8" s="50" t="n">
        <v>0.64</v>
      </c>
      <c r="H8" s="49" t="n">
        <v>2.8</v>
      </c>
      <c r="I8" s="50" t="n">
        <v>0.42</v>
      </c>
      <c r="J8" s="50" t="n">
        <v>3.09</v>
      </c>
      <c r="K8" s="50" t="inlineStr">
        <is>
          <t>Fail</t>
        </is>
      </c>
      <c r="L8" s="51" t="n"/>
      <c r="M8" s="51" t="n"/>
      <c r="N8" s="51" t="n"/>
    </row>
    <row r="9" ht="13.5" customHeight="1" s="38">
      <c r="A9" s="73" t="inlineStr">
        <is>
          <t>R_0006</t>
        </is>
      </c>
      <c r="B9" s="49" t="n">
        <v>3.5</v>
      </c>
      <c r="C9" s="50" t="n">
        <v>1.225</v>
      </c>
      <c r="D9" s="49" t="n">
        <v>3.3</v>
      </c>
      <c r="E9" s="50" t="n">
        <v>0.99</v>
      </c>
      <c r="F9" s="49" t="n">
        <v>3.8</v>
      </c>
      <c r="G9" s="50" t="n">
        <v>0.76</v>
      </c>
      <c r="H9" s="49" t="n">
        <v>2.8</v>
      </c>
      <c r="I9" s="50" t="n">
        <v>0.42</v>
      </c>
      <c r="J9" s="50" t="n">
        <v>3.39</v>
      </c>
      <c r="K9" s="50" t="inlineStr">
        <is>
          <t>Fail</t>
        </is>
      </c>
      <c r="L9" s="51" t="n"/>
      <c r="M9" s="51" t="n"/>
      <c r="N9" s="51" t="n"/>
    </row>
    <row r="10" ht="13.5" customHeight="1" s="38">
      <c r="A10" s="73" t="inlineStr">
        <is>
          <t>R_0007</t>
        </is>
      </c>
      <c r="B10" s="49" t="n">
        <v>3.8</v>
      </c>
      <c r="C10" s="50" t="n">
        <v>1.33</v>
      </c>
      <c r="D10" s="49" t="n">
        <v>3.2</v>
      </c>
      <c r="E10" s="50" t="n">
        <v>0.96</v>
      </c>
      <c r="F10" s="49" t="n">
        <v>3.8</v>
      </c>
      <c r="G10" s="50" t="n">
        <v>0.76</v>
      </c>
      <c r="H10" s="49" t="n">
        <v>3.8</v>
      </c>
      <c r="I10" s="50" t="n">
        <v>0.57</v>
      </c>
      <c r="J10" s="50" t="n">
        <v>3.62</v>
      </c>
      <c r="K10" s="50" t="inlineStr">
        <is>
          <t>Pass</t>
        </is>
      </c>
      <c r="L10" s="51" t="n"/>
      <c r="M10" s="51" t="n"/>
      <c r="N10" s="51" t="n"/>
    </row>
    <row r="11" ht="13.5" customHeight="1" s="38">
      <c r="A11" s="73" t="inlineStr">
        <is>
          <t>R_0008</t>
        </is>
      </c>
      <c r="B11" s="49" t="n">
        <v>3.5</v>
      </c>
      <c r="C11" s="50" t="n">
        <v>1.225</v>
      </c>
      <c r="D11" s="49" t="n">
        <v>3.7</v>
      </c>
      <c r="E11" s="50" t="n">
        <v>1.11</v>
      </c>
      <c r="F11" s="49" t="n">
        <v>3.7</v>
      </c>
      <c r="G11" s="50" t="n">
        <v>0.74</v>
      </c>
      <c r="H11" s="49" t="n">
        <v>3.2</v>
      </c>
      <c r="I11" s="50" t="n">
        <v>0.48</v>
      </c>
      <c r="J11" s="50" t="n">
        <v>3.56</v>
      </c>
      <c r="K11" s="50" t="inlineStr">
        <is>
          <t>Pass</t>
        </is>
      </c>
      <c r="L11" s="51" t="n"/>
      <c r="M11" s="51" t="n"/>
      <c r="N11" s="51" t="n"/>
    </row>
    <row r="12" ht="13.5" customHeight="1" s="38">
      <c r="A12" s="73" t="inlineStr">
        <is>
          <t>R_0009</t>
        </is>
      </c>
      <c r="B12" s="49" t="n">
        <v>2.7</v>
      </c>
      <c r="C12" s="50" t="n">
        <v>0.945</v>
      </c>
      <c r="D12" s="49" t="n">
        <v>3.2</v>
      </c>
      <c r="E12" s="50" t="n">
        <v>0.96</v>
      </c>
      <c r="F12" s="49" t="n">
        <v>3.5</v>
      </c>
      <c r="G12" s="50" t="n">
        <v>0.7</v>
      </c>
      <c r="H12" s="49" t="n">
        <v>3.7</v>
      </c>
      <c r="I12" s="50" t="n">
        <v>0.555</v>
      </c>
      <c r="J12" s="50" t="n">
        <v>3.16</v>
      </c>
      <c r="K12" s="50" t="inlineStr">
        <is>
          <t>Fail</t>
        </is>
      </c>
      <c r="L12" s="51" t="n"/>
      <c r="M12" s="51" t="n"/>
      <c r="N12" s="51" t="n"/>
    </row>
    <row r="13" ht="13.5" customHeight="1" s="38">
      <c r="A13" s="73" t="inlineStr">
        <is>
          <t>R_0010</t>
        </is>
      </c>
      <c r="B13" s="49" t="n">
        <v>3.3</v>
      </c>
      <c r="C13" s="50" t="n">
        <v>1.155</v>
      </c>
      <c r="D13" s="49" t="n">
        <v>3.2</v>
      </c>
      <c r="E13" s="50" t="n">
        <v>0.96</v>
      </c>
      <c r="F13" s="49" t="n">
        <v>3.3</v>
      </c>
      <c r="G13" s="50" t="n">
        <v>0.66</v>
      </c>
      <c r="H13" s="49" t="n">
        <v>2.6</v>
      </c>
      <c r="I13" s="50" t="n">
        <v>0.39</v>
      </c>
      <c r="J13" s="50" t="n">
        <v>3.17</v>
      </c>
      <c r="K13" s="50" t="inlineStr">
        <is>
          <t>Fail</t>
        </is>
      </c>
      <c r="L13" s="51" t="n"/>
      <c r="M13" s="51" t="n"/>
      <c r="N13" s="51" t="n"/>
    </row>
    <row r="14" ht="13.5" customHeight="1" s="38">
      <c r="A14" s="73" t="inlineStr">
        <is>
          <t>R_0011</t>
        </is>
      </c>
      <c r="B14" s="49" t="n">
        <v>3.5</v>
      </c>
      <c r="C14" s="50" t="n">
        <v>1.225</v>
      </c>
      <c r="D14" s="49" t="n">
        <v>3</v>
      </c>
      <c r="E14" s="50" t="n">
        <v>0.9</v>
      </c>
      <c r="F14" s="49" t="n">
        <v>3.6</v>
      </c>
      <c r="G14" s="50" t="n">
        <v>0.72</v>
      </c>
      <c r="H14" s="49" t="n">
        <v>2.8</v>
      </c>
      <c r="I14" s="50" t="n">
        <v>0.42</v>
      </c>
      <c r="J14" s="50" t="n">
        <v>3.26</v>
      </c>
      <c r="K14" s="50" t="inlineStr">
        <is>
          <t>Fail</t>
        </is>
      </c>
      <c r="L14" s="51" t="n"/>
      <c r="M14" s="51" t="n"/>
      <c r="N14" s="51" t="n"/>
    </row>
    <row r="15" ht="13.5" customHeight="1" s="38">
      <c r="A15" s="73" t="inlineStr">
        <is>
          <t>R_0012</t>
        </is>
      </c>
      <c r="B15" s="49" t="n">
        <v>3.3</v>
      </c>
      <c r="C15" s="50" t="n">
        <v>1.155</v>
      </c>
      <c r="D15" s="49" t="n">
        <v>3.4</v>
      </c>
      <c r="E15" s="50" t="n">
        <v>1.02</v>
      </c>
      <c r="F15" s="49" t="n">
        <v>3.7</v>
      </c>
      <c r="G15" s="50" t="n">
        <v>0.74</v>
      </c>
      <c r="H15" s="49" t="n">
        <v>4.4</v>
      </c>
      <c r="I15" s="50" t="n">
        <v>0.66</v>
      </c>
      <c r="J15" s="50" t="n">
        <v>3.58</v>
      </c>
      <c r="K15" s="50" t="inlineStr">
        <is>
          <t>Pass</t>
        </is>
      </c>
      <c r="L15" s="51" t="n"/>
      <c r="M15" s="51" t="n"/>
      <c r="N15" s="51" t="n"/>
    </row>
    <row r="16" ht="13.5" customHeight="1" s="38">
      <c r="A16" s="73" t="inlineStr">
        <is>
          <t>R_0013</t>
        </is>
      </c>
      <c r="B16" s="49" t="n">
        <v>2.3</v>
      </c>
      <c r="C16" s="50" t="n">
        <v>0.805</v>
      </c>
      <c r="D16" s="49" t="n">
        <v>3.3</v>
      </c>
      <c r="E16" s="50" t="n">
        <v>0.99</v>
      </c>
      <c r="F16" s="49" t="n">
        <v>3.4</v>
      </c>
      <c r="G16" s="50" t="n">
        <v>0.68</v>
      </c>
      <c r="H16" s="49" t="n">
        <v>2.8</v>
      </c>
      <c r="I16" s="50" t="n">
        <v>0.42</v>
      </c>
      <c r="J16" s="50" t="n">
        <v>2.9</v>
      </c>
      <c r="K16" s="50" t="inlineStr">
        <is>
          <t>Fail</t>
        </is>
      </c>
      <c r="L16" s="51" t="n"/>
      <c r="M16" s="51" t="n"/>
      <c r="N16" s="51" t="n"/>
    </row>
    <row r="17" ht="13.5" customHeight="1" s="38">
      <c r="A17" s="73" t="inlineStr">
        <is>
          <t>R_0014</t>
        </is>
      </c>
      <c r="B17" s="49" t="n">
        <v>2.6</v>
      </c>
      <c r="C17" s="50" t="n">
        <v>0.91</v>
      </c>
      <c r="D17" s="49" t="n">
        <v>3.2</v>
      </c>
      <c r="E17" s="50" t="n">
        <v>0.96</v>
      </c>
      <c r="F17" s="49" t="n">
        <v>3.5</v>
      </c>
      <c r="G17" s="50" t="n">
        <v>0.7</v>
      </c>
      <c r="H17" s="49" t="n">
        <v>2.8</v>
      </c>
      <c r="I17" s="50" t="n">
        <v>0.42</v>
      </c>
      <c r="J17" s="50" t="n">
        <v>2.99</v>
      </c>
      <c r="K17" s="50" t="inlineStr">
        <is>
          <t>Fail</t>
        </is>
      </c>
      <c r="L17" s="51" t="n"/>
      <c r="M17" s="51" t="n"/>
      <c r="N17" s="51" t="n"/>
    </row>
    <row r="18" ht="13.5" customHeight="1" s="38">
      <c r="A18" s="73" t="inlineStr">
        <is>
          <t>R_0015</t>
        </is>
      </c>
      <c r="B18" s="49" t="n">
        <v>3.6</v>
      </c>
      <c r="C18" s="50" t="n">
        <v>1.26</v>
      </c>
      <c r="D18" s="49" t="n">
        <v>3.1</v>
      </c>
      <c r="E18" s="50" t="n">
        <v>0.93</v>
      </c>
      <c r="F18" s="49" t="n">
        <v>3.7</v>
      </c>
      <c r="G18" s="50" t="n">
        <v>0.74</v>
      </c>
      <c r="H18" s="49" t="n">
        <v>3.6</v>
      </c>
      <c r="I18" s="50" t="n">
        <v>0.54</v>
      </c>
      <c r="J18" s="50" t="n">
        <v>3.47</v>
      </c>
      <c r="K18" s="50" t="inlineStr">
        <is>
          <t>Fail</t>
        </is>
      </c>
      <c r="L18" s="51" t="n"/>
      <c r="M18" s="51" t="n"/>
      <c r="N18" s="51" t="n"/>
    </row>
    <row r="19" ht="13.5" customHeight="1" s="38">
      <c r="A19" s="73" t="inlineStr">
        <is>
          <t>R_0016</t>
        </is>
      </c>
      <c r="B19" s="49" t="n">
        <v>3</v>
      </c>
      <c r="C19" s="50" t="n">
        <v>1.05</v>
      </c>
      <c r="D19" s="49" t="n">
        <v>3.6</v>
      </c>
      <c r="E19" s="50" t="n">
        <v>1.08</v>
      </c>
      <c r="F19" s="49" t="n">
        <v>3.8</v>
      </c>
      <c r="G19" s="50" t="n">
        <v>0.76</v>
      </c>
      <c r="H19" s="49" t="n">
        <v>3.2</v>
      </c>
      <c r="I19" s="50" t="n">
        <v>0.48</v>
      </c>
      <c r="J19" s="50" t="n">
        <v>3.37</v>
      </c>
      <c r="K19" s="50" t="inlineStr">
        <is>
          <t>Fail</t>
        </is>
      </c>
      <c r="L19" s="51" t="n"/>
      <c r="M19" s="51" t="n"/>
      <c r="N19" s="51" t="n"/>
    </row>
    <row r="20" ht="13.5" customHeight="1" s="38">
      <c r="A20" s="73" t="inlineStr">
        <is>
          <t>R_0017</t>
        </is>
      </c>
      <c r="B20" s="49" t="n">
        <v>3.4</v>
      </c>
      <c r="C20" s="50" t="n">
        <v>1.19</v>
      </c>
      <c r="D20" s="49" t="n">
        <v>2.9</v>
      </c>
      <c r="E20" s="50" t="n">
        <v>0.87</v>
      </c>
      <c r="F20" s="49" t="n">
        <v>3.2</v>
      </c>
      <c r="G20" s="50" t="n">
        <v>0.64</v>
      </c>
      <c r="H20" s="49" t="n">
        <v>2.6</v>
      </c>
      <c r="I20" s="50" t="n">
        <v>0.39</v>
      </c>
      <c r="J20" s="50" t="n">
        <v>3.09</v>
      </c>
      <c r="K20" s="50" t="inlineStr">
        <is>
          <t>Fail</t>
        </is>
      </c>
      <c r="L20" s="51" t="n"/>
      <c r="M20" s="51" t="n"/>
      <c r="N20" s="51" t="n"/>
    </row>
    <row r="21" ht="13.5" customHeight="1" s="38">
      <c r="A21" s="73" t="inlineStr">
        <is>
          <t>R_0018</t>
        </is>
      </c>
      <c r="B21" s="49" t="n">
        <v>3.5</v>
      </c>
      <c r="C21" s="50" t="n">
        <v>1.225</v>
      </c>
      <c r="D21" s="49" t="n">
        <v>3.4</v>
      </c>
      <c r="E21" s="50" t="n">
        <v>1.02</v>
      </c>
      <c r="F21" s="49" t="n">
        <v>3.4</v>
      </c>
      <c r="G21" s="50" t="n">
        <v>0.68</v>
      </c>
      <c r="H21" s="49" t="n">
        <v>2.8</v>
      </c>
      <c r="I21" s="50" t="n">
        <v>0.42</v>
      </c>
      <c r="J21" s="50" t="n">
        <v>3.35</v>
      </c>
      <c r="K21" s="50" t="inlineStr">
        <is>
          <t>Fail</t>
        </is>
      </c>
      <c r="L21" s="51" t="n"/>
      <c r="M21" s="51" t="n"/>
      <c r="N21" s="51" t="n"/>
    </row>
    <row r="22" ht="13.5" customHeight="1" s="38">
      <c r="A22" s="73" t="inlineStr">
        <is>
          <t>R_0019</t>
        </is>
      </c>
      <c r="B22" s="49" t="n">
        <v>3.4</v>
      </c>
      <c r="C22" s="50" t="n">
        <v>1.19</v>
      </c>
      <c r="D22" s="49" t="n">
        <v>2.7</v>
      </c>
      <c r="E22" s="50" t="n">
        <v>0.8100000000000001</v>
      </c>
      <c r="F22" s="49" t="n">
        <v>3.2</v>
      </c>
      <c r="G22" s="50" t="n">
        <v>0.64</v>
      </c>
      <c r="H22" s="49" t="n">
        <v>2.7</v>
      </c>
      <c r="I22" s="50" t="n">
        <v>0.405</v>
      </c>
      <c r="J22" s="50" t="n">
        <v>3.04</v>
      </c>
      <c r="K22" s="50" t="inlineStr">
        <is>
          <t>Fail</t>
        </is>
      </c>
      <c r="L22" s="51" t="n"/>
      <c r="M22" s="51" t="n"/>
      <c r="N22" s="51" t="n"/>
    </row>
    <row r="23" ht="13.5" customHeight="1" s="38">
      <c r="A23" s="73" t="inlineStr">
        <is>
          <t>R_0020</t>
        </is>
      </c>
      <c r="B23" s="49" t="n">
        <v>2.7</v>
      </c>
      <c r="C23" s="50" t="n">
        <v>0.945</v>
      </c>
      <c r="D23" s="49" t="n">
        <v>3.3</v>
      </c>
      <c r="E23" s="50" t="n">
        <v>0.99</v>
      </c>
      <c r="F23" s="49" t="n">
        <v>3.7</v>
      </c>
      <c r="G23" s="50" t="n">
        <v>0.74</v>
      </c>
      <c r="H23" s="49" t="n">
        <v>3.2</v>
      </c>
      <c r="I23" s="50" t="n">
        <v>0.48</v>
      </c>
      <c r="J23" s="50" t="n">
        <v>3.15</v>
      </c>
      <c r="K23" s="50" t="inlineStr">
        <is>
          <t>Fail</t>
        </is>
      </c>
      <c r="L23" s="51" t="n"/>
      <c r="M23" s="51" t="n"/>
      <c r="N23" s="51" t="n"/>
    </row>
    <row r="24" ht="13.5" customHeight="1" s="38">
      <c r="A24" s="73" t="inlineStr">
        <is>
          <t>R_0021</t>
        </is>
      </c>
      <c r="B24" s="49" t="n">
        <v>3</v>
      </c>
      <c r="C24" s="50" t="n">
        <v>1.05</v>
      </c>
      <c r="D24" s="49" t="n">
        <v>3.2</v>
      </c>
      <c r="E24" s="50" t="n">
        <v>0.96</v>
      </c>
      <c r="F24" s="49" t="n">
        <v>3.8</v>
      </c>
      <c r="G24" s="50" t="n">
        <v>0.76</v>
      </c>
      <c r="H24" s="49" t="n">
        <v>3</v>
      </c>
      <c r="I24" s="50" t="n">
        <v>0.45</v>
      </c>
      <c r="J24" s="50" t="n">
        <v>3.22</v>
      </c>
      <c r="K24" s="50" t="inlineStr">
        <is>
          <t>Fail</t>
        </is>
      </c>
      <c r="L24" s="51" t="n"/>
      <c r="M24" s="51" t="n"/>
      <c r="N24" s="51" t="n"/>
    </row>
    <row r="25" ht="13.5" customHeight="1" s="38">
      <c r="A25" s="73" t="inlineStr">
        <is>
          <t>R_0022</t>
        </is>
      </c>
      <c r="B25" s="49" t="n">
        <v>3.3</v>
      </c>
      <c r="C25" s="50" t="n">
        <v>1.155</v>
      </c>
      <c r="D25" s="49" t="n">
        <v>3.8</v>
      </c>
      <c r="E25" s="50" t="n">
        <v>1.14</v>
      </c>
      <c r="F25" s="49" t="n">
        <v>3.6</v>
      </c>
      <c r="G25" s="50" t="n">
        <v>0.72</v>
      </c>
      <c r="H25" s="49" t="n">
        <v>3.2</v>
      </c>
      <c r="I25" s="50" t="n">
        <v>0.48</v>
      </c>
      <c r="J25" s="50" t="n">
        <v>3.5</v>
      </c>
      <c r="K25" s="50" t="inlineStr">
        <is>
          <t>Pass</t>
        </is>
      </c>
      <c r="L25" s="51" t="n"/>
      <c r="M25" s="51" t="n"/>
      <c r="N25" s="51" t="n"/>
    </row>
    <row r="26" ht="13.5" customHeight="1" s="38">
      <c r="A26" s="73" t="inlineStr">
        <is>
          <t>R_0023</t>
        </is>
      </c>
      <c r="B26" s="49" t="inlineStr">
        <is>
          <t>3.6 | 2.3</t>
        </is>
      </c>
      <c r="C26" s="50" t="inlineStr">
        <is>
          <t>1.26 | .805</t>
        </is>
      </c>
      <c r="D26" s="49" t="inlineStr">
        <is>
          <t xml:space="preserve">3.0 | 2.2 </t>
        </is>
      </c>
      <c r="E26" s="50" t="inlineStr">
        <is>
          <t>0.9 | 0.66</t>
        </is>
      </c>
      <c r="F26" s="49" t="inlineStr">
        <is>
          <t>3.7 | 2.2</t>
        </is>
      </c>
      <c r="G26" s="50" t="inlineStr">
        <is>
          <t>0.74 | 0.44</t>
        </is>
      </c>
      <c r="H26" s="49" t="inlineStr">
        <is>
          <t>3.6 | 3.7</t>
        </is>
      </c>
      <c r="I26" s="50" t="inlineStr">
        <is>
          <t>0.54 | .555</t>
        </is>
      </c>
      <c r="J26" s="50" t="inlineStr">
        <is>
          <t>3.44 | 2.42</t>
        </is>
      </c>
      <c r="K26" s="50" t="inlineStr">
        <is>
          <t>Fail | Fail</t>
        </is>
      </c>
      <c r="L26" s="51" t="n"/>
      <c r="M26" s="51" t="n"/>
      <c r="N26" s="51" t="n"/>
    </row>
    <row r="27" ht="13.5" customHeight="1" s="38">
      <c r="A27" s="73" t="inlineStr">
        <is>
          <t>R_0024</t>
        </is>
      </c>
      <c r="B27" s="49" t="n">
        <v>2.6</v>
      </c>
      <c r="C27" s="50" t="n">
        <v>0.91</v>
      </c>
      <c r="D27" s="49" t="n">
        <v>3.2</v>
      </c>
      <c r="E27" s="50" t="n">
        <v>0.96</v>
      </c>
      <c r="F27" s="49" t="n">
        <v>3.3</v>
      </c>
      <c r="G27" s="50" t="n">
        <v>0.66</v>
      </c>
      <c r="H27" s="49" t="n">
        <v>2.8</v>
      </c>
      <c r="I27" s="50" t="n">
        <v>0.42</v>
      </c>
      <c r="J27" s="50" t="n">
        <v>2.95</v>
      </c>
      <c r="K27" s="50" t="inlineStr">
        <is>
          <t>Fail</t>
        </is>
      </c>
      <c r="L27" s="51" t="n"/>
      <c r="M27" s="51" t="n"/>
      <c r="N27" s="51" t="n"/>
    </row>
    <row r="28" ht="13.5" customHeight="1" s="38">
      <c r="A28" s="73" t="inlineStr">
        <is>
          <t>R_0025</t>
        </is>
      </c>
      <c r="B28" s="49" t="n">
        <v>3.5</v>
      </c>
      <c r="C28" s="50" t="n">
        <v>1.225</v>
      </c>
      <c r="D28" s="49" t="n">
        <v>2.8</v>
      </c>
      <c r="E28" s="50" t="n">
        <v>0.84</v>
      </c>
      <c r="F28" s="49" t="n">
        <v>3.6</v>
      </c>
      <c r="G28" s="50" t="n">
        <v>0.72</v>
      </c>
      <c r="H28" s="49" t="n">
        <v>3.6</v>
      </c>
      <c r="I28" s="50" t="n">
        <v>0.54</v>
      </c>
      <c r="J28" s="50" t="n">
        <v>3.33</v>
      </c>
      <c r="K28" s="50" t="inlineStr">
        <is>
          <t>Fail</t>
        </is>
      </c>
      <c r="L28" s="51" t="n"/>
      <c r="M28" s="51" t="n"/>
      <c r="N28" s="51" t="n"/>
    </row>
    <row r="29" ht="13.5" customHeight="1" s="38">
      <c r="A29" s="73" t="inlineStr">
        <is>
          <t>R_0026</t>
        </is>
      </c>
      <c r="B29" s="49" t="n">
        <v>3</v>
      </c>
      <c r="C29" s="50" t="n">
        <v>1.05</v>
      </c>
      <c r="D29" s="49" t="n">
        <v>3</v>
      </c>
      <c r="E29" s="50" t="n">
        <v>0.9</v>
      </c>
      <c r="F29" s="49" t="n">
        <v>3.7</v>
      </c>
      <c r="G29" s="50" t="n">
        <v>0.74</v>
      </c>
      <c r="H29" s="49" t="n">
        <v>4.2</v>
      </c>
      <c r="I29" s="50" t="n">
        <v>0.63</v>
      </c>
      <c r="J29" s="50" t="n">
        <v>3.32</v>
      </c>
      <c r="K29" s="50" t="inlineStr">
        <is>
          <t>Fail</t>
        </is>
      </c>
      <c r="L29" s="51" t="n"/>
      <c r="M29" s="51" t="n"/>
      <c r="N29" s="51" t="n"/>
    </row>
    <row r="30" ht="13.5" customHeight="1" s="38">
      <c r="A30" s="73" t="inlineStr">
        <is>
          <t>R_0027</t>
        </is>
      </c>
      <c r="B30" s="49" t="n">
        <v>3</v>
      </c>
      <c r="C30" s="50" t="n">
        <v>1.05</v>
      </c>
      <c r="D30" s="49" t="n">
        <v>3</v>
      </c>
      <c r="E30" s="50" t="n">
        <v>0.9</v>
      </c>
      <c r="F30" s="49" t="n">
        <v>3.7</v>
      </c>
      <c r="G30" s="50" t="n">
        <v>0.74</v>
      </c>
      <c r="H30" s="49" t="n">
        <v>3</v>
      </c>
      <c r="I30" s="50" t="n">
        <v>0.45</v>
      </c>
      <c r="J30" s="50" t="n">
        <v>3.14</v>
      </c>
      <c r="K30" s="50" t="inlineStr">
        <is>
          <t>Fail</t>
        </is>
      </c>
      <c r="L30" s="51" t="n"/>
      <c r="M30" s="51" t="n"/>
      <c r="N30" s="51" t="n"/>
    </row>
    <row r="31" ht="13.5" customHeight="1" s="38">
      <c r="A31" s="73" t="inlineStr">
        <is>
          <t>R_0028</t>
        </is>
      </c>
      <c r="B31" s="49" t="n">
        <v>3.2</v>
      </c>
      <c r="C31" s="50" t="n">
        <v>1.12</v>
      </c>
      <c r="D31" s="49" t="n">
        <v>3.4</v>
      </c>
      <c r="E31" s="50" t="n">
        <v>1.02</v>
      </c>
      <c r="F31" s="49" t="n">
        <v>3.8</v>
      </c>
      <c r="G31" s="50" t="n">
        <v>0.76</v>
      </c>
      <c r="H31" s="49" t="n">
        <v>4.4</v>
      </c>
      <c r="I31" s="50" t="n">
        <v>0.66</v>
      </c>
      <c r="J31" s="50" t="n">
        <v>3.56</v>
      </c>
      <c r="K31" s="50" t="inlineStr">
        <is>
          <t>Pass</t>
        </is>
      </c>
      <c r="L31" s="51" t="n"/>
      <c r="M31" s="51" t="n"/>
      <c r="N31" s="51" t="n"/>
    </row>
    <row r="32" ht="13.5" customHeight="1" s="38">
      <c r="A32" s="73" t="inlineStr">
        <is>
          <t>R_0029</t>
        </is>
      </c>
      <c r="B32" s="49" t="n">
        <v>3.7</v>
      </c>
      <c r="C32" s="50" t="n">
        <v>1.295</v>
      </c>
      <c r="D32" s="49" t="n">
        <v>3.5</v>
      </c>
      <c r="E32" s="50" t="n">
        <v>1.05</v>
      </c>
      <c r="F32" s="49" t="n">
        <v>3.5</v>
      </c>
      <c r="G32" s="50" t="n">
        <v>0.7</v>
      </c>
      <c r="H32" s="49" t="n">
        <v>3</v>
      </c>
      <c r="I32" s="50" t="n">
        <v>0.45</v>
      </c>
      <c r="J32" s="50" t="n">
        <v>3.5</v>
      </c>
      <c r="K32" s="50" t="inlineStr">
        <is>
          <t>Pass</t>
        </is>
      </c>
      <c r="L32" s="51" t="n"/>
      <c r="M32" s="51" t="n"/>
      <c r="N32" s="51" t="n"/>
    </row>
    <row r="33" ht="13.5" customHeight="1" s="38">
      <c r="A33" s="73" t="inlineStr">
        <is>
          <t>R_0030</t>
        </is>
      </c>
      <c r="B33" s="49" t="n">
        <v>3.5</v>
      </c>
      <c r="C33" s="50" t="n">
        <v>1.225</v>
      </c>
      <c r="D33" s="49" t="n">
        <v>3.5</v>
      </c>
      <c r="E33" s="50" t="n">
        <v>1.05</v>
      </c>
      <c r="F33" s="49" t="n">
        <v>3.9</v>
      </c>
      <c r="G33" s="50" t="n">
        <v>0.78</v>
      </c>
      <c r="H33" s="49" t="n">
        <v>3</v>
      </c>
      <c r="I33" s="50" t="n">
        <v>0.45</v>
      </c>
      <c r="J33" s="50" t="n">
        <v>3.51</v>
      </c>
      <c r="K33" s="50" t="inlineStr">
        <is>
          <t>Pass</t>
        </is>
      </c>
      <c r="L33" s="51" t="n"/>
      <c r="M33" s="51" t="n"/>
      <c r="N33" s="51" t="n"/>
    </row>
    <row r="34" ht="13.5" customHeight="1" s="38">
      <c r="A34" s="73" t="inlineStr">
        <is>
          <t>R_0031</t>
        </is>
      </c>
      <c r="B34" s="49" t="n">
        <v>3.1</v>
      </c>
      <c r="C34" s="50" t="n">
        <v>1.085</v>
      </c>
      <c r="D34" s="49" t="n">
        <v>3.4</v>
      </c>
      <c r="E34" s="50" t="n">
        <v>1.02</v>
      </c>
      <c r="F34" s="49" t="n">
        <v>3.8</v>
      </c>
      <c r="G34" s="50" t="n">
        <v>0.76</v>
      </c>
      <c r="H34" s="49" t="n">
        <v>4.4</v>
      </c>
      <c r="I34" s="50" t="n">
        <v>0.66</v>
      </c>
      <c r="J34" s="50" t="n">
        <v>3.53</v>
      </c>
      <c r="K34" s="50" t="inlineStr">
        <is>
          <t>Pass</t>
        </is>
      </c>
      <c r="L34" s="51" t="n"/>
      <c r="M34" s="51" t="n"/>
      <c r="N34" s="51" t="n"/>
    </row>
    <row r="35" ht="13.5" customHeight="1" s="38">
      <c r="A35" s="73" t="inlineStr">
        <is>
          <t>R_0032</t>
        </is>
      </c>
      <c r="B35" s="49" t="n">
        <v>3.4</v>
      </c>
      <c r="C35" s="50" t="n">
        <v>1.19</v>
      </c>
      <c r="D35" s="49" t="n">
        <v>3.1</v>
      </c>
      <c r="E35" s="50" t="n">
        <v>0.93</v>
      </c>
      <c r="F35" s="49" t="n">
        <v>3.8</v>
      </c>
      <c r="G35" s="50" t="n">
        <v>0.76</v>
      </c>
      <c r="H35" s="49" t="n">
        <v>3.2</v>
      </c>
      <c r="I35" s="50" t="n">
        <v>0.48</v>
      </c>
      <c r="J35" s="50" t="n">
        <v>3.36</v>
      </c>
      <c r="K35" s="50" t="inlineStr">
        <is>
          <t>Fail</t>
        </is>
      </c>
      <c r="L35" s="51" t="n"/>
      <c r="M35" s="51" t="n"/>
      <c r="N35" s="51" t="n"/>
    </row>
    <row r="36" ht="13.5" customHeight="1" s="38">
      <c r="A36" s="73" t="inlineStr">
        <is>
          <t>R_0033</t>
        </is>
      </c>
      <c r="B36" s="49" t="n">
        <v>3.2</v>
      </c>
      <c r="C36" s="50" t="n">
        <v>1.12</v>
      </c>
      <c r="D36" s="49" t="n">
        <v>3.6</v>
      </c>
      <c r="E36" s="50" t="n">
        <v>1.08</v>
      </c>
      <c r="F36" s="49" t="n">
        <v>3.8</v>
      </c>
      <c r="G36" s="50" t="n">
        <v>0.76</v>
      </c>
      <c r="H36" s="49" t="n">
        <v>4.4</v>
      </c>
      <c r="I36" s="50" t="n">
        <v>0.66</v>
      </c>
      <c r="J36" s="50" t="n">
        <v>3.62</v>
      </c>
      <c r="K36" s="50" t="inlineStr">
        <is>
          <t>Pass</t>
        </is>
      </c>
      <c r="L36" s="51" t="n"/>
      <c r="M36" s="51" t="n"/>
      <c r="N36" s="51" t="n"/>
    </row>
    <row r="37" ht="13.5" customHeight="1" s="38">
      <c r="A37" s="73" t="inlineStr">
        <is>
          <t>R_0034</t>
        </is>
      </c>
      <c r="B37" s="49" t="n">
        <v>3.6</v>
      </c>
      <c r="C37" s="50" t="n">
        <v>1.26</v>
      </c>
      <c r="D37" s="49" t="n">
        <v>3.4</v>
      </c>
      <c r="E37" s="50" t="n">
        <v>1.02</v>
      </c>
      <c r="F37" s="49" t="n">
        <v>3.4</v>
      </c>
      <c r="G37" s="50" t="n">
        <v>0.68</v>
      </c>
      <c r="H37" s="49" t="n">
        <v>2.8</v>
      </c>
      <c r="I37" s="50" t="n">
        <v>0.42</v>
      </c>
      <c r="J37" s="50" t="n">
        <v>3.38</v>
      </c>
      <c r="K37" s="50" t="inlineStr">
        <is>
          <t>Fail</t>
        </is>
      </c>
      <c r="L37" s="51" t="n"/>
      <c r="M37" s="51" t="n"/>
      <c r="N37" s="51" t="n"/>
    </row>
    <row r="38" ht="13.5" customHeight="1" s="38">
      <c r="A38" s="73" t="inlineStr">
        <is>
          <t>R_0035</t>
        </is>
      </c>
      <c r="B38" s="49" t="n">
        <v>3.6</v>
      </c>
      <c r="C38" s="50" t="n">
        <v>1.26</v>
      </c>
      <c r="D38" s="49" t="n">
        <v>3.8</v>
      </c>
      <c r="E38" s="50" t="n">
        <v>1.14</v>
      </c>
      <c r="F38" s="49" t="n">
        <v>3.4</v>
      </c>
      <c r="G38" s="50" t="n">
        <v>0.68</v>
      </c>
      <c r="H38" s="49" t="n">
        <v>3</v>
      </c>
      <c r="I38" s="50" t="n">
        <v>0.45</v>
      </c>
      <c r="J38" s="50" t="n">
        <v>3.53</v>
      </c>
      <c r="K38" s="50" t="inlineStr">
        <is>
          <t>Pass</t>
        </is>
      </c>
      <c r="L38" s="51" t="n"/>
      <c r="M38" s="51" t="n"/>
      <c r="N38" s="51" t="n"/>
    </row>
    <row r="39" ht="13.5" customHeight="1" s="38">
      <c r="A39" s="73" t="inlineStr">
        <is>
          <t>R_0036</t>
        </is>
      </c>
      <c r="B39" s="49" t="n">
        <v>3.3</v>
      </c>
      <c r="C39" s="50" t="n">
        <v>1.155</v>
      </c>
      <c r="D39" s="49" t="n">
        <v>2.9</v>
      </c>
      <c r="E39" s="50" t="n">
        <v>0.87</v>
      </c>
      <c r="F39" s="49" t="n">
        <v>3.6</v>
      </c>
      <c r="G39" s="50" t="n">
        <v>0.72</v>
      </c>
      <c r="H39" s="49" t="n">
        <v>3.4</v>
      </c>
      <c r="I39" s="50" t="n">
        <v>0.51</v>
      </c>
      <c r="J39" s="50" t="n">
        <v>3.25</v>
      </c>
      <c r="K39" s="50" t="inlineStr">
        <is>
          <t>Fail</t>
        </is>
      </c>
      <c r="L39" s="51" t="n"/>
      <c r="M39" s="51" t="n"/>
      <c r="N39" s="51" t="n"/>
    </row>
    <row r="40" ht="13.5" customHeight="1" s="38">
      <c r="A40" s="73" t="inlineStr">
        <is>
          <t>R_0037</t>
        </is>
      </c>
      <c r="B40" s="49" t="inlineStr">
        <is>
          <t>3.6 | 3.5</t>
        </is>
      </c>
      <c r="C40" s="50" t="inlineStr">
        <is>
          <t>1.26 | 1.225</t>
        </is>
      </c>
      <c r="D40" s="49" t="inlineStr">
        <is>
          <t>3.2 | 2.2</t>
        </is>
      </c>
      <c r="E40" s="50" t="inlineStr">
        <is>
          <t>0.96 | 0.66</t>
        </is>
      </c>
      <c r="F40" s="49" t="inlineStr">
        <is>
          <t>3.8 | 2.9</t>
        </is>
      </c>
      <c r="G40" s="50" t="inlineStr">
        <is>
          <t>0.76 | 0.58</t>
        </is>
      </c>
      <c r="H40" s="49" t="inlineStr">
        <is>
          <t>3.6 | 3.9</t>
        </is>
      </c>
      <c r="I40" s="50" t="inlineStr">
        <is>
          <t>0.54 | 0.585</t>
        </is>
      </c>
      <c r="J40" s="50" t="inlineStr">
        <is>
          <t>3.52 | 3.05</t>
        </is>
      </c>
      <c r="K40" s="50" t="inlineStr">
        <is>
          <t>Pass | Fail</t>
        </is>
      </c>
      <c r="L40" s="51" t="n"/>
      <c r="M40" s="51" t="n"/>
      <c r="N40" s="51" t="n"/>
    </row>
    <row r="41" ht="13.5" customHeight="1" s="38">
      <c r="A41" s="73" t="inlineStr">
        <is>
          <t>R_0038</t>
        </is>
      </c>
      <c r="B41" s="49" t="n">
        <v>3.2</v>
      </c>
      <c r="C41" s="50" t="n">
        <v>1.12</v>
      </c>
      <c r="D41" s="49" t="n">
        <v>3.9</v>
      </c>
      <c r="E41" s="50" t="n">
        <v>1.17</v>
      </c>
      <c r="F41" s="49" t="n">
        <v>3.5</v>
      </c>
      <c r="G41" s="50" t="n">
        <v>0.7</v>
      </c>
      <c r="H41" s="49" t="n">
        <v>2.8</v>
      </c>
      <c r="I41" s="50" t="n">
        <v>0.42</v>
      </c>
      <c r="J41" s="50" t="n">
        <v>3.41</v>
      </c>
      <c r="K41" s="50" t="inlineStr">
        <is>
          <t>Fail</t>
        </is>
      </c>
      <c r="L41" s="51" t="n"/>
      <c r="M41" s="51" t="n"/>
      <c r="N41" s="51" t="n"/>
    </row>
    <row r="42" ht="13.5" customHeight="1" s="38">
      <c r="A42" s="73" t="inlineStr">
        <is>
          <t>R_0039</t>
        </is>
      </c>
      <c r="B42" s="49" t="n">
        <v>3.2</v>
      </c>
      <c r="C42" s="50" t="n">
        <v>1.12</v>
      </c>
      <c r="D42" s="49" t="n">
        <v>3</v>
      </c>
      <c r="E42" s="50" t="n">
        <v>0.9</v>
      </c>
      <c r="F42" s="49" t="n">
        <v>3.4</v>
      </c>
      <c r="G42" s="50" t="n">
        <v>0.68</v>
      </c>
      <c r="H42" s="49" t="n">
        <v>2.6</v>
      </c>
      <c r="I42" s="50" t="n">
        <v>0.39</v>
      </c>
      <c r="J42" s="50" t="n">
        <v>3.09</v>
      </c>
      <c r="K42" s="50" t="inlineStr">
        <is>
          <t>Fail</t>
        </is>
      </c>
      <c r="L42" s="51" t="n"/>
      <c r="M42" s="51" t="n"/>
      <c r="N42" s="51" t="n"/>
    </row>
    <row r="43" ht="13.5" customHeight="1" s="38">
      <c r="A43" s="73" t="inlineStr">
        <is>
          <t>R_0040</t>
        </is>
      </c>
      <c r="B43" s="49" t="n">
        <v>3.6</v>
      </c>
      <c r="C43" s="50" t="n">
        <v>1.26</v>
      </c>
      <c r="D43" s="49" t="n">
        <v>3</v>
      </c>
      <c r="E43" s="50" t="n">
        <v>0.9</v>
      </c>
      <c r="F43" s="49" t="n">
        <v>3.7</v>
      </c>
      <c r="G43" s="50" t="n">
        <v>0.74</v>
      </c>
      <c r="H43" s="49" t="n">
        <v>3.6</v>
      </c>
      <c r="I43" s="50" t="n">
        <v>0.54</v>
      </c>
      <c r="J43" s="50" t="n">
        <v>3.44</v>
      </c>
      <c r="K43" s="50" t="inlineStr">
        <is>
          <t>Fail</t>
        </is>
      </c>
      <c r="L43" s="51" t="n"/>
      <c r="M43" s="51" t="n"/>
      <c r="N43" s="51" t="n"/>
    </row>
    <row r="44" ht="13.5" customHeight="1" s="38">
      <c r="A44" s="73" t="inlineStr">
        <is>
          <t>R_0041</t>
        </is>
      </c>
      <c r="B44" s="49" t="n">
        <v>3.3</v>
      </c>
      <c r="C44" s="50" t="n">
        <v>1.155</v>
      </c>
      <c r="D44" s="49" t="n">
        <v>3.7</v>
      </c>
      <c r="E44" s="50" t="n">
        <v>1.11</v>
      </c>
      <c r="F44" s="49" t="n">
        <v>3.8</v>
      </c>
      <c r="G44" s="50" t="n">
        <v>0.76</v>
      </c>
      <c r="H44" s="49" t="n">
        <v>3.2</v>
      </c>
      <c r="I44" s="50" t="n">
        <v>0.48</v>
      </c>
      <c r="J44" s="50" t="n">
        <v>3.5</v>
      </c>
      <c r="K44" s="50" t="inlineStr">
        <is>
          <t>Pass</t>
        </is>
      </c>
      <c r="L44" s="51" t="n"/>
      <c r="M44" s="51" t="n"/>
      <c r="N44" s="51" t="n"/>
    </row>
    <row r="45" ht="13.5" customHeight="1" s="38">
      <c r="A45" s="73" t="inlineStr">
        <is>
          <t>R_0042</t>
        </is>
      </c>
      <c r="B45" s="49" t="n">
        <v>3.3</v>
      </c>
      <c r="C45" s="50" t="n">
        <v>1.155</v>
      </c>
      <c r="D45" s="49" t="n">
        <v>2.8</v>
      </c>
      <c r="E45" s="50" t="n">
        <v>0.84</v>
      </c>
      <c r="F45" s="49" t="n">
        <v>3.5</v>
      </c>
      <c r="G45" s="50" t="n">
        <v>0.7</v>
      </c>
      <c r="H45" s="49" t="n">
        <v>2.8</v>
      </c>
      <c r="I45" s="50" t="n">
        <v>0.42</v>
      </c>
      <c r="J45" s="50" t="n">
        <v>3.12</v>
      </c>
      <c r="K45" s="50" t="inlineStr">
        <is>
          <t>Fail</t>
        </is>
      </c>
      <c r="L45" s="51" t="n"/>
      <c r="M45" s="51" t="n"/>
      <c r="N45" s="51" t="n"/>
    </row>
    <row r="46" ht="13.5" customHeight="1" s="38">
      <c r="A46" s="73" t="inlineStr">
        <is>
          <t>R_0043</t>
        </is>
      </c>
      <c r="B46" s="49" t="n">
        <v>3.5</v>
      </c>
      <c r="C46" s="50" t="n">
        <v>1.225</v>
      </c>
      <c r="D46" s="49" t="n">
        <v>3</v>
      </c>
      <c r="E46" s="50" t="n">
        <v>0.9</v>
      </c>
      <c r="F46" s="49" t="n">
        <v>3.8</v>
      </c>
      <c r="G46" s="50" t="n">
        <v>0.76</v>
      </c>
      <c r="H46" s="49" t="n">
        <v>3.6</v>
      </c>
      <c r="I46" s="50" t="n">
        <v>0.54</v>
      </c>
      <c r="J46" s="50" t="n">
        <v>3.42</v>
      </c>
      <c r="K46" s="50" t="inlineStr">
        <is>
          <t>Fail</t>
        </is>
      </c>
      <c r="L46" s="51" t="n"/>
      <c r="M46" s="51" t="n"/>
      <c r="N46" s="51" t="n"/>
    </row>
    <row r="47" ht="13.5" customHeight="1" s="38">
      <c r="A47" s="73" t="inlineStr">
        <is>
          <t>R_0044</t>
        </is>
      </c>
      <c r="B47" s="49" t="n">
        <v>3.7</v>
      </c>
      <c r="C47" s="50" t="n">
        <v>1.295</v>
      </c>
      <c r="D47" s="49" t="n">
        <v>3.5</v>
      </c>
      <c r="E47" s="50" t="n">
        <v>1.05</v>
      </c>
      <c r="F47" s="49" t="n">
        <v>3.7</v>
      </c>
      <c r="G47" s="50" t="n">
        <v>0.74</v>
      </c>
      <c r="H47" s="49" t="n">
        <v>3.6</v>
      </c>
      <c r="I47" s="50" t="n">
        <v>0.54</v>
      </c>
      <c r="J47" s="50" t="n">
        <v>3.62</v>
      </c>
      <c r="K47" s="50" t="inlineStr">
        <is>
          <t>Pass</t>
        </is>
      </c>
      <c r="L47" s="51" t="n"/>
      <c r="M47" s="51" t="n"/>
      <c r="N47" s="51" t="n"/>
    </row>
    <row r="48" ht="13.5" customHeight="1" s="38">
      <c r="A48" s="73" t="inlineStr">
        <is>
          <t>R_0045</t>
        </is>
      </c>
      <c r="B48" s="49" t="n">
        <v>3.9</v>
      </c>
      <c r="C48" s="50" t="n">
        <v>1.365</v>
      </c>
      <c r="D48" s="49" t="n">
        <v>2.8</v>
      </c>
      <c r="E48" s="50" t="n">
        <v>0.84</v>
      </c>
      <c r="F48" s="49" t="n">
        <v>4</v>
      </c>
      <c r="G48" s="50" t="n">
        <v>0.8</v>
      </c>
      <c r="H48" s="49" t="n">
        <v>4</v>
      </c>
      <c r="I48" s="50" t="n">
        <v>0.6</v>
      </c>
      <c r="J48" s="50" t="n">
        <v>3.6</v>
      </c>
      <c r="K48" s="50" t="inlineStr">
        <is>
          <t>Pass</t>
        </is>
      </c>
      <c r="L48" s="51" t="n"/>
      <c r="M48" s="51" t="n"/>
      <c r="N48" s="51" t="n"/>
    </row>
    <row r="49" ht="13.5" customHeight="1" s="38">
      <c r="A49" s="73" t="inlineStr">
        <is>
          <t>R_0046</t>
        </is>
      </c>
      <c r="B49" s="49" t="n">
        <v>3.4</v>
      </c>
      <c r="C49" s="50" t="n">
        <v>1.19</v>
      </c>
      <c r="D49" s="49" t="n">
        <v>3.1</v>
      </c>
      <c r="E49" s="50" t="n">
        <v>0.93</v>
      </c>
      <c r="F49" s="49" t="n">
        <v>3.7</v>
      </c>
      <c r="G49" s="50" t="n">
        <v>0.74</v>
      </c>
      <c r="H49" s="49" t="n">
        <v>3.4</v>
      </c>
      <c r="I49" s="50" t="n">
        <v>0.51</v>
      </c>
      <c r="J49" s="50" t="n">
        <v>3.37</v>
      </c>
      <c r="K49" s="50" t="inlineStr">
        <is>
          <t>Fail</t>
        </is>
      </c>
      <c r="L49" s="51" t="n"/>
      <c r="M49" s="51" t="n"/>
      <c r="N49" s="51" t="n"/>
    </row>
    <row r="50" ht="13.5" customHeight="1" s="38">
      <c r="A50" s="73" t="inlineStr">
        <is>
          <t>R_0047</t>
        </is>
      </c>
      <c r="B50" s="49" t="n">
        <v>3.5</v>
      </c>
      <c r="C50" s="50" t="n">
        <v>1.225</v>
      </c>
      <c r="D50" s="49" t="n">
        <v>3.8</v>
      </c>
      <c r="E50" s="50" t="n">
        <v>1.14</v>
      </c>
      <c r="F50" s="49" t="n">
        <v>3.7</v>
      </c>
      <c r="G50" s="50" t="n">
        <v>0.74</v>
      </c>
      <c r="H50" s="49" t="n">
        <v>4.4</v>
      </c>
      <c r="I50" s="50" t="n">
        <v>0.66</v>
      </c>
      <c r="J50" s="50" t="n">
        <v>3.77</v>
      </c>
      <c r="K50" s="50" t="inlineStr">
        <is>
          <t>Pass</t>
        </is>
      </c>
      <c r="L50" s="51" t="n"/>
      <c r="M50" s="51" t="n"/>
      <c r="N50" s="51" t="n"/>
    </row>
    <row r="51" ht="13.5" customHeight="1" s="38">
      <c r="A51" s="73" t="inlineStr">
        <is>
          <t>R_0048</t>
        </is>
      </c>
      <c r="B51" s="49" t="n">
        <v>3.5</v>
      </c>
      <c r="C51" s="50" t="n">
        <v>1.225</v>
      </c>
      <c r="D51" s="49" t="n">
        <v>3.3</v>
      </c>
      <c r="E51" s="50" t="n">
        <v>0.99</v>
      </c>
      <c r="F51" s="49" t="n">
        <v>3.7</v>
      </c>
      <c r="G51" s="50" t="n">
        <v>0.74</v>
      </c>
      <c r="H51" s="49" t="n">
        <v>3.6</v>
      </c>
      <c r="I51" s="50" t="n">
        <v>0.54</v>
      </c>
      <c r="J51" s="50" t="n">
        <v>3.5</v>
      </c>
      <c r="K51" s="50" t="inlineStr">
        <is>
          <t>Pass</t>
        </is>
      </c>
      <c r="L51" s="51" t="n"/>
      <c r="M51" s="51" t="n"/>
      <c r="N51" s="51" t="n"/>
    </row>
    <row r="52" ht="13.5" customHeight="1" s="38">
      <c r="A52" s="73" t="inlineStr">
        <is>
          <t>R_0049</t>
        </is>
      </c>
      <c r="B52" s="49" t="n">
        <v>3.5</v>
      </c>
      <c r="C52" s="50" t="n">
        <v>1.225</v>
      </c>
      <c r="D52" s="49" t="n">
        <v>3.3</v>
      </c>
      <c r="E52" s="50" t="n">
        <v>0.99</v>
      </c>
      <c r="F52" s="49" t="n">
        <v>3.9</v>
      </c>
      <c r="G52" s="50" t="n">
        <v>0.78</v>
      </c>
      <c r="H52" s="49" t="n">
        <v>3.8</v>
      </c>
      <c r="I52" s="50" t="n">
        <v>0.57</v>
      </c>
      <c r="J52" s="50" t="n">
        <v>3.56</v>
      </c>
      <c r="K52" s="50" t="inlineStr">
        <is>
          <t>Pass</t>
        </is>
      </c>
      <c r="L52" s="51" t="n"/>
      <c r="M52" s="51" t="n"/>
      <c r="N52" s="51" t="n"/>
    </row>
    <row r="53" ht="13.5" customHeight="1" s="38">
      <c r="A53" s="73" t="inlineStr">
        <is>
          <t>R_0050</t>
        </is>
      </c>
      <c r="B53" s="49" t="n">
        <v>3.5</v>
      </c>
      <c r="C53" s="50" t="n">
        <v>1.225</v>
      </c>
      <c r="D53" s="49" t="n">
        <v>3.1</v>
      </c>
      <c r="E53" s="50" t="n">
        <v>0.93</v>
      </c>
      <c r="F53" s="49" t="n">
        <v>3.1</v>
      </c>
      <c r="G53" s="50" t="n">
        <v>0.62</v>
      </c>
      <c r="H53" s="49" t="n">
        <v>2.6</v>
      </c>
      <c r="I53" s="50" t="n">
        <v>0.39</v>
      </c>
      <c r="J53" s="50" t="n">
        <v>3.17</v>
      </c>
      <c r="K53" s="50" t="inlineStr">
        <is>
          <t>Fail</t>
        </is>
      </c>
      <c r="L53" s="51" t="n"/>
      <c r="M53" s="51" t="n"/>
      <c r="N53" s="51" t="n"/>
    </row>
    <row r="54" ht="13.5" customHeight="1" s="38">
      <c r="A54" s="73" t="inlineStr">
        <is>
          <t>R_0051</t>
        </is>
      </c>
      <c r="B54" s="49" t="n">
        <v>3.4</v>
      </c>
      <c r="C54" s="50" t="n">
        <v>1.19</v>
      </c>
      <c r="D54" s="49" t="n">
        <v>3.5</v>
      </c>
      <c r="E54" s="50" t="n">
        <v>1.05</v>
      </c>
      <c r="F54" s="49" t="n">
        <v>3.5</v>
      </c>
      <c r="G54" s="50" t="n">
        <v>0.7</v>
      </c>
      <c r="H54" s="49" t="n">
        <v>3</v>
      </c>
      <c r="I54" s="50" t="n">
        <v>0.45</v>
      </c>
      <c r="J54" s="50" t="n">
        <v>3.39</v>
      </c>
      <c r="K54" s="50" t="inlineStr">
        <is>
          <t>Fail</t>
        </is>
      </c>
      <c r="L54" s="51" t="n"/>
      <c r="M54" s="51" t="n"/>
      <c r="N54" s="51" t="n"/>
    </row>
    <row r="55" ht="13.5" customHeight="1" s="38">
      <c r="A55" s="73" t="inlineStr">
        <is>
          <t>R_0052</t>
        </is>
      </c>
      <c r="B55" s="49" t="n">
        <v>3</v>
      </c>
      <c r="C55" s="50" t="n">
        <v>1.05</v>
      </c>
      <c r="D55" s="49" t="n">
        <v>3.5</v>
      </c>
      <c r="E55" s="50" t="n">
        <v>1.05</v>
      </c>
      <c r="F55" s="49" t="n">
        <v>3.8</v>
      </c>
      <c r="G55" s="50" t="n">
        <v>0.76</v>
      </c>
      <c r="H55" s="49" t="n">
        <v>3.2</v>
      </c>
      <c r="I55" s="50" t="n">
        <v>0.48</v>
      </c>
      <c r="J55" s="50" t="n">
        <v>3.34</v>
      </c>
      <c r="K55" s="50" t="inlineStr">
        <is>
          <t>Fail</t>
        </is>
      </c>
      <c r="L55" s="51" t="n"/>
      <c r="M55" s="51" t="n"/>
      <c r="N55" s="51" t="n"/>
    </row>
    <row r="56" ht="13.5" customHeight="1" s="38">
      <c r="A56" s="73" t="inlineStr">
        <is>
          <t>R_0053</t>
        </is>
      </c>
      <c r="B56" s="49" t="n">
        <v>3.5</v>
      </c>
      <c r="C56" s="50" t="n">
        <v>1.225</v>
      </c>
      <c r="D56" s="49" t="n">
        <v>3.1</v>
      </c>
      <c r="E56" s="50" t="n">
        <v>0.93</v>
      </c>
      <c r="F56" s="49" t="n">
        <v>3.7</v>
      </c>
      <c r="G56" s="50" t="n">
        <v>0.74</v>
      </c>
      <c r="H56" s="49" t="n">
        <v>3.6</v>
      </c>
      <c r="I56" s="50" t="n">
        <v>0.54</v>
      </c>
      <c r="J56" s="50" t="n">
        <v>3.44</v>
      </c>
      <c r="K56" s="50" t="inlineStr">
        <is>
          <t>Fail</t>
        </is>
      </c>
      <c r="L56" s="51" t="n"/>
      <c r="M56" s="51" t="n"/>
      <c r="N56" s="51" t="n"/>
    </row>
    <row r="57" ht="13.5" customHeight="1" s="38">
      <c r="A57" s="73" t="inlineStr">
        <is>
          <t>R_0054</t>
        </is>
      </c>
      <c r="B57" s="49" t="n">
        <v>3.8</v>
      </c>
      <c r="C57" s="50" t="n">
        <v>1.33</v>
      </c>
      <c r="D57" s="49" t="n">
        <v>3.9</v>
      </c>
      <c r="E57" s="50" t="n">
        <v>1.17</v>
      </c>
      <c r="F57" s="49" t="n">
        <v>3.3</v>
      </c>
      <c r="G57" s="50" t="n">
        <v>0.66</v>
      </c>
      <c r="H57" s="49" t="n">
        <v>3</v>
      </c>
      <c r="I57" s="50" t="n">
        <v>0.45</v>
      </c>
      <c r="J57" s="50" t="n">
        <v>3.61</v>
      </c>
      <c r="K57" s="50" t="inlineStr">
        <is>
          <t>Pass</t>
        </is>
      </c>
      <c r="L57" s="51" t="n"/>
      <c r="M57" s="51" t="n"/>
      <c r="N57" s="51" t="n"/>
    </row>
    <row r="58" ht="13.5" customHeight="1" s="38">
      <c r="A58" s="73" t="inlineStr">
        <is>
          <t>R_0055</t>
        </is>
      </c>
      <c r="B58" s="49" t="n">
        <v>3.5</v>
      </c>
      <c r="C58" s="50" t="n">
        <v>1.225</v>
      </c>
      <c r="D58" s="49" t="n">
        <v>3.3</v>
      </c>
      <c r="E58" s="50" t="n">
        <v>0.99</v>
      </c>
      <c r="F58" s="49" t="n">
        <v>3.5</v>
      </c>
      <c r="G58" s="50" t="n">
        <v>0.7</v>
      </c>
      <c r="H58" s="49" t="n">
        <v>3</v>
      </c>
      <c r="I58" s="50" t="n">
        <v>0.45</v>
      </c>
      <c r="J58" s="50" t="n">
        <v>3.37</v>
      </c>
      <c r="K58" s="50" t="inlineStr">
        <is>
          <t>Fail</t>
        </is>
      </c>
      <c r="L58" s="51" t="n"/>
      <c r="M58" s="51" t="n"/>
      <c r="N58" s="51" t="n"/>
    </row>
    <row r="59" ht="13.5" customHeight="1" s="38">
      <c r="A59" s="73" t="inlineStr">
        <is>
          <t>R_0056</t>
        </is>
      </c>
      <c r="B59" s="49" t="n">
        <v>3.2</v>
      </c>
      <c r="C59" s="50" t="n">
        <v>1.12</v>
      </c>
      <c r="D59" s="49" t="n">
        <v>3.4</v>
      </c>
      <c r="E59" s="50" t="n">
        <v>1.02</v>
      </c>
      <c r="F59" s="49" t="n">
        <v>3.7</v>
      </c>
      <c r="G59" s="50" t="n">
        <v>0.74</v>
      </c>
      <c r="H59" s="49" t="n">
        <v>3.2</v>
      </c>
      <c r="I59" s="50" t="n">
        <v>0.48</v>
      </c>
      <c r="J59" s="50" t="n">
        <v>3.36</v>
      </c>
      <c r="K59" s="50" t="inlineStr">
        <is>
          <t>Fail</t>
        </is>
      </c>
      <c r="L59" s="51" t="n"/>
      <c r="M59" s="51" t="n"/>
      <c r="N59" s="51" t="n"/>
    </row>
    <row r="60" ht="13.5" customHeight="1" s="38">
      <c r="A60" s="73" t="inlineStr">
        <is>
          <t>R_0057</t>
        </is>
      </c>
      <c r="B60" s="49" t="n">
        <v>3.5</v>
      </c>
      <c r="C60" s="50" t="n">
        <v>1.225</v>
      </c>
      <c r="D60" s="49" t="n">
        <v>3.5</v>
      </c>
      <c r="E60" s="50" t="n">
        <v>1.05</v>
      </c>
      <c r="F60" s="49" t="n">
        <v>3</v>
      </c>
      <c r="G60" s="50" t="n">
        <v>0.6</v>
      </c>
      <c r="H60" s="49" t="n">
        <v>2.8</v>
      </c>
      <c r="I60" s="50" t="n">
        <v>0.42</v>
      </c>
      <c r="J60" s="50" t="n">
        <v>3.3</v>
      </c>
      <c r="K60" s="50" t="inlineStr">
        <is>
          <t>Fail</t>
        </is>
      </c>
      <c r="L60" s="51" t="n"/>
      <c r="M60" s="51" t="n"/>
      <c r="N60" s="51" t="n"/>
    </row>
    <row r="61" ht="13.5" customHeight="1" s="38">
      <c r="A61" s="73" t="inlineStr">
        <is>
          <t>R_0058</t>
        </is>
      </c>
      <c r="B61" s="49" t="n">
        <v>3.2</v>
      </c>
      <c r="C61" s="50" t="n">
        <v>1.12</v>
      </c>
      <c r="D61" s="49" t="n">
        <v>3.3</v>
      </c>
      <c r="E61" s="50" t="n">
        <v>0.99</v>
      </c>
      <c r="F61" s="49" t="n">
        <v>3.8</v>
      </c>
      <c r="G61" s="50" t="n">
        <v>0.76</v>
      </c>
      <c r="H61" s="49" t="n">
        <v>4.4</v>
      </c>
      <c r="I61" s="50" t="n">
        <v>0.66</v>
      </c>
      <c r="J61" s="50" t="n">
        <v>3.53</v>
      </c>
      <c r="K61" s="50" t="inlineStr">
        <is>
          <t>Pass</t>
        </is>
      </c>
      <c r="L61" s="51" t="n"/>
      <c r="M61" s="51" t="n"/>
      <c r="N61" s="51" t="n"/>
    </row>
    <row r="62" ht="13.5" customHeight="1" s="38">
      <c r="A62" s="73" t="inlineStr">
        <is>
          <t>R_0059</t>
        </is>
      </c>
      <c r="B62" s="49" t="n">
        <v>3.8</v>
      </c>
      <c r="C62" s="50" t="n">
        <v>1.33</v>
      </c>
      <c r="D62" s="49" t="n">
        <v>3.4</v>
      </c>
      <c r="E62" s="50" t="n">
        <v>1.02</v>
      </c>
      <c r="F62" s="49" t="n">
        <v>3.7</v>
      </c>
      <c r="G62" s="50" t="n">
        <v>0.74</v>
      </c>
      <c r="H62" s="49" t="n">
        <v>3</v>
      </c>
      <c r="I62" s="50" t="n">
        <v>0.45</v>
      </c>
      <c r="J62" s="50" t="n">
        <v>3.54</v>
      </c>
      <c r="K62" s="50" t="inlineStr">
        <is>
          <t>Pass</t>
        </is>
      </c>
      <c r="L62" s="51" t="n"/>
      <c r="M62" s="51" t="n"/>
      <c r="N62" s="51" t="n"/>
    </row>
    <row r="63" ht="13.5" customHeight="1" s="38">
      <c r="A63" s="73" t="inlineStr">
        <is>
          <t>R_0060</t>
        </is>
      </c>
      <c r="B63" s="49" t="n">
        <v>3.2</v>
      </c>
      <c r="C63" s="50" t="n">
        <v>1.12</v>
      </c>
      <c r="D63" s="49" t="n">
        <v>3.8</v>
      </c>
      <c r="E63" s="50" t="n">
        <v>1.14</v>
      </c>
      <c r="F63" s="49" t="n">
        <v>3.8</v>
      </c>
      <c r="G63" s="50" t="n">
        <v>0.76</v>
      </c>
      <c r="H63" s="49" t="n">
        <v>3.2</v>
      </c>
      <c r="I63" s="50" t="n">
        <v>0.48</v>
      </c>
      <c r="J63" s="50" t="n">
        <v>3.5</v>
      </c>
      <c r="K63" s="50" t="inlineStr">
        <is>
          <t>Pass</t>
        </is>
      </c>
      <c r="L63" s="51" t="n"/>
      <c r="M63" s="51" t="n"/>
      <c r="N63" s="51" t="n"/>
    </row>
    <row r="64" ht="13.5" customHeight="1" s="38">
      <c r="A64" s="73" t="inlineStr">
        <is>
          <t>R_0061</t>
        </is>
      </c>
      <c r="B64" s="49" t="n">
        <v>3.4</v>
      </c>
      <c r="C64" s="50" t="n">
        <v>1.19</v>
      </c>
      <c r="D64" s="49" t="n">
        <v>3.8</v>
      </c>
      <c r="E64" s="50" t="n">
        <v>1.14</v>
      </c>
      <c r="F64" s="49" t="n">
        <v>3.7</v>
      </c>
      <c r="G64" s="50" t="n">
        <v>0.74</v>
      </c>
      <c r="H64" s="49" t="n">
        <v>3.2</v>
      </c>
      <c r="I64" s="50" t="n">
        <v>0.48</v>
      </c>
      <c r="J64" s="50" t="n">
        <v>3.55</v>
      </c>
      <c r="K64" s="50" t="inlineStr">
        <is>
          <t>Pass</t>
        </is>
      </c>
      <c r="L64" s="51" t="n"/>
      <c r="M64" s="51" t="n"/>
      <c r="N64" s="51" t="n"/>
    </row>
    <row r="65" ht="13.5" customHeight="1" s="38">
      <c r="A65" s="73" t="inlineStr">
        <is>
          <t>R_0062</t>
        </is>
      </c>
      <c r="B65" s="49" t="n">
        <v>3.3</v>
      </c>
      <c r="C65" s="50" t="n">
        <v>1.155</v>
      </c>
      <c r="D65" s="49" t="n">
        <v>3.2</v>
      </c>
      <c r="E65" s="50" t="n">
        <v>0.96</v>
      </c>
      <c r="F65" s="49" t="n">
        <v>3.6</v>
      </c>
      <c r="G65" s="50" t="n">
        <v>0.72</v>
      </c>
      <c r="H65" s="49" t="n">
        <v>2.8</v>
      </c>
      <c r="I65" s="50" t="n">
        <v>0.42</v>
      </c>
      <c r="J65" s="50" t="n">
        <v>3.25</v>
      </c>
      <c r="K65" s="50" t="inlineStr">
        <is>
          <t>Fail</t>
        </is>
      </c>
      <c r="L65" s="51" t="n"/>
      <c r="M65" s="51" t="n"/>
      <c r="N65" s="51" t="n"/>
    </row>
    <row r="66" ht="13.5" customHeight="1" s="38">
      <c r="A66" s="73" t="inlineStr">
        <is>
          <t>R_0063</t>
        </is>
      </c>
      <c r="B66" s="49" t="n">
        <v>3.3</v>
      </c>
      <c r="C66" s="50" t="n">
        <v>1.155</v>
      </c>
      <c r="D66" s="49" t="n">
        <v>3.5</v>
      </c>
      <c r="E66" s="50" t="n">
        <v>1.05</v>
      </c>
      <c r="F66" s="49" t="n">
        <v>3.7</v>
      </c>
      <c r="G66" s="50" t="n">
        <v>0.74</v>
      </c>
      <c r="H66" s="49" t="n">
        <v>3.2</v>
      </c>
      <c r="I66" s="50" t="n">
        <v>0.48</v>
      </c>
      <c r="J66" s="50" t="n">
        <v>3.43</v>
      </c>
      <c r="K66" s="50" t="inlineStr">
        <is>
          <t>Fail</t>
        </is>
      </c>
      <c r="L66" s="51" t="n"/>
      <c r="M66" s="51" t="n"/>
      <c r="N66" s="51" t="n"/>
    </row>
    <row r="67" ht="13.5" customHeight="1" s="38">
      <c r="A67" s="73" t="inlineStr">
        <is>
          <t>R_0064</t>
        </is>
      </c>
      <c r="B67" s="49" t="n">
        <v>3.4</v>
      </c>
      <c r="C67" s="50" t="n">
        <v>1.19</v>
      </c>
      <c r="D67" s="49" t="n">
        <v>2.8</v>
      </c>
      <c r="E67" s="50" t="n">
        <v>0.84</v>
      </c>
      <c r="F67" s="49" t="n">
        <v>3.7</v>
      </c>
      <c r="G67" s="50" t="n">
        <v>0.74</v>
      </c>
      <c r="H67" s="49" t="n">
        <v>3.4</v>
      </c>
      <c r="I67" s="50" t="n">
        <v>0.51</v>
      </c>
      <c r="J67" s="50" t="n">
        <v>3.28</v>
      </c>
      <c r="K67" s="50" t="inlineStr">
        <is>
          <t>Fail</t>
        </is>
      </c>
      <c r="L67" s="51" t="n"/>
      <c r="M67" s="51" t="n"/>
      <c r="N67" s="51" t="n"/>
    </row>
    <row r="68" ht="13.5" customHeight="1" s="38">
      <c r="A68" s="73" t="inlineStr">
        <is>
          <t>R_0065</t>
        </is>
      </c>
      <c r="B68" s="49" t="n">
        <v>3.2</v>
      </c>
      <c r="C68" s="50" t="n">
        <v>1.12</v>
      </c>
      <c r="D68" s="49" t="n">
        <v>3</v>
      </c>
      <c r="E68" s="50" t="n">
        <v>0.9</v>
      </c>
      <c r="F68" s="49" t="n">
        <v>3</v>
      </c>
      <c r="G68" s="50" t="n">
        <v>0.6</v>
      </c>
      <c r="H68" s="49" t="n">
        <v>2.5</v>
      </c>
      <c r="I68" s="50" t="n">
        <v>0.375</v>
      </c>
      <c r="J68" s="50" t="n">
        <v>3</v>
      </c>
      <c r="K68" s="50" t="inlineStr">
        <is>
          <t>Fail</t>
        </is>
      </c>
      <c r="L68" s="51" t="n"/>
      <c r="M68" s="51" t="n"/>
      <c r="N68" s="51" t="n"/>
    </row>
    <row r="69" ht="13.5" customHeight="1" s="38">
      <c r="A69" s="73" t="inlineStr">
        <is>
          <t>R_0066</t>
        </is>
      </c>
      <c r="B69" s="49" t="n">
        <v>3.4</v>
      </c>
      <c r="C69" s="50" t="n">
        <v>1.19</v>
      </c>
      <c r="D69" s="49" t="n">
        <v>3.9</v>
      </c>
      <c r="E69" s="50" t="n">
        <v>1.17</v>
      </c>
      <c r="F69" s="49" t="n">
        <v>3.8</v>
      </c>
      <c r="G69" s="50" t="n">
        <v>0.76</v>
      </c>
      <c r="H69" s="49" t="n">
        <v>4.4</v>
      </c>
      <c r="I69" s="50" t="n">
        <v>0.66</v>
      </c>
      <c r="J69" s="50" t="n">
        <v>3.78</v>
      </c>
      <c r="K69" s="50" t="inlineStr">
        <is>
          <t>Pass</t>
        </is>
      </c>
      <c r="L69" s="51" t="n"/>
      <c r="M69" s="51" t="n"/>
      <c r="N69" s="51" t="n"/>
    </row>
    <row r="70" ht="13.5" customHeight="1" s="38">
      <c r="A70" s="73" t="inlineStr">
        <is>
          <t>R_0067</t>
        </is>
      </c>
      <c r="B70" s="49" t="n">
        <v>3.9</v>
      </c>
      <c r="C70" s="50" t="n">
        <v>1.365</v>
      </c>
      <c r="D70" s="49" t="n">
        <v>4</v>
      </c>
      <c r="E70" s="50" t="n">
        <v>1.2</v>
      </c>
      <c r="F70" s="49" t="n">
        <v>2.8</v>
      </c>
      <c r="G70" s="50" t="n">
        <v>0.5600000000000001</v>
      </c>
      <c r="H70" s="49" t="n">
        <v>2.8</v>
      </c>
      <c r="I70" s="50" t="n">
        <v>0.42</v>
      </c>
      <c r="J70" s="50" t="n">
        <v>3.54</v>
      </c>
      <c r="K70" s="50" t="inlineStr">
        <is>
          <t>Pass</t>
        </is>
      </c>
      <c r="L70" s="51" t="n"/>
      <c r="M70" s="51" t="n"/>
      <c r="N70" s="51" t="n"/>
    </row>
    <row r="71" ht="13.5" customHeight="1" s="38">
      <c r="A71" s="73" t="inlineStr">
        <is>
          <t>R_0068</t>
        </is>
      </c>
      <c r="B71" s="49" t="n">
        <v>3.2</v>
      </c>
      <c r="C71" s="50" t="n">
        <v>1.12</v>
      </c>
      <c r="D71" s="49" t="n">
        <v>3.7</v>
      </c>
      <c r="E71" s="50" t="n">
        <v>1.11</v>
      </c>
      <c r="F71" s="49" t="n">
        <v>3.8</v>
      </c>
      <c r="G71" s="50" t="n">
        <v>0.76</v>
      </c>
      <c r="H71" s="49" t="n">
        <v>4.4</v>
      </c>
      <c r="I71" s="50" t="n">
        <v>0.66</v>
      </c>
      <c r="J71" s="50" t="n">
        <v>3.65</v>
      </c>
      <c r="K71" s="50" t="inlineStr">
        <is>
          <t>Pass</t>
        </is>
      </c>
      <c r="L71" s="51" t="n"/>
      <c r="M71" s="51" t="n"/>
      <c r="N71" s="51" t="n"/>
    </row>
    <row r="72" ht="13.5" customHeight="1" s="38">
      <c r="A72" s="73" t="inlineStr">
        <is>
          <t>R_0069</t>
        </is>
      </c>
      <c r="B72" s="49" t="n">
        <v>3.4</v>
      </c>
      <c r="C72" s="50" t="n">
        <v>1.19</v>
      </c>
      <c r="D72" s="49" t="n">
        <v>3</v>
      </c>
      <c r="E72" s="50" t="n">
        <v>0.9</v>
      </c>
      <c r="F72" s="49" t="n">
        <v>3.9</v>
      </c>
      <c r="G72" s="50" t="n">
        <v>0.78</v>
      </c>
      <c r="H72" s="49" t="n">
        <v>2.6</v>
      </c>
      <c r="I72" s="50" t="n">
        <v>0.39</v>
      </c>
      <c r="J72" s="50" t="n">
        <v>3.26</v>
      </c>
      <c r="K72" s="50" t="inlineStr">
        <is>
          <t>Fail</t>
        </is>
      </c>
      <c r="L72" s="51" t="n"/>
      <c r="M72" s="51" t="n"/>
      <c r="N72" s="51" t="n"/>
    </row>
    <row r="73" ht="13.5" customHeight="1" s="38">
      <c r="A73" s="73" t="inlineStr">
        <is>
          <t>R_0070</t>
        </is>
      </c>
      <c r="B73" s="49" t="n">
        <v>3.1</v>
      </c>
      <c r="C73" s="50" t="n">
        <v>1.085</v>
      </c>
      <c r="D73" s="49" t="n">
        <v>3.7</v>
      </c>
      <c r="E73" s="50" t="n">
        <v>1.11</v>
      </c>
      <c r="F73" s="49" t="n">
        <v>3.7</v>
      </c>
      <c r="G73" s="50" t="n">
        <v>0.74</v>
      </c>
      <c r="H73" s="49" t="n">
        <v>3.2</v>
      </c>
      <c r="I73" s="50" t="n">
        <v>0.48</v>
      </c>
      <c r="J73" s="50" t="n">
        <v>3.42</v>
      </c>
      <c r="K73" s="50" t="inlineStr">
        <is>
          <t>Fail</t>
        </is>
      </c>
      <c r="L73" s="51" t="n"/>
      <c r="M73" s="51" t="n"/>
      <c r="N73" s="51" t="n"/>
    </row>
    <row r="74" ht="13.5" customHeight="1" s="38">
      <c r="A74" s="73" t="inlineStr">
        <is>
          <t>R_0071</t>
        </is>
      </c>
      <c r="B74" s="49" t="n">
        <v>3.5</v>
      </c>
      <c r="C74" s="50" t="n">
        <v>1.225</v>
      </c>
      <c r="D74" s="49" t="n">
        <v>3.7</v>
      </c>
      <c r="E74" s="50" t="n">
        <v>1.11</v>
      </c>
      <c r="F74" s="49" t="n">
        <v>3.7</v>
      </c>
      <c r="G74" s="50" t="n">
        <v>0.74</v>
      </c>
      <c r="H74" s="49" t="n">
        <v>3.3</v>
      </c>
      <c r="I74" s="50" t="n">
        <v>0.495</v>
      </c>
      <c r="J74" s="50" t="n">
        <v>3.57</v>
      </c>
      <c r="K74" s="50" t="inlineStr">
        <is>
          <t>Pass</t>
        </is>
      </c>
      <c r="L74" s="51" t="n"/>
      <c r="M74" s="51" t="n"/>
      <c r="N74" s="51" t="n"/>
    </row>
    <row r="75" ht="13.5" customHeight="1" s="38">
      <c r="A75" s="73" t="inlineStr">
        <is>
          <t>R_0072</t>
        </is>
      </c>
      <c r="B75" s="49" t="n">
        <v>3.1</v>
      </c>
      <c r="C75" s="50" t="n">
        <v>1.085</v>
      </c>
      <c r="D75" s="49" t="n">
        <v>3</v>
      </c>
      <c r="E75" s="50" t="n">
        <v>0.9</v>
      </c>
      <c r="F75" s="49" t="n">
        <v>3.8</v>
      </c>
      <c r="G75" s="50" t="n">
        <v>0.76</v>
      </c>
      <c r="H75" s="49" t="n">
        <v>3.9</v>
      </c>
      <c r="I75" s="50" t="n">
        <v>0.585</v>
      </c>
      <c r="J75" s="50" t="n">
        <v>3.33</v>
      </c>
      <c r="K75" s="50" t="inlineStr">
        <is>
          <t>Fail</t>
        </is>
      </c>
      <c r="L75" s="51" t="n"/>
      <c r="M75" s="51" t="n"/>
      <c r="N75" s="51" t="n"/>
    </row>
    <row r="76" ht="13.5" customHeight="1" s="38">
      <c r="A76" s="73" t="inlineStr">
        <is>
          <t>R_0073</t>
        </is>
      </c>
      <c r="B76" s="49" t="n">
        <v>3.2</v>
      </c>
      <c r="C76" s="50" t="n">
        <v>1.12</v>
      </c>
      <c r="D76" s="49" t="n">
        <v>3.7</v>
      </c>
      <c r="E76" s="50" t="n">
        <v>1.11</v>
      </c>
      <c r="F76" s="49" t="n">
        <v>3.6</v>
      </c>
      <c r="G76" s="50" t="n">
        <v>0.72</v>
      </c>
      <c r="H76" s="49" t="n">
        <v>3.2</v>
      </c>
      <c r="I76" s="50" t="n">
        <v>0.48</v>
      </c>
      <c r="J76" s="50" t="n">
        <v>3.43</v>
      </c>
      <c r="K76" s="50" t="inlineStr">
        <is>
          <t>Fail</t>
        </is>
      </c>
      <c r="L76" s="51" t="n"/>
      <c r="M76" s="51" t="n"/>
      <c r="N76" s="51" t="n"/>
    </row>
    <row r="77" ht="13.5" customHeight="1" s="38">
      <c r="A77" s="73" t="inlineStr">
        <is>
          <t>R_0074</t>
        </is>
      </c>
      <c r="B77" s="49" t="n">
        <v>4</v>
      </c>
      <c r="C77" s="50" t="n">
        <v>1.4</v>
      </c>
      <c r="D77" s="49" t="n">
        <v>3.3</v>
      </c>
      <c r="E77" s="50" t="n">
        <v>0.99</v>
      </c>
      <c r="F77" s="49" t="n">
        <v>3.9</v>
      </c>
      <c r="G77" s="50" t="n">
        <v>0.78</v>
      </c>
      <c r="H77" s="49" t="n">
        <v>4</v>
      </c>
      <c r="I77" s="50" t="n">
        <v>0.6</v>
      </c>
      <c r="J77" s="50" t="n">
        <v>3.77</v>
      </c>
      <c r="K77" s="50" t="inlineStr">
        <is>
          <t>Pass</t>
        </is>
      </c>
      <c r="L77" s="51" t="n"/>
      <c r="M77" s="51" t="n"/>
      <c r="N77" s="51" t="n"/>
    </row>
    <row r="78" ht="13.5" customHeight="1" s="38">
      <c r="A78" s="73" t="inlineStr">
        <is>
          <t>R_0075</t>
        </is>
      </c>
      <c r="B78" s="49" t="n">
        <v>3.5</v>
      </c>
      <c r="C78" s="50" t="n">
        <v>1.225</v>
      </c>
      <c r="D78" s="49" t="n">
        <v>3.4</v>
      </c>
      <c r="E78" s="50" t="n">
        <v>1.02</v>
      </c>
      <c r="F78" s="49" t="n">
        <v>3.7</v>
      </c>
      <c r="G78" s="50" t="n">
        <v>0.74</v>
      </c>
      <c r="H78" s="49" t="n">
        <v>3</v>
      </c>
      <c r="I78" s="50" t="n">
        <v>0.45</v>
      </c>
      <c r="J78" s="50" t="n">
        <v>3.44</v>
      </c>
      <c r="K78" s="50" t="inlineStr">
        <is>
          <t>Fail</t>
        </is>
      </c>
      <c r="L78" s="51" t="n"/>
      <c r="M78" s="51" t="n"/>
      <c r="N78" s="51" t="n"/>
    </row>
    <row r="79" ht="13.5" customHeight="1" s="38">
      <c r="A79" s="73" t="inlineStr">
        <is>
          <t>R_0076</t>
        </is>
      </c>
      <c r="B79" s="49" t="n">
        <v>3.7</v>
      </c>
      <c r="C79" s="50" t="n">
        <v>1.295</v>
      </c>
      <c r="D79" s="49" t="n">
        <v>3.3</v>
      </c>
      <c r="E79" s="50" t="n">
        <v>0.99</v>
      </c>
      <c r="F79" s="49" t="n">
        <v>3.7</v>
      </c>
      <c r="G79" s="50" t="n">
        <v>0.74</v>
      </c>
      <c r="H79" s="49" t="n">
        <v>3</v>
      </c>
      <c r="I79" s="50" t="n">
        <v>0.45</v>
      </c>
      <c r="J79" s="50" t="n">
        <v>3.48</v>
      </c>
      <c r="K79" s="50" t="inlineStr">
        <is>
          <t>Fail</t>
        </is>
      </c>
      <c r="L79" s="51" t="n"/>
      <c r="M79" s="51" t="n"/>
      <c r="N79" s="51" t="n"/>
    </row>
    <row r="80" ht="13.5" customHeight="1" s="38">
      <c r="A80" s="73" t="inlineStr">
        <is>
          <t>R_0077</t>
        </is>
      </c>
      <c r="B80" s="49" t="n">
        <v>3.5</v>
      </c>
      <c r="C80" s="50" t="n">
        <v>1.225</v>
      </c>
      <c r="D80" s="49" t="n">
        <v>3.6</v>
      </c>
      <c r="E80" s="50" t="n">
        <v>1.08</v>
      </c>
      <c r="F80" s="49" t="n">
        <v>3</v>
      </c>
      <c r="G80" s="50" t="n">
        <v>0.6</v>
      </c>
      <c r="H80" s="49" t="n">
        <v>2.6</v>
      </c>
      <c r="I80" s="50" t="n">
        <v>0.39</v>
      </c>
      <c r="J80" s="50" t="n">
        <v>3.3</v>
      </c>
      <c r="K80" s="50" t="inlineStr">
        <is>
          <t>Fail</t>
        </is>
      </c>
      <c r="L80" s="51" t="n"/>
      <c r="M80" s="51" t="n"/>
      <c r="N80" s="51" t="n"/>
    </row>
    <row r="81" ht="13.5" customHeight="1" s="38">
      <c r="A81" s="73" t="inlineStr">
        <is>
          <t>R_0078</t>
        </is>
      </c>
      <c r="B81" s="49" t="n">
        <v>2.9</v>
      </c>
      <c r="C81" s="50" t="n">
        <v>1.015</v>
      </c>
      <c r="D81" s="49" t="n">
        <v>3.3</v>
      </c>
      <c r="E81" s="50" t="n">
        <v>0.99</v>
      </c>
      <c r="F81" s="49" t="n">
        <v>3.6</v>
      </c>
      <c r="G81" s="50" t="n">
        <v>0.72</v>
      </c>
      <c r="H81" s="49" t="n">
        <v>3.2</v>
      </c>
      <c r="I81" s="50" t="n">
        <v>0.48</v>
      </c>
      <c r="J81" s="50" t="n">
        <v>3.21</v>
      </c>
      <c r="K81" s="50" t="inlineStr">
        <is>
          <t>Fail</t>
        </is>
      </c>
      <c r="L81" s="51" t="n"/>
      <c r="M81" s="51" t="n"/>
      <c r="N81" s="51" t="n"/>
    </row>
    <row r="82" ht="13.5" customHeight="1" s="38">
      <c r="A82" s="73" t="inlineStr">
        <is>
          <t>R_0079</t>
        </is>
      </c>
      <c r="B82" s="49" t="n">
        <v>3.4</v>
      </c>
      <c r="C82" s="50" t="n">
        <v>1.19</v>
      </c>
      <c r="D82" s="49" t="n">
        <v>2.9</v>
      </c>
      <c r="E82" s="50" t="n">
        <v>0.87</v>
      </c>
      <c r="F82" s="49" t="n">
        <v>3.6</v>
      </c>
      <c r="G82" s="50" t="n">
        <v>0.72</v>
      </c>
      <c r="H82" s="49" t="n">
        <v>2.8</v>
      </c>
      <c r="I82" s="50" t="n">
        <v>0.42</v>
      </c>
      <c r="J82" s="50" t="n">
        <v>3.2</v>
      </c>
      <c r="K82" s="50" t="inlineStr">
        <is>
          <t>Fail</t>
        </is>
      </c>
      <c r="L82" s="51" t="n"/>
      <c r="M82" s="51" t="n"/>
      <c r="N82" s="51" t="n"/>
    </row>
    <row r="83" ht="13.5" customHeight="1" s="38">
      <c r="A83" s="73" t="inlineStr">
        <is>
          <t>R_0080</t>
        </is>
      </c>
      <c r="B83" s="49" t="n">
        <v>3.3</v>
      </c>
      <c r="C83" s="50" t="n">
        <v>1.155</v>
      </c>
      <c r="D83" s="49" t="n">
        <v>3</v>
      </c>
      <c r="E83" s="50" t="n">
        <v>0.9</v>
      </c>
      <c r="F83" s="49" t="n">
        <v>3.5</v>
      </c>
      <c r="G83" s="50" t="n">
        <v>0.7</v>
      </c>
      <c r="H83" s="49" t="n">
        <v>2.8</v>
      </c>
      <c r="I83" s="50" t="n">
        <v>0.42</v>
      </c>
      <c r="J83" s="50" t="n">
        <v>3.17</v>
      </c>
      <c r="K83" s="50" t="inlineStr">
        <is>
          <t>Fail</t>
        </is>
      </c>
      <c r="L83" s="51" t="n"/>
      <c r="M83" s="51" t="n"/>
      <c r="N83" s="51" t="n"/>
    </row>
    <row r="84" ht="13.5" customHeight="1" s="38">
      <c r="A84" s="73" t="inlineStr">
        <is>
          <t>R_0081</t>
        </is>
      </c>
      <c r="B84" s="49" t="n">
        <v>3.6</v>
      </c>
      <c r="C84" s="50" t="n">
        <v>1.26</v>
      </c>
      <c r="D84" s="49" t="n">
        <v>3.9</v>
      </c>
      <c r="E84" s="50" t="n">
        <v>1.17</v>
      </c>
      <c r="F84" s="49" t="n">
        <v>3.7</v>
      </c>
      <c r="G84" s="50" t="n">
        <v>0.74</v>
      </c>
      <c r="H84" s="49" t="n">
        <v>4.6</v>
      </c>
      <c r="I84" s="50" t="n">
        <v>0.6899999999999999</v>
      </c>
      <c r="J84" s="50" t="n">
        <v>3.86</v>
      </c>
      <c r="K84" s="50" t="inlineStr">
        <is>
          <t>Pass</t>
        </is>
      </c>
      <c r="L84" s="51" t="n"/>
      <c r="M84" s="51" t="n"/>
      <c r="N84" s="51" t="n"/>
    </row>
    <row r="85" ht="13.5" customHeight="1" s="38">
      <c r="A85" s="73" t="inlineStr">
        <is>
          <t>R_0082</t>
        </is>
      </c>
      <c r="B85" s="49" t="n">
        <v>3.7</v>
      </c>
      <c r="C85" s="50" t="n">
        <v>1.295</v>
      </c>
      <c r="D85" s="49" t="n">
        <v>3</v>
      </c>
      <c r="E85" s="50" t="n">
        <v>0.9</v>
      </c>
      <c r="F85" s="49" t="n">
        <v>3.8</v>
      </c>
      <c r="G85" s="50" t="n">
        <v>0.76</v>
      </c>
      <c r="H85" s="49" t="n">
        <v>3.8</v>
      </c>
      <c r="I85" s="50" t="n">
        <v>0.57</v>
      </c>
      <c r="J85" s="50" t="n">
        <v>3.52</v>
      </c>
      <c r="K85" s="50" t="inlineStr">
        <is>
          <t>Pass</t>
        </is>
      </c>
      <c r="L85" s="51" t="n"/>
      <c r="M85" s="51" t="n"/>
      <c r="N85" s="51" t="n"/>
    </row>
    <row r="86" ht="13.5" customHeight="1" s="38">
      <c r="A86" s="73" t="inlineStr">
        <is>
          <t>R_0083</t>
        </is>
      </c>
      <c r="B86" s="49" t="n">
        <v>3.2</v>
      </c>
      <c r="C86" s="50" t="n">
        <v>1.12</v>
      </c>
      <c r="D86" s="49" t="n">
        <v>3.7</v>
      </c>
      <c r="E86" s="50" t="n">
        <v>1.11</v>
      </c>
      <c r="F86" s="49" t="n">
        <v>3.7</v>
      </c>
      <c r="G86" s="50" t="n">
        <v>0.74</v>
      </c>
      <c r="H86" s="49" t="n">
        <v>3.2</v>
      </c>
      <c r="I86" s="50" t="n">
        <v>0.48</v>
      </c>
      <c r="J86" s="50" t="n">
        <v>3.45</v>
      </c>
      <c r="K86" s="50" t="inlineStr">
        <is>
          <t>Fail</t>
        </is>
      </c>
      <c r="L86" s="51" t="n"/>
      <c r="M86" s="51" t="n"/>
      <c r="N86" s="51" t="n"/>
    </row>
    <row r="87" ht="13.5" customHeight="1" s="38">
      <c r="A87" s="73" t="inlineStr">
        <is>
          <t>R_0084</t>
        </is>
      </c>
      <c r="B87" s="49" t="n">
        <v>3.3</v>
      </c>
      <c r="C87" s="50" t="n">
        <v>1.155</v>
      </c>
      <c r="D87" s="49" t="n">
        <v>3.7</v>
      </c>
      <c r="E87" s="50" t="n">
        <v>1.11</v>
      </c>
      <c r="F87" s="49" t="n">
        <v>3.7</v>
      </c>
      <c r="G87" s="50" t="n">
        <v>0.74</v>
      </c>
      <c r="H87" s="49" t="n">
        <v>3.2</v>
      </c>
      <c r="I87" s="50" t="n">
        <v>0.48</v>
      </c>
      <c r="J87" s="50" t="n">
        <v>3.48</v>
      </c>
      <c r="K87" s="50" t="inlineStr">
        <is>
          <t>Fail</t>
        </is>
      </c>
      <c r="L87" s="51" t="n"/>
      <c r="M87" s="51" t="n"/>
      <c r="N87" s="51" t="n"/>
    </row>
    <row r="88" ht="13.5" customHeight="1" s="38">
      <c r="A88" s="73" t="inlineStr">
        <is>
          <t>R_0085</t>
        </is>
      </c>
      <c r="B88" s="49" t="n">
        <v>2.5</v>
      </c>
      <c r="C88" s="50" t="n">
        <v>0.875</v>
      </c>
      <c r="D88" s="49" t="n">
        <v>3.4</v>
      </c>
      <c r="E88" s="50" t="n">
        <v>1.02</v>
      </c>
      <c r="F88" s="49" t="n">
        <v>3.4</v>
      </c>
      <c r="G88" s="50" t="n">
        <v>0.68</v>
      </c>
      <c r="H88" s="49" t="n">
        <v>2.3</v>
      </c>
      <c r="I88" s="50" t="n">
        <v>0.345</v>
      </c>
      <c r="J88" s="50" t="n">
        <v>2.92</v>
      </c>
      <c r="K88" s="50" t="inlineStr">
        <is>
          <t>Fail</t>
        </is>
      </c>
      <c r="L88" s="51" t="n"/>
      <c r="M88" s="51" t="n"/>
      <c r="N88" s="51" t="n"/>
    </row>
    <row r="89" ht="13.5" customHeight="1" s="38">
      <c r="A89" s="73" t="inlineStr">
        <is>
          <t>R_0086</t>
        </is>
      </c>
      <c r="B89" s="49" t="n">
        <v>3.8</v>
      </c>
      <c r="C89" s="50" t="n">
        <v>1.33</v>
      </c>
      <c r="D89" s="49" t="n">
        <v>4</v>
      </c>
      <c r="E89" s="50" t="n">
        <v>1.2</v>
      </c>
      <c r="F89" s="49" t="n">
        <v>3.5</v>
      </c>
      <c r="G89" s="50" t="n">
        <v>0.7</v>
      </c>
      <c r="H89" s="49" t="n">
        <v>3</v>
      </c>
      <c r="I89" s="50" t="n">
        <v>0.45</v>
      </c>
      <c r="J89" s="50" t="n">
        <v>3.68</v>
      </c>
      <c r="K89" s="50" t="inlineStr">
        <is>
          <t>Pass</t>
        </is>
      </c>
      <c r="L89" s="51" t="n"/>
      <c r="M89" s="51" t="n"/>
      <c r="N89" s="51" t="n"/>
    </row>
    <row r="90" ht="13.5" customHeight="1" s="38">
      <c r="A90" s="73" t="inlineStr">
        <is>
          <t>R_0087</t>
        </is>
      </c>
      <c r="B90" s="49" t="n">
        <v>3.6</v>
      </c>
      <c r="C90" s="50" t="n">
        <v>1.26</v>
      </c>
      <c r="D90" s="49" t="n">
        <v>3.4</v>
      </c>
      <c r="E90" s="50" t="n">
        <v>1.02</v>
      </c>
      <c r="F90" s="49" t="n">
        <v>3.7</v>
      </c>
      <c r="G90" s="50" t="n">
        <v>0.74</v>
      </c>
      <c r="H90" s="49" t="n">
        <v>3.6</v>
      </c>
      <c r="I90" s="50" t="n">
        <v>0.54</v>
      </c>
      <c r="J90" s="50" t="n">
        <v>3.56</v>
      </c>
      <c r="K90" s="50" t="inlineStr">
        <is>
          <t>Pass</t>
        </is>
      </c>
      <c r="L90" s="51" t="n"/>
      <c r="M90" s="51" t="n"/>
      <c r="N90" s="51" t="n"/>
    </row>
    <row r="91" ht="13.5" customHeight="1" s="38">
      <c r="A91" s="73" t="inlineStr">
        <is>
          <t>R_0088</t>
        </is>
      </c>
      <c r="B91" s="49" t="n">
        <v>3.2</v>
      </c>
      <c r="C91" s="50" t="n">
        <v>1.12</v>
      </c>
      <c r="D91" s="49" t="n">
        <v>3.4</v>
      </c>
      <c r="E91" s="50" t="n">
        <v>1.02</v>
      </c>
      <c r="F91" s="49" t="n">
        <v>3.8</v>
      </c>
      <c r="G91" s="50" t="n">
        <v>0.76</v>
      </c>
      <c r="H91" s="49" t="n">
        <v>3.2</v>
      </c>
      <c r="I91" s="50" t="n">
        <v>0.48</v>
      </c>
      <c r="J91" s="50" t="n">
        <v>3.38</v>
      </c>
      <c r="K91" s="50" t="inlineStr">
        <is>
          <t>Fail</t>
        </is>
      </c>
      <c r="L91" s="51" t="n"/>
      <c r="M91" s="51" t="n"/>
      <c r="N91" s="51" t="n"/>
    </row>
    <row r="92" ht="13.5" customHeight="1" s="38">
      <c r="A92" s="73" t="inlineStr">
        <is>
          <t>R_0089</t>
        </is>
      </c>
      <c r="B92" s="49" t="n">
        <v>3.6</v>
      </c>
      <c r="C92" s="50" t="n">
        <v>1.26</v>
      </c>
      <c r="D92" s="49" t="n">
        <v>3.8</v>
      </c>
      <c r="E92" s="50" t="n">
        <v>1.14</v>
      </c>
      <c r="F92" s="49" t="n">
        <v>3.3</v>
      </c>
      <c r="G92" s="50" t="n">
        <v>0.66</v>
      </c>
      <c r="H92" s="49" t="n">
        <v>3</v>
      </c>
      <c r="I92" s="50" t="n">
        <v>0.45</v>
      </c>
      <c r="J92" s="50" t="n">
        <v>3.51</v>
      </c>
      <c r="K92" s="50" t="inlineStr">
        <is>
          <t>Pass</t>
        </is>
      </c>
      <c r="L92" s="51" t="n"/>
      <c r="M92" s="51" t="n"/>
      <c r="N92" s="51" t="n"/>
    </row>
    <row r="93" ht="13.5" customHeight="1" s="38">
      <c r="A93" s="73" t="inlineStr">
        <is>
          <t>R_0090</t>
        </is>
      </c>
      <c r="B93" s="49" t="n">
        <v>3</v>
      </c>
      <c r="C93" s="50" t="n">
        <v>1.05</v>
      </c>
      <c r="D93" s="49" t="n">
        <v>3.6</v>
      </c>
      <c r="E93" s="50" t="n">
        <v>1.08</v>
      </c>
      <c r="F93" s="49" t="n">
        <v>3.6</v>
      </c>
      <c r="G93" s="50" t="n">
        <v>0.72</v>
      </c>
      <c r="H93" s="49" t="n">
        <v>3.6</v>
      </c>
      <c r="I93" s="50" t="n">
        <v>0.54</v>
      </c>
      <c r="J93" s="50" t="n">
        <v>3.39</v>
      </c>
      <c r="K93" s="50" t="inlineStr">
        <is>
          <t>Fail</t>
        </is>
      </c>
      <c r="L93" s="51" t="n"/>
      <c r="M93" s="51" t="n"/>
      <c r="N93" s="51" t="n"/>
    </row>
    <row r="94" ht="13.5" customHeight="1" s="38">
      <c r="A94" s="73" t="inlineStr">
        <is>
          <t>R_0091</t>
        </is>
      </c>
      <c r="B94" s="49" t="n">
        <v>3.3</v>
      </c>
      <c r="C94" s="50" t="n">
        <v>1.155</v>
      </c>
      <c r="D94" s="49" t="n">
        <v>2.7</v>
      </c>
      <c r="E94" s="50" t="n">
        <v>0.8100000000000001</v>
      </c>
      <c r="F94" s="49" t="n">
        <v>3.3</v>
      </c>
      <c r="G94" s="50" t="n">
        <v>0.66</v>
      </c>
      <c r="H94" s="49" t="n">
        <v>2.8</v>
      </c>
      <c r="I94" s="50" t="n">
        <v>0.42</v>
      </c>
      <c r="J94" s="50" t="n">
        <v>3.04</v>
      </c>
      <c r="K94" s="50" t="inlineStr">
        <is>
          <t>Fail</t>
        </is>
      </c>
      <c r="L94" s="51" t="n"/>
      <c r="M94" s="51" t="n"/>
      <c r="N94" s="51" t="n"/>
    </row>
    <row r="95" ht="13.5" customHeight="1" s="38">
      <c r="A95" s="73" t="inlineStr">
        <is>
          <t>R_0092</t>
        </is>
      </c>
      <c r="B95" s="49" t="n">
        <v>3</v>
      </c>
      <c r="C95" s="50" t="n">
        <v>1.05</v>
      </c>
      <c r="D95" s="49" t="n">
        <v>3.5</v>
      </c>
      <c r="E95" s="50" t="n">
        <v>1.05</v>
      </c>
      <c r="F95" s="49" t="n">
        <v>3.5</v>
      </c>
      <c r="G95" s="50" t="n">
        <v>0.7</v>
      </c>
      <c r="H95" s="49" t="n">
        <v>3.9</v>
      </c>
      <c r="I95" s="50" t="n">
        <v>0.585</v>
      </c>
      <c r="J95" s="50" t="n">
        <v>3.38</v>
      </c>
      <c r="K95" s="50" t="inlineStr">
        <is>
          <t>Fail</t>
        </is>
      </c>
      <c r="L95" s="51" t="n"/>
      <c r="M95" s="51" t="n"/>
      <c r="N95" s="51" t="n"/>
    </row>
    <row r="96" ht="13.5" customHeight="1" s="38">
      <c r="A96" s="73" t="inlineStr">
        <is>
          <t>R_0093</t>
        </is>
      </c>
      <c r="B96" s="49" t="inlineStr">
        <is>
          <t>3.7 | 2.2</t>
        </is>
      </c>
      <c r="C96" s="50" t="inlineStr">
        <is>
          <t>1.295 | 0.77</t>
        </is>
      </c>
      <c r="D96" s="49" t="inlineStr">
        <is>
          <t>3.8 | 2.1</t>
        </is>
      </c>
      <c r="E96" s="50" t="inlineStr">
        <is>
          <t>1.14 | 0.63</t>
        </is>
      </c>
      <c r="F96" s="49" t="inlineStr">
        <is>
          <t>3.8 | 2.0</t>
        </is>
      </c>
      <c r="G96" s="50" t="inlineStr">
        <is>
          <t>0.76 | 0.40</t>
        </is>
      </c>
      <c r="H96" s="49" t="inlineStr">
        <is>
          <t>3.0 | 1.9</t>
        </is>
      </c>
      <c r="I96" s="50" t="inlineStr">
        <is>
          <t>0.45 | 0.285</t>
        </is>
      </c>
      <c r="J96" s="50" t="inlineStr">
        <is>
          <t>3.64 | 2.085</t>
        </is>
      </c>
      <c r="K96" s="50" t="inlineStr">
        <is>
          <t>Pass | Fail</t>
        </is>
      </c>
      <c r="L96" s="51" t="n"/>
      <c r="M96" s="51" t="n"/>
      <c r="N96" s="51" t="n"/>
    </row>
    <row r="97" ht="13.5" customHeight="1" s="38">
      <c r="A97" s="73" t="inlineStr">
        <is>
          <t>R_0094</t>
        </is>
      </c>
      <c r="B97" s="49" t="n">
        <v>3.8</v>
      </c>
      <c r="C97" s="50" t="n">
        <v>1.33</v>
      </c>
      <c r="D97" s="49" t="n">
        <v>3.3</v>
      </c>
      <c r="E97" s="50" t="n">
        <v>0.99</v>
      </c>
      <c r="F97" s="49" t="n">
        <v>3.8</v>
      </c>
      <c r="G97" s="50" t="n">
        <v>0.76</v>
      </c>
      <c r="H97" s="49" t="n">
        <v>3.8</v>
      </c>
      <c r="I97" s="50" t="n">
        <v>0.57</v>
      </c>
      <c r="J97" s="50" t="n">
        <v>3.65</v>
      </c>
      <c r="K97" s="50" t="inlineStr">
        <is>
          <t>Pass</t>
        </is>
      </c>
      <c r="L97" s="51" t="n"/>
      <c r="M97" s="51" t="n"/>
      <c r="N97" s="51" t="n"/>
    </row>
    <row r="98" ht="13.5" customHeight="1" s="38">
      <c r="A98" s="73" t="inlineStr">
        <is>
          <t>R_0095</t>
        </is>
      </c>
      <c r="B98" s="49" t="n">
        <v>4</v>
      </c>
      <c r="C98" s="50" t="n">
        <v>1.4</v>
      </c>
      <c r="D98" s="49" t="n">
        <v>3.6</v>
      </c>
      <c r="E98" s="50" t="n">
        <v>1.08</v>
      </c>
      <c r="F98" s="49" t="n">
        <v>3.7</v>
      </c>
      <c r="G98" s="50" t="n">
        <v>0.74</v>
      </c>
      <c r="H98" s="49" t="n">
        <v>4</v>
      </c>
      <c r="I98" s="50" t="n">
        <v>0.6</v>
      </c>
      <c r="J98" s="50" t="n">
        <v>3.82</v>
      </c>
      <c r="K98" s="50" t="inlineStr">
        <is>
          <t>Pass</t>
        </is>
      </c>
      <c r="L98" s="51" t="n"/>
      <c r="M98" s="51" t="n"/>
      <c r="N98" s="51" t="n"/>
    </row>
    <row r="99" ht="13.5" customHeight="1" s="38">
      <c r="A99" s="73" t="inlineStr">
        <is>
          <t>R_0096</t>
        </is>
      </c>
      <c r="B99" s="49" t="n">
        <v>3.2</v>
      </c>
      <c r="C99" s="50" t="n">
        <v>1.12</v>
      </c>
      <c r="D99" s="49" t="n">
        <v>3.6</v>
      </c>
      <c r="E99" s="50" t="n">
        <v>1.08</v>
      </c>
      <c r="F99" s="49" t="n">
        <v>3.8</v>
      </c>
      <c r="G99" s="50" t="n">
        <v>0.76</v>
      </c>
      <c r="H99" s="49" t="n">
        <v>4.4</v>
      </c>
      <c r="I99" s="50" t="n">
        <v>0.66</v>
      </c>
      <c r="J99" s="50" t="n">
        <v>3.62</v>
      </c>
      <c r="K99" s="50" t="inlineStr">
        <is>
          <t>Pass</t>
        </is>
      </c>
      <c r="L99" s="51" t="n"/>
      <c r="M99" s="51" t="n"/>
      <c r="N99" s="51" t="n"/>
    </row>
    <row r="100" ht="13.5" customHeight="1" s="38">
      <c r="A100" s="73" t="inlineStr">
        <is>
          <t>R_0097</t>
        </is>
      </c>
      <c r="B100" s="49" t="n">
        <v>3.2</v>
      </c>
      <c r="C100" s="50" t="n">
        <v>1.12</v>
      </c>
      <c r="D100" s="49" t="n">
        <v>3.7</v>
      </c>
      <c r="E100" s="50" t="n">
        <v>1.11</v>
      </c>
      <c r="F100" s="49" t="n">
        <v>3.7</v>
      </c>
      <c r="G100" s="50" t="n">
        <v>0.74</v>
      </c>
      <c r="H100" s="49" t="n">
        <v>3.2</v>
      </c>
      <c r="I100" s="50" t="n">
        <v>0.48</v>
      </c>
      <c r="J100" s="50" t="n">
        <v>3.45</v>
      </c>
      <c r="K100" s="50" t="inlineStr">
        <is>
          <t>Fail</t>
        </is>
      </c>
      <c r="L100" s="51" t="n"/>
      <c r="M100" s="51" t="n"/>
      <c r="N100" s="51" t="n"/>
    </row>
    <row r="101" ht="13.5" customHeight="1" s="38">
      <c r="A101" s="73" t="inlineStr">
        <is>
          <t>R_0098</t>
        </is>
      </c>
      <c r="B101" s="49" t="n">
        <v>2.8</v>
      </c>
      <c r="C101" s="50" t="n">
        <v>0.98</v>
      </c>
      <c r="D101" s="49" t="n">
        <v>3.2</v>
      </c>
      <c r="E101" s="50" t="n">
        <v>0.96</v>
      </c>
      <c r="F101" s="49" t="n">
        <v>3.4</v>
      </c>
      <c r="G101" s="50" t="n">
        <v>0.68</v>
      </c>
      <c r="H101" s="49" t="n">
        <v>3.7</v>
      </c>
      <c r="I101" s="50" t="n">
        <v>0.555</v>
      </c>
      <c r="J101" s="50" t="n">
        <v>3.18</v>
      </c>
      <c r="K101" s="50" t="inlineStr">
        <is>
          <t>Fail</t>
        </is>
      </c>
      <c r="L101" s="51" t="n"/>
      <c r="M101" s="51" t="n"/>
      <c r="N101" s="51" t="n"/>
    </row>
    <row r="102" ht="13.5" customHeight="1" s="38">
      <c r="A102" s="73" t="inlineStr">
        <is>
          <t>R_0099</t>
        </is>
      </c>
      <c r="B102" s="49" t="n">
        <v>3</v>
      </c>
      <c r="C102" s="50" t="n">
        <v>1.05</v>
      </c>
      <c r="D102" s="49" t="n">
        <v>3.8</v>
      </c>
      <c r="E102" s="50" t="n">
        <v>1.14</v>
      </c>
      <c r="F102" s="49" t="n">
        <v>3.6</v>
      </c>
      <c r="G102" s="50" t="n">
        <v>0.72</v>
      </c>
      <c r="H102" s="49" t="n">
        <v>3.7</v>
      </c>
      <c r="I102" s="50" t="n">
        <v>0.555</v>
      </c>
      <c r="J102" s="50" t="n">
        <v>3.46</v>
      </c>
      <c r="K102" s="50" t="inlineStr">
        <is>
          <t>Fail</t>
        </is>
      </c>
      <c r="L102" s="51" t="n"/>
      <c r="M102" s="51" t="n"/>
      <c r="N102" s="51" t="n"/>
    </row>
    <row r="103" ht="13.5" customHeight="1" s="38">
      <c r="A103" s="73" t="inlineStr">
        <is>
          <t>R_0100</t>
        </is>
      </c>
      <c r="B103" s="49" t="inlineStr">
        <is>
          <t>3.9 | 3.0</t>
        </is>
      </c>
      <c r="C103" s="50" t="inlineStr">
        <is>
          <t>1.365 | 1.05</t>
        </is>
      </c>
      <c r="D103" s="49" t="inlineStr">
        <is>
          <t>3.1 | 2.8</t>
        </is>
      </c>
      <c r="E103" s="50" t="inlineStr">
        <is>
          <t>0.93 | 0.84</t>
        </is>
      </c>
      <c r="F103" s="49" t="inlineStr">
        <is>
          <t>3.6 | 3.3</t>
        </is>
      </c>
      <c r="G103" s="50" t="inlineStr">
        <is>
          <t>0.72 | 0.66</t>
        </is>
      </c>
      <c r="H103" s="49" t="inlineStr">
        <is>
          <t>4.0 | 4.0</t>
        </is>
      </c>
      <c r="I103" s="50" t="inlineStr">
        <is>
          <t>0.6 | 0.6</t>
        </is>
      </c>
      <c r="J103" s="50" t="inlineStr">
        <is>
          <t>3.61 | 3.15</t>
        </is>
      </c>
      <c r="K103" s="50" t="inlineStr">
        <is>
          <t>Pass | Fail</t>
        </is>
      </c>
      <c r="L103" s="51" t="n"/>
      <c r="M103" s="51" t="n"/>
      <c r="N103" s="51" t="n"/>
    </row>
    <row r="104" ht="13.5" customHeight="1" s="38">
      <c r="A104" s="73" t="inlineStr">
        <is>
          <t>R_0101</t>
        </is>
      </c>
      <c r="B104" s="49" t="n">
        <v>3.1</v>
      </c>
      <c r="C104" s="50" t="n">
        <v>1.085</v>
      </c>
      <c r="D104" s="49" t="n">
        <v>3.4</v>
      </c>
      <c r="E104" s="50" t="n">
        <v>1.02</v>
      </c>
      <c r="F104" s="49" t="n">
        <v>3.7</v>
      </c>
      <c r="G104" s="50" t="n">
        <v>0.74</v>
      </c>
      <c r="H104" s="49" t="n">
        <v>3.2</v>
      </c>
      <c r="I104" s="50" t="n">
        <v>0.48</v>
      </c>
      <c r="J104" s="50" t="n">
        <v>3.33</v>
      </c>
      <c r="K104" s="50" t="inlineStr">
        <is>
          <t>Fail</t>
        </is>
      </c>
      <c r="L104" s="51" t="n"/>
      <c r="M104" s="51" t="n"/>
      <c r="N104" s="51" t="n"/>
    </row>
    <row r="105" ht="13.5" customHeight="1" s="38">
      <c r="A105" s="73" t="inlineStr">
        <is>
          <t>R_0102</t>
        </is>
      </c>
      <c r="B105" s="49" t="n">
        <v>2.7</v>
      </c>
      <c r="C105" s="50" t="n">
        <v>0.945</v>
      </c>
      <c r="D105" s="49" t="n">
        <v>3.7</v>
      </c>
      <c r="E105" s="50" t="n">
        <v>1.11</v>
      </c>
      <c r="F105" s="49" t="n">
        <v>3.5</v>
      </c>
      <c r="G105" s="50" t="n">
        <v>0.7</v>
      </c>
      <c r="H105" s="49" t="n">
        <v>2.8</v>
      </c>
      <c r="I105" s="50" t="n">
        <v>0.42</v>
      </c>
      <c r="J105" s="50" t="n">
        <v>3.18</v>
      </c>
      <c r="K105" s="50" t="inlineStr">
        <is>
          <t>Fail</t>
        </is>
      </c>
      <c r="L105" s="51" t="n"/>
      <c r="M105" s="51" t="n"/>
      <c r="N105" s="51" t="n"/>
    </row>
    <row r="106" ht="13.5" customHeight="1" s="38">
      <c r="A106" s="73" t="inlineStr">
        <is>
          <t>R_0103</t>
        </is>
      </c>
      <c r="B106" s="49" t="n">
        <v>3.1</v>
      </c>
      <c r="C106" s="50" t="n">
        <v>1.085</v>
      </c>
      <c r="D106" s="49" t="n">
        <v>3.3</v>
      </c>
      <c r="E106" s="50" t="n">
        <v>0.99</v>
      </c>
      <c r="F106" s="49" t="n">
        <v>3.5</v>
      </c>
      <c r="G106" s="50" t="n">
        <v>0.7</v>
      </c>
      <c r="H106" s="49" t="n">
        <v>2.6</v>
      </c>
      <c r="I106" s="50" t="n">
        <v>0.39</v>
      </c>
      <c r="J106" s="50" t="n">
        <v>3.17</v>
      </c>
      <c r="K106" s="50" t="inlineStr">
        <is>
          <t>Fail</t>
        </is>
      </c>
      <c r="L106" s="51" t="n"/>
      <c r="M106" s="51" t="n"/>
      <c r="N106" s="51" t="n"/>
    </row>
    <row r="107" ht="13.5" customHeight="1" s="38">
      <c r="A107" s="73" t="inlineStr">
        <is>
          <t>R_0104</t>
        </is>
      </c>
      <c r="B107" s="49" t="n">
        <v>3.7</v>
      </c>
      <c r="C107" s="50" t="n">
        <v>1.295</v>
      </c>
      <c r="D107" s="49" t="n">
        <v>3.1</v>
      </c>
      <c r="E107" s="50" t="n">
        <v>0.93</v>
      </c>
      <c r="F107" s="49" t="n">
        <v>3.8</v>
      </c>
      <c r="G107" s="50" t="n">
        <v>0.76</v>
      </c>
      <c r="H107" s="49" t="n">
        <v>3.8</v>
      </c>
      <c r="I107" s="50" t="n">
        <v>0.57</v>
      </c>
      <c r="J107" s="50" t="n">
        <v>3.56</v>
      </c>
      <c r="K107" s="50" t="inlineStr">
        <is>
          <t>Pass</t>
        </is>
      </c>
      <c r="L107" s="51" t="n"/>
      <c r="M107" s="51" t="n"/>
      <c r="N107" s="51" t="n"/>
    </row>
    <row r="108" ht="13.5" customHeight="1" s="38">
      <c r="A108" s="73" t="inlineStr">
        <is>
          <t>R_0105</t>
        </is>
      </c>
      <c r="B108" s="49" t="n">
        <v>3.9</v>
      </c>
      <c r="C108" s="50" t="n">
        <v>1.365</v>
      </c>
      <c r="D108" s="49" t="n">
        <v>3.5</v>
      </c>
      <c r="E108" s="50" t="n">
        <v>1.05</v>
      </c>
      <c r="F108" s="49" t="n">
        <v>3.7</v>
      </c>
      <c r="G108" s="50" t="n">
        <v>0.74</v>
      </c>
      <c r="H108" s="49" t="n">
        <v>4</v>
      </c>
      <c r="I108" s="50" t="n">
        <v>0.6</v>
      </c>
      <c r="J108" s="50" t="n">
        <v>3.76</v>
      </c>
      <c r="K108" s="50" t="inlineStr">
        <is>
          <t>Pass</t>
        </is>
      </c>
      <c r="L108" s="51" t="n"/>
      <c r="M108" s="51" t="n"/>
      <c r="N108" s="51" t="n"/>
    </row>
    <row r="109" ht="13.5" customHeight="1" s="38">
      <c r="A109" s="73" t="inlineStr">
        <is>
          <t>R_0106</t>
        </is>
      </c>
      <c r="B109" s="49" t="n">
        <v>3.1</v>
      </c>
      <c r="C109" s="50" t="n">
        <v>1.085</v>
      </c>
      <c r="D109" s="49" t="n">
        <v>3.3</v>
      </c>
      <c r="E109" s="50" t="n">
        <v>0.99</v>
      </c>
      <c r="F109" s="49" t="n">
        <v>3.4</v>
      </c>
      <c r="G109" s="50" t="n">
        <v>0.68</v>
      </c>
      <c r="H109" s="49" t="n">
        <v>4.2</v>
      </c>
      <c r="I109" s="50" t="n">
        <v>0.63</v>
      </c>
      <c r="J109" s="50" t="n">
        <v>3.38</v>
      </c>
      <c r="K109" s="50" t="inlineStr">
        <is>
          <t>Fail</t>
        </is>
      </c>
      <c r="L109" s="51" t="n"/>
      <c r="M109" s="51" t="n"/>
      <c r="N109" s="51" t="n"/>
    </row>
    <row r="110" ht="13.5" customHeight="1" s="38">
      <c r="A110" s="73" t="inlineStr">
        <is>
          <t>R_0107</t>
        </is>
      </c>
      <c r="B110" s="49" t="n">
        <v>2.6</v>
      </c>
      <c r="C110" s="50" t="n">
        <v>0.91</v>
      </c>
      <c r="D110" s="49" t="n">
        <v>3.2</v>
      </c>
      <c r="E110" s="50" t="n">
        <v>0.96</v>
      </c>
      <c r="F110" s="49" t="n">
        <v>3.5</v>
      </c>
      <c r="G110" s="50" t="n">
        <v>0.7</v>
      </c>
      <c r="H110" s="49" t="n">
        <v>3.6</v>
      </c>
      <c r="I110" s="50" t="n">
        <v>0.54</v>
      </c>
      <c r="J110" s="50" t="n">
        <v>3.11</v>
      </c>
      <c r="K110" s="50" t="inlineStr">
        <is>
          <t>Fail</t>
        </is>
      </c>
      <c r="L110" s="51" t="n"/>
      <c r="M110" s="51" t="n"/>
      <c r="N110" s="51" t="n"/>
    </row>
    <row r="111" ht="13.5" customHeight="1" s="38">
      <c r="A111" s="73" t="inlineStr">
        <is>
          <t>R_0108</t>
        </is>
      </c>
      <c r="B111" s="49" t="n">
        <v>3.3</v>
      </c>
      <c r="C111" s="50" t="n">
        <v>1.155</v>
      </c>
      <c r="D111" s="49" t="n">
        <v>2.8</v>
      </c>
      <c r="E111" s="50" t="n">
        <v>0.84</v>
      </c>
      <c r="F111" s="49" t="n">
        <v>3.7</v>
      </c>
      <c r="G111" s="50" t="n">
        <v>0.74</v>
      </c>
      <c r="H111" s="49" t="n">
        <v>3.4</v>
      </c>
      <c r="I111" s="50" t="n">
        <v>0.51</v>
      </c>
      <c r="J111" s="50" t="n">
        <v>3.25</v>
      </c>
      <c r="K111" s="50" t="inlineStr">
        <is>
          <t>Fail</t>
        </is>
      </c>
      <c r="L111" s="51" t="n"/>
      <c r="M111" s="51" t="n"/>
      <c r="N111" s="51" t="n"/>
    </row>
    <row r="112" ht="13.5" customHeight="1" s="38">
      <c r="A112" s="73" t="inlineStr">
        <is>
          <t>R_0109</t>
        </is>
      </c>
      <c r="B112" s="49" t="n">
        <v>3.6</v>
      </c>
      <c r="C112" s="50" t="n">
        <v>1.26</v>
      </c>
      <c r="D112" s="49" t="n">
        <v>3.5</v>
      </c>
      <c r="E112" s="50" t="n">
        <v>1.05</v>
      </c>
      <c r="F112" s="49" t="n">
        <v>3.7</v>
      </c>
      <c r="G112" s="50" t="n">
        <v>0.74</v>
      </c>
      <c r="H112" s="49" t="n">
        <v>3.6</v>
      </c>
      <c r="I112" s="50" t="n">
        <v>0.54</v>
      </c>
      <c r="J112" s="50" t="n">
        <v>3.59</v>
      </c>
      <c r="K112" s="50" t="inlineStr">
        <is>
          <t>Pass</t>
        </is>
      </c>
      <c r="L112" s="51" t="n"/>
      <c r="M112" s="51" t="n"/>
      <c r="N112" s="51" t="n"/>
    </row>
    <row r="113" ht="13.5" customHeight="1" s="38">
      <c r="A113" s="73" t="inlineStr">
        <is>
          <t>R_0110</t>
        </is>
      </c>
      <c r="B113" s="49" t="n">
        <v>3.3</v>
      </c>
      <c r="C113" s="50" t="n">
        <v>1.155</v>
      </c>
      <c r="D113" s="49" t="n">
        <v>3.7</v>
      </c>
      <c r="E113" s="50" t="n">
        <v>1.11</v>
      </c>
      <c r="F113" s="49" t="n">
        <v>3.6</v>
      </c>
      <c r="G113" s="50" t="n">
        <v>0.72</v>
      </c>
      <c r="H113" s="49" t="n">
        <v>4.3</v>
      </c>
      <c r="I113" s="50" t="n">
        <v>0.645</v>
      </c>
      <c r="J113" s="50" t="n">
        <v>3.63</v>
      </c>
      <c r="K113" s="50" t="inlineStr">
        <is>
          <t>Pass</t>
        </is>
      </c>
      <c r="L113" s="51" t="n"/>
      <c r="M113" s="51" t="n"/>
      <c r="N113" s="51" t="n"/>
    </row>
    <row r="114" ht="13.5" customHeight="1" s="38">
      <c r="A114" s="73" t="inlineStr">
        <is>
          <t>R_0111</t>
        </is>
      </c>
      <c r="B114" s="49" t="n">
        <v>3.1</v>
      </c>
      <c r="C114" s="50" t="n">
        <v>1.085</v>
      </c>
      <c r="D114" s="49" t="n">
        <v>2.9</v>
      </c>
      <c r="E114" s="50" t="n">
        <v>0.87</v>
      </c>
      <c r="F114" s="49" t="n">
        <v>3.5</v>
      </c>
      <c r="G114" s="50" t="n">
        <v>0.7</v>
      </c>
      <c r="H114" s="49" t="n">
        <v>4.4</v>
      </c>
      <c r="I114" s="50" t="n">
        <v>0.66</v>
      </c>
      <c r="J114" s="50" t="n">
        <v>3.32</v>
      </c>
      <c r="K114" s="50" t="inlineStr">
        <is>
          <t>Fail</t>
        </is>
      </c>
      <c r="L114" s="51" t="n"/>
      <c r="M114" s="51" t="n"/>
      <c r="N114" s="51" t="n"/>
    </row>
    <row r="115" ht="13.5" customHeight="1" s="38">
      <c r="A115" s="73" t="inlineStr">
        <is>
          <t>R_0112</t>
        </is>
      </c>
      <c r="B115" s="49" t="n">
        <v>3.2</v>
      </c>
      <c r="C115" s="50" t="n">
        <v>1.12</v>
      </c>
      <c r="D115" s="49" t="n">
        <v>3.4</v>
      </c>
      <c r="E115" s="50" t="n">
        <v>1.02</v>
      </c>
      <c r="F115" s="49" t="n">
        <v>3.7</v>
      </c>
      <c r="G115" s="50" t="n">
        <v>0.74</v>
      </c>
      <c r="H115" s="49" t="n">
        <v>3.2</v>
      </c>
      <c r="I115" s="50" t="n">
        <v>0.48</v>
      </c>
      <c r="J115" s="50" t="n">
        <v>3.36</v>
      </c>
      <c r="K115" s="50" t="inlineStr">
        <is>
          <t>Fail</t>
        </is>
      </c>
      <c r="L115" s="51" t="n"/>
      <c r="M115" s="51" t="n"/>
      <c r="N115" s="51" t="n"/>
    </row>
    <row r="116" ht="13.5" customHeight="1" s="38">
      <c r="A116" s="73" t="inlineStr">
        <is>
          <t>R_0113</t>
        </is>
      </c>
      <c r="B116" s="49" t="n">
        <v>3.5</v>
      </c>
      <c r="C116" s="50" t="n">
        <v>1.225</v>
      </c>
      <c r="D116" s="49" t="n">
        <v>3.9</v>
      </c>
      <c r="E116" s="50" t="n">
        <v>1.17</v>
      </c>
      <c r="F116" s="49" t="n">
        <v>3.8</v>
      </c>
      <c r="G116" s="50" t="n">
        <v>0.76</v>
      </c>
      <c r="H116" s="49" t="n">
        <v>4.7</v>
      </c>
      <c r="I116" s="50" t="n">
        <v>0.705</v>
      </c>
      <c r="J116" s="50" t="n">
        <v>3.86</v>
      </c>
      <c r="K116" s="50" t="inlineStr">
        <is>
          <t>Pass</t>
        </is>
      </c>
      <c r="L116" s="51" t="n"/>
      <c r="M116" s="51" t="n"/>
      <c r="N116" s="51" t="n"/>
    </row>
    <row r="117" ht="13.5" customHeight="1" s="38">
      <c r="A117" s="73" t="inlineStr">
        <is>
          <t>R_0114</t>
        </is>
      </c>
      <c r="B117" s="49" t="n">
        <v>3.5</v>
      </c>
      <c r="C117" s="50" t="n">
        <v>1.225</v>
      </c>
      <c r="D117" s="49" t="n">
        <v>3.9</v>
      </c>
      <c r="E117" s="50" t="n">
        <v>1.17</v>
      </c>
      <c r="F117" s="49" t="n">
        <v>3.2</v>
      </c>
      <c r="G117" s="50" t="n">
        <v>0.64</v>
      </c>
      <c r="H117" s="49" t="n">
        <v>2.8</v>
      </c>
      <c r="I117" s="50" t="n">
        <v>0.42</v>
      </c>
      <c r="J117" s="50" t="n">
        <v>3.46</v>
      </c>
      <c r="K117" s="50" t="inlineStr">
        <is>
          <t>Fail</t>
        </is>
      </c>
      <c r="L117" s="51" t="n"/>
      <c r="M117" s="51" t="n"/>
      <c r="N117" s="51" t="n"/>
    </row>
    <row r="118" ht="13.5" customHeight="1" s="38">
      <c r="A118" s="73" t="inlineStr">
        <is>
          <t>R_0115</t>
        </is>
      </c>
      <c r="B118" s="49" t="n">
        <v>3.8</v>
      </c>
      <c r="C118" s="50" t="n">
        <v>1.33</v>
      </c>
      <c r="D118" s="49" t="n">
        <v>3.3</v>
      </c>
      <c r="E118" s="50" t="n">
        <v>0.99</v>
      </c>
      <c r="F118" s="49" t="n">
        <v>3.4</v>
      </c>
      <c r="G118" s="50" t="n">
        <v>0.68</v>
      </c>
      <c r="H118" s="49" t="n">
        <v>3.6</v>
      </c>
      <c r="I118" s="50" t="n">
        <v>0.54</v>
      </c>
      <c r="J118" s="50" t="n">
        <v>3.54</v>
      </c>
      <c r="K118" s="50" t="inlineStr">
        <is>
          <t>Pass</t>
        </is>
      </c>
      <c r="L118" s="51" t="n"/>
      <c r="M118" s="51" t="n"/>
      <c r="N118" s="51" t="n"/>
    </row>
    <row r="119" ht="13.5" customHeight="1" s="38">
      <c r="A119" s="73" t="inlineStr">
        <is>
          <t>R_0116</t>
        </is>
      </c>
      <c r="B119" s="49" t="n">
        <v>2.6</v>
      </c>
      <c r="C119" s="50" t="n">
        <v>0.91</v>
      </c>
      <c r="D119" s="49" t="n">
        <v>3.2</v>
      </c>
      <c r="E119" s="50" t="n">
        <v>0.96</v>
      </c>
      <c r="F119" s="49" t="n">
        <v>3.3</v>
      </c>
      <c r="G119" s="50" t="n">
        <v>0.66</v>
      </c>
      <c r="H119" s="49" t="n">
        <v>2.8</v>
      </c>
      <c r="I119" s="50" t="n">
        <v>0.42</v>
      </c>
      <c r="J119" s="50" t="n">
        <v>2.95</v>
      </c>
      <c r="K119" s="50" t="inlineStr">
        <is>
          <t>Fail</t>
        </is>
      </c>
      <c r="L119" s="51" t="n"/>
      <c r="M119" s="51" t="n"/>
      <c r="N119" s="51" t="n"/>
    </row>
    <row r="120" ht="13.5" customHeight="1" s="38">
      <c r="A120" s="73" t="inlineStr">
        <is>
          <t>R_0117</t>
        </is>
      </c>
      <c r="B120" s="49" t="n">
        <v>3.7</v>
      </c>
      <c r="C120" s="50" t="n">
        <v>1.295</v>
      </c>
      <c r="D120" s="49" t="n">
        <v>4</v>
      </c>
      <c r="E120" s="50" t="n">
        <v>1.2</v>
      </c>
      <c r="F120" s="49" t="n">
        <v>3.5</v>
      </c>
      <c r="G120" s="50" t="n">
        <v>0.7</v>
      </c>
      <c r="H120" s="49" t="n">
        <v>3</v>
      </c>
      <c r="I120" s="50" t="n">
        <v>0.45</v>
      </c>
      <c r="J120" s="50" t="n">
        <v>3.65</v>
      </c>
      <c r="K120" s="50" t="inlineStr">
        <is>
          <t>Pass</t>
        </is>
      </c>
      <c r="L120" s="51" t="n"/>
      <c r="M120" s="51" t="n"/>
      <c r="N120" s="51" t="n"/>
    </row>
    <row r="121" ht="13.5" customHeight="1" s="38">
      <c r="A121" s="73" t="inlineStr">
        <is>
          <t>R_0118</t>
        </is>
      </c>
      <c r="B121" s="49" t="n">
        <v>3.3</v>
      </c>
      <c r="C121" s="50" t="n">
        <v>1.155</v>
      </c>
      <c r="D121" s="49" t="n">
        <v>3.7</v>
      </c>
      <c r="E121" s="50" t="n">
        <v>1.11</v>
      </c>
      <c r="F121" s="49" t="n">
        <v>3.8</v>
      </c>
      <c r="G121" s="50" t="n">
        <v>0.76</v>
      </c>
      <c r="H121" s="49" t="n">
        <v>4.5</v>
      </c>
      <c r="I121" s="50" t="n">
        <v>0.675</v>
      </c>
      <c r="J121" s="50" t="n">
        <v>3.7</v>
      </c>
      <c r="K121" s="50" t="inlineStr">
        <is>
          <t>Pass</t>
        </is>
      </c>
      <c r="L121" s="51" t="n"/>
      <c r="M121" s="51" t="n"/>
      <c r="N121" s="51" t="n"/>
    </row>
    <row r="122" ht="13.5" customHeight="1" s="38">
      <c r="A122" s="73" t="inlineStr">
        <is>
          <t>R_0119</t>
        </is>
      </c>
      <c r="B122" s="49" t="n">
        <v>3.3</v>
      </c>
      <c r="C122" s="50" t="n">
        <v>1.155</v>
      </c>
      <c r="D122" s="49" t="n">
        <v>3.7</v>
      </c>
      <c r="E122" s="50" t="n">
        <v>1.11</v>
      </c>
      <c r="F122" s="49" t="n">
        <v>3.5</v>
      </c>
      <c r="G122" s="50" t="n">
        <v>0.7</v>
      </c>
      <c r="H122" s="49" t="n">
        <v>4.2</v>
      </c>
      <c r="I122" s="50" t="n">
        <v>0.63</v>
      </c>
      <c r="J122" s="50" t="n">
        <v>3.59</v>
      </c>
      <c r="K122" s="50" t="inlineStr">
        <is>
          <t>Pass</t>
        </is>
      </c>
      <c r="L122" s="51" t="n"/>
      <c r="M122" s="51" t="n"/>
      <c r="N122" s="51" t="n"/>
    </row>
    <row r="123" ht="13.5" customHeight="1" s="38">
      <c r="A123" s="73" t="inlineStr">
        <is>
          <t>R_0120</t>
        </is>
      </c>
      <c r="B123" s="49" t="inlineStr">
        <is>
          <t>3.4 | 4.0</t>
        </is>
      </c>
      <c r="C123" s="50" t="inlineStr">
        <is>
          <t>1.19 | 1.4</t>
        </is>
      </c>
      <c r="D123" s="49" t="inlineStr">
        <is>
          <t>3.2 | 3.8</t>
        </is>
      </c>
      <c r="E123" s="50" t="inlineStr">
        <is>
          <t>0.96 | 1.14</t>
        </is>
      </c>
      <c r="F123" s="49" t="inlineStr">
        <is>
          <t>3.6 | 3.8</t>
        </is>
      </c>
      <c r="G123" s="50" t="inlineStr">
        <is>
          <t>0.72 | 0.76</t>
        </is>
      </c>
      <c r="H123" s="49" t="inlineStr">
        <is>
          <t>2.8 | 2.1</t>
        </is>
      </c>
      <c r="I123" s="50" t="inlineStr">
        <is>
          <t>0.42 | 0.315</t>
        </is>
      </c>
      <c r="J123" s="50" t="inlineStr">
        <is>
          <t>3.29 | 3.615</t>
        </is>
      </c>
      <c r="K123" s="50" t="inlineStr">
        <is>
          <t>Fail | Pass</t>
        </is>
      </c>
      <c r="L123" s="51" t="n"/>
      <c r="M123" s="51" t="n"/>
      <c r="N123" s="51" t="n"/>
    </row>
    <row r="124" ht="13.5" customHeight="1" s="38">
      <c r="A124" s="73" t="inlineStr">
        <is>
          <t>R_0121</t>
        </is>
      </c>
      <c r="B124" s="49" t="n">
        <v>2.6</v>
      </c>
      <c r="C124" s="50" t="n">
        <v>0.91</v>
      </c>
      <c r="D124" s="49" t="n">
        <v>3.4</v>
      </c>
      <c r="E124" s="50" t="n">
        <v>1.02</v>
      </c>
      <c r="F124" s="49" t="n">
        <v>3.4</v>
      </c>
      <c r="G124" s="50" t="n">
        <v>0.68</v>
      </c>
      <c r="H124" s="49" t="n">
        <v>2.8</v>
      </c>
      <c r="I124" s="50" t="n">
        <v>0.42</v>
      </c>
      <c r="J124" s="50" t="n">
        <v>3.03</v>
      </c>
      <c r="K124" s="50" t="inlineStr">
        <is>
          <t>Fail</t>
        </is>
      </c>
      <c r="L124" s="51" t="n"/>
      <c r="M124" s="51" t="n"/>
      <c r="N124" s="51" t="n"/>
    </row>
    <row r="125" ht="13.5" customHeight="1" s="38">
      <c r="A125" s="73" t="inlineStr">
        <is>
          <t>R_0122</t>
        </is>
      </c>
      <c r="B125" s="49" t="n">
        <v>3.4</v>
      </c>
      <c r="C125" s="50" t="n">
        <v>1.19</v>
      </c>
      <c r="D125" s="49" t="n">
        <v>3.4</v>
      </c>
      <c r="E125" s="50" t="n">
        <v>1.02</v>
      </c>
      <c r="F125" s="49" t="n">
        <v>3.6</v>
      </c>
      <c r="G125" s="50" t="n">
        <v>0.72</v>
      </c>
      <c r="H125" s="49" t="n">
        <v>2.8</v>
      </c>
      <c r="I125" s="50" t="n">
        <v>0.42</v>
      </c>
      <c r="J125" s="50" t="n">
        <v>3.35</v>
      </c>
      <c r="K125" s="50" t="inlineStr">
        <is>
          <t>Fail</t>
        </is>
      </c>
      <c r="L125" s="51" t="n"/>
      <c r="M125" s="51" t="n"/>
      <c r="N125" s="51" t="n"/>
    </row>
    <row r="126" ht="13.5" customHeight="1" s="38">
      <c r="A126" s="73" t="inlineStr">
        <is>
          <t>R_0123</t>
        </is>
      </c>
      <c r="B126" s="49" t="n">
        <v>3.3</v>
      </c>
      <c r="C126" s="50" t="n">
        <v>1.155</v>
      </c>
      <c r="D126" s="49" t="n">
        <v>3.7</v>
      </c>
      <c r="E126" s="50" t="n">
        <v>1.11</v>
      </c>
      <c r="F126" s="49" t="n">
        <v>3.7</v>
      </c>
      <c r="G126" s="50" t="n">
        <v>0.74</v>
      </c>
      <c r="H126" s="49" t="n">
        <v>3.4</v>
      </c>
      <c r="I126" s="50" t="n">
        <v>0.51</v>
      </c>
      <c r="J126" s="50" t="n">
        <v>3.51</v>
      </c>
      <c r="K126" s="50" t="inlineStr">
        <is>
          <t>Pass</t>
        </is>
      </c>
      <c r="L126" s="51" t="n"/>
      <c r="M126" s="51" t="n"/>
      <c r="N126" s="51" t="n"/>
    </row>
    <row r="127" ht="13.5" customHeight="1" s="38">
      <c r="A127" s="73" t="inlineStr">
        <is>
          <t>R_0124</t>
        </is>
      </c>
      <c r="B127" s="49" t="n">
        <v>3.5</v>
      </c>
      <c r="C127" s="50" t="n">
        <v>1.225</v>
      </c>
      <c r="D127" s="49" t="n">
        <v>3.6</v>
      </c>
      <c r="E127" s="50" t="n">
        <v>1.08</v>
      </c>
      <c r="F127" s="49" t="n">
        <v>3.6</v>
      </c>
      <c r="G127" s="50" t="n">
        <v>0.72</v>
      </c>
      <c r="H127" s="49" t="n">
        <v>3.3</v>
      </c>
      <c r="I127" s="50" t="n">
        <v>0.495</v>
      </c>
      <c r="J127" s="50" t="n">
        <v>3.52</v>
      </c>
      <c r="K127" s="50" t="inlineStr">
        <is>
          <t>Pass</t>
        </is>
      </c>
      <c r="L127" s="51" t="n"/>
      <c r="M127" s="51" t="n"/>
      <c r="N127" s="51" t="n"/>
    </row>
    <row r="128" ht="13.5" customHeight="1" s="38">
      <c r="A128" s="73" t="inlineStr">
        <is>
          <t>R_0125</t>
        </is>
      </c>
      <c r="B128" s="49" t="n">
        <v>3.5</v>
      </c>
      <c r="C128" s="50" t="n">
        <v>1.225</v>
      </c>
      <c r="D128" s="49" t="n">
        <v>3.3</v>
      </c>
      <c r="E128" s="50" t="n">
        <v>0.99</v>
      </c>
      <c r="F128" s="49" t="n">
        <v>3.7</v>
      </c>
      <c r="G128" s="50" t="n">
        <v>0.74</v>
      </c>
      <c r="H128" s="49" t="n">
        <v>3</v>
      </c>
      <c r="I128" s="50" t="n">
        <v>0.45</v>
      </c>
      <c r="J128" s="50" t="n">
        <v>3.41</v>
      </c>
      <c r="K128" s="50" t="inlineStr">
        <is>
          <t>Fail</t>
        </is>
      </c>
      <c r="L128" s="51" t="n"/>
      <c r="M128" s="51" t="n"/>
      <c r="N128" s="51" t="n"/>
    </row>
    <row r="129" ht="13.5" customHeight="1" s="38">
      <c r="A129" s="73" t="inlineStr">
        <is>
          <t>R_0126</t>
        </is>
      </c>
      <c r="B129" s="49" t="n">
        <v>2.6</v>
      </c>
      <c r="C129" s="50" t="n">
        <v>0.91</v>
      </c>
      <c r="D129" s="49" t="n">
        <v>3.2</v>
      </c>
      <c r="E129" s="50" t="n">
        <v>0.96</v>
      </c>
      <c r="F129" s="49" t="n">
        <v>3.4</v>
      </c>
      <c r="G129" s="50" t="n">
        <v>0.68</v>
      </c>
      <c r="H129" s="49" t="n">
        <v>2.8</v>
      </c>
      <c r="I129" s="50" t="n">
        <v>0.42</v>
      </c>
      <c r="J129" s="50" t="n">
        <v>2.97</v>
      </c>
      <c r="K129" s="50" t="inlineStr">
        <is>
          <t>Fail</t>
        </is>
      </c>
      <c r="L129" s="51" t="n"/>
      <c r="M129" s="51" t="n"/>
      <c r="N129" s="51" t="n"/>
    </row>
    <row r="130" ht="13.5" customHeight="1" s="38">
      <c r="A130" s="73" t="inlineStr">
        <is>
          <t>R_0127</t>
        </is>
      </c>
      <c r="B130" s="49" t="n">
        <v>3.1</v>
      </c>
      <c r="C130" s="50" t="n">
        <v>1.085</v>
      </c>
      <c r="D130" s="49" t="n">
        <v>3.2</v>
      </c>
      <c r="E130" s="50" t="n">
        <v>0.96</v>
      </c>
      <c r="F130" s="49" t="n">
        <v>3.5</v>
      </c>
      <c r="G130" s="50" t="n">
        <v>0.7</v>
      </c>
      <c r="H130" s="49" t="n">
        <v>2.8</v>
      </c>
      <c r="I130" s="50" t="n">
        <v>0.42</v>
      </c>
      <c r="J130" s="50" t="n">
        <v>3.17</v>
      </c>
      <c r="K130" s="50" t="inlineStr">
        <is>
          <t>Fail</t>
        </is>
      </c>
      <c r="L130" s="51" t="n"/>
      <c r="M130" s="51" t="n"/>
      <c r="N130" s="51" t="n"/>
    </row>
    <row r="131" ht="13.5" customHeight="1" s="38">
      <c r="A131" s="73" t="inlineStr">
        <is>
          <t>R_0128</t>
        </is>
      </c>
      <c r="B131" s="49" t="n">
        <v>3.8</v>
      </c>
      <c r="C131" s="50" t="n">
        <v>1.33</v>
      </c>
      <c r="D131" s="49" t="n">
        <v>2.9</v>
      </c>
      <c r="E131" s="50" t="n">
        <v>0.87</v>
      </c>
      <c r="F131" s="49" t="n">
        <v>3.9</v>
      </c>
      <c r="G131" s="50" t="n">
        <v>0.78</v>
      </c>
      <c r="H131" s="49" t="n">
        <v>3.8</v>
      </c>
      <c r="I131" s="50" t="n">
        <v>0.57</v>
      </c>
      <c r="J131" s="50" t="n">
        <v>3.55</v>
      </c>
      <c r="K131" s="50" t="inlineStr">
        <is>
          <t>Pass</t>
        </is>
      </c>
      <c r="L131" s="51" t="n"/>
      <c r="M131" s="51" t="n"/>
      <c r="N131" s="51" t="n"/>
    </row>
    <row r="132" ht="13.5" customHeight="1" s="38">
      <c r="A132" s="73" t="inlineStr">
        <is>
          <t>R_0129</t>
        </is>
      </c>
      <c r="B132" s="49" t="n">
        <v>3.6</v>
      </c>
      <c r="C132" s="50" t="n">
        <v>1.26</v>
      </c>
      <c r="D132" s="49" t="n">
        <v>3.9</v>
      </c>
      <c r="E132" s="50" t="n">
        <v>1.17</v>
      </c>
      <c r="F132" s="49" t="n">
        <v>3.7</v>
      </c>
      <c r="G132" s="50" t="n">
        <v>0.74</v>
      </c>
      <c r="H132" s="49" t="n">
        <v>3.2</v>
      </c>
      <c r="I132" s="50" t="n">
        <v>0.48</v>
      </c>
      <c r="J132" s="50" t="n">
        <v>3.65</v>
      </c>
      <c r="K132" s="50" t="inlineStr">
        <is>
          <t>Pass</t>
        </is>
      </c>
      <c r="L132" s="51" t="n"/>
      <c r="M132" s="51" t="n"/>
      <c r="N132" s="51" t="n"/>
    </row>
    <row r="133" ht="13.5" customHeight="1" s="38">
      <c r="A133" s="73" t="inlineStr">
        <is>
          <t>R_0130</t>
        </is>
      </c>
      <c r="B133" s="49" t="n">
        <v>3.3</v>
      </c>
      <c r="C133" s="50" t="n">
        <v>1.155</v>
      </c>
      <c r="D133" s="49" t="n">
        <v>3.2</v>
      </c>
      <c r="E133" s="50" t="n">
        <v>0.96</v>
      </c>
      <c r="F133" s="49" t="n">
        <v>3.7</v>
      </c>
      <c r="G133" s="50" t="n">
        <v>0.74</v>
      </c>
      <c r="H133" s="49" t="n">
        <v>3</v>
      </c>
      <c r="I133" s="50" t="n">
        <v>0.45</v>
      </c>
      <c r="J133" s="50" t="n">
        <v>3.31</v>
      </c>
      <c r="K133" s="50" t="inlineStr">
        <is>
          <t>Fail</t>
        </is>
      </c>
      <c r="L133" s="51" t="n"/>
      <c r="M133" s="51" t="n"/>
      <c r="N133" s="51" t="n"/>
    </row>
    <row r="134" ht="13.5" customHeight="1" s="38">
      <c r="A134" s="73" t="inlineStr">
        <is>
          <t>R_0131</t>
        </is>
      </c>
      <c r="B134" s="49" t="n">
        <v>3.5</v>
      </c>
      <c r="C134" s="50" t="n">
        <v>1.225</v>
      </c>
      <c r="D134" s="49" t="n">
        <v>3</v>
      </c>
      <c r="E134" s="50" t="n">
        <v>0.9</v>
      </c>
      <c r="F134" s="49" t="n">
        <v>3.7</v>
      </c>
      <c r="G134" s="50" t="n">
        <v>0.74</v>
      </c>
      <c r="H134" s="49" t="n">
        <v>3.5</v>
      </c>
      <c r="I134" s="50" t="n">
        <v>0.525</v>
      </c>
      <c r="J134" s="50" t="n">
        <v>3.39</v>
      </c>
      <c r="K134" s="50" t="inlineStr">
        <is>
          <t>Fail</t>
        </is>
      </c>
      <c r="L134" s="51" t="n"/>
      <c r="M134" s="51" t="n"/>
      <c r="N134" s="51" t="n"/>
    </row>
    <row r="135" ht="13.5" customHeight="1" s="38">
      <c r="A135" s="73" t="inlineStr">
        <is>
          <t>R_0132</t>
        </is>
      </c>
      <c r="B135" s="49" t="n">
        <v>3.2</v>
      </c>
      <c r="C135" s="50" t="n">
        <v>1.12</v>
      </c>
      <c r="D135" s="49" t="n">
        <v>3.6</v>
      </c>
      <c r="E135" s="50" t="n">
        <v>1.08</v>
      </c>
      <c r="F135" s="49" t="n">
        <v>3.5</v>
      </c>
      <c r="G135" s="50" t="n">
        <v>0.7</v>
      </c>
      <c r="H135" s="49" t="n">
        <v>3.2</v>
      </c>
      <c r="I135" s="50" t="n">
        <v>0.48</v>
      </c>
      <c r="J135" s="50" t="n">
        <v>3.38</v>
      </c>
      <c r="K135" s="50" t="inlineStr">
        <is>
          <t>Fail</t>
        </is>
      </c>
      <c r="L135" s="51" t="n"/>
      <c r="M135" s="51" t="n"/>
      <c r="N135" s="51" t="n"/>
    </row>
    <row r="136" ht="13.5" customHeight="1" s="38">
      <c r="A136" s="73" t="inlineStr">
        <is>
          <t>R_0133</t>
        </is>
      </c>
      <c r="B136" s="49" t="n">
        <v>3.2</v>
      </c>
      <c r="C136" s="50" t="n">
        <v>1.12</v>
      </c>
      <c r="D136" s="49" t="n">
        <v>3.4</v>
      </c>
      <c r="E136" s="50" t="n">
        <v>1.02</v>
      </c>
      <c r="F136" s="49" t="n">
        <v>3.7</v>
      </c>
      <c r="G136" s="50" t="n">
        <v>0.74</v>
      </c>
      <c r="H136" s="49" t="n">
        <v>2.8</v>
      </c>
      <c r="I136" s="50" t="n">
        <v>0.42</v>
      </c>
      <c r="J136" s="50" t="n">
        <v>3.3</v>
      </c>
      <c r="K136" s="50" t="inlineStr">
        <is>
          <t>Fail</t>
        </is>
      </c>
      <c r="L136" s="51" t="n"/>
      <c r="M136" s="51" t="n"/>
      <c r="N136" s="51" t="n"/>
    </row>
    <row r="137" ht="13.5" customHeight="1" s="38">
      <c r="A137" s="73" t="inlineStr">
        <is>
          <t>R_0134</t>
        </is>
      </c>
      <c r="B137" s="49" t="inlineStr">
        <is>
          <t>3.6 | 2.8</t>
        </is>
      </c>
      <c r="C137" s="50" t="inlineStr">
        <is>
          <t>1.26 | 0.98</t>
        </is>
      </c>
      <c r="D137" s="49" t="inlineStr">
        <is>
          <t>2.8 | 2.7</t>
        </is>
      </c>
      <c r="E137" s="50" t="inlineStr">
        <is>
          <t>0.84 | 0.81</t>
        </is>
      </c>
      <c r="F137" s="49" t="inlineStr">
        <is>
          <t>3.5 | 1.5</t>
        </is>
      </c>
      <c r="G137" s="50" t="inlineStr">
        <is>
          <t>0.7 | 0.3</t>
        </is>
      </c>
      <c r="H137" s="49" t="inlineStr">
        <is>
          <t>3.5 | 4.0</t>
        </is>
      </c>
      <c r="I137" s="50" t="inlineStr">
        <is>
          <t>0.525 | 0.6</t>
        </is>
      </c>
      <c r="J137" s="50" t="inlineStr">
        <is>
          <t>3.32 | 2.69</t>
        </is>
      </c>
      <c r="K137" s="50" t="inlineStr">
        <is>
          <t>Fail | Fail</t>
        </is>
      </c>
      <c r="L137" s="51" t="n"/>
      <c r="M137" s="51" t="n"/>
      <c r="N137" s="51" t="n"/>
    </row>
    <row r="138" ht="13.5" customHeight="1" s="38">
      <c r="A138" s="73" t="inlineStr">
        <is>
          <t>R_0135</t>
        </is>
      </c>
      <c r="B138" s="49" t="n">
        <v>3.1</v>
      </c>
      <c r="C138" s="50" t="n">
        <v>1.085</v>
      </c>
      <c r="D138" s="49" t="n">
        <v>3.6</v>
      </c>
      <c r="E138" s="50" t="n">
        <v>1.08</v>
      </c>
      <c r="F138" s="49" t="n">
        <v>3.5</v>
      </c>
      <c r="G138" s="50" t="n">
        <v>0.7</v>
      </c>
      <c r="H138" s="49" t="n">
        <v>2.6</v>
      </c>
      <c r="I138" s="50" t="n">
        <v>0.39</v>
      </c>
      <c r="J138" s="50" t="n">
        <v>3.26</v>
      </c>
      <c r="K138" s="50" t="inlineStr">
        <is>
          <t>Fail</t>
        </is>
      </c>
      <c r="L138" s="51" t="n"/>
      <c r="M138" s="51" t="n"/>
      <c r="N138" s="51" t="n"/>
    </row>
    <row r="139" ht="13.5" customHeight="1" s="38">
      <c r="A139" s="73" t="inlineStr">
        <is>
          <t>R_0136</t>
        </is>
      </c>
      <c r="B139" s="49" t="n">
        <v>3.2</v>
      </c>
      <c r="C139" s="50" t="n">
        <v>1.12</v>
      </c>
      <c r="D139" s="49" t="n">
        <v>3.6</v>
      </c>
      <c r="E139" s="50" t="n">
        <v>1.08</v>
      </c>
      <c r="F139" s="49" t="n">
        <v>3.7</v>
      </c>
      <c r="G139" s="50" t="n">
        <v>0.74</v>
      </c>
      <c r="H139" s="49" t="n">
        <v>3.2</v>
      </c>
      <c r="I139" s="50" t="n">
        <v>0.48</v>
      </c>
      <c r="J139" s="50" t="n">
        <v>3.42</v>
      </c>
      <c r="K139" s="50" t="inlineStr">
        <is>
          <t>Fail</t>
        </is>
      </c>
      <c r="L139" s="51" t="n"/>
      <c r="M139" s="51" t="n"/>
      <c r="N139" s="51" t="n"/>
    </row>
    <row r="140" ht="13.5" customHeight="1" s="38">
      <c r="A140" s="73" t="inlineStr">
        <is>
          <t>R_0137</t>
        </is>
      </c>
      <c r="B140" s="49" t="n">
        <v>3.6</v>
      </c>
      <c r="C140" s="50" t="n">
        <v>1.26</v>
      </c>
      <c r="D140" s="49" t="n">
        <v>3.9</v>
      </c>
      <c r="E140" s="50" t="n">
        <v>1.17</v>
      </c>
      <c r="F140" s="49" t="n">
        <v>3.3</v>
      </c>
      <c r="G140" s="50" t="n">
        <v>0.66</v>
      </c>
      <c r="H140" s="49" t="n">
        <v>3</v>
      </c>
      <c r="I140" s="50" t="n">
        <v>0.45</v>
      </c>
      <c r="J140" s="50" t="n">
        <v>3.54</v>
      </c>
      <c r="K140" s="50" t="inlineStr">
        <is>
          <t>Pass</t>
        </is>
      </c>
      <c r="L140" s="51" t="n"/>
      <c r="M140" s="51" t="n"/>
      <c r="N140" s="51" t="n"/>
    </row>
    <row r="141" ht="13.5" customHeight="1" s="38">
      <c r="A141" s="73" t="inlineStr">
        <is>
          <t>R_0138</t>
        </is>
      </c>
      <c r="B141" s="49" t="n">
        <v>3.2</v>
      </c>
      <c r="C141" s="50" t="n">
        <v>1.12</v>
      </c>
      <c r="D141" s="49" t="n">
        <v>3.4</v>
      </c>
      <c r="E141" s="50" t="n">
        <v>1.02</v>
      </c>
      <c r="F141" s="49" t="n">
        <v>3.6</v>
      </c>
      <c r="G141" s="50" t="n">
        <v>0.72</v>
      </c>
      <c r="H141" s="49" t="n">
        <v>4.2</v>
      </c>
      <c r="I141" s="50" t="n">
        <v>0.63</v>
      </c>
      <c r="J141" s="50" t="n">
        <v>3.49</v>
      </c>
      <c r="K141" s="50" t="inlineStr">
        <is>
          <t>Fail</t>
        </is>
      </c>
      <c r="L141" s="51" t="n"/>
      <c r="M141" s="51" t="n"/>
      <c r="N141" s="51" t="n"/>
    </row>
    <row r="142" ht="13.5" customHeight="1" s="38">
      <c r="A142" s="73" t="inlineStr">
        <is>
          <t>R_0139</t>
        </is>
      </c>
      <c r="B142" s="49" t="inlineStr">
        <is>
          <t>3.9 | 3.1</t>
        </is>
      </c>
      <c r="C142" s="50" t="inlineStr">
        <is>
          <t>1.365 | 1.085</t>
        </is>
      </c>
      <c r="D142" s="49" t="inlineStr">
        <is>
          <t>3.8 | 3.0</t>
        </is>
      </c>
      <c r="E142" s="50" t="inlineStr">
        <is>
          <t>1.14 | 0.9</t>
        </is>
      </c>
      <c r="F142" s="49" t="inlineStr">
        <is>
          <t>3.1 | 1.8</t>
        </is>
      </c>
      <c r="G142" s="50" t="inlineStr">
        <is>
          <t>0.62 | 0.36</t>
        </is>
      </c>
      <c r="H142" s="49" t="inlineStr">
        <is>
          <t>3.0 | 2.1</t>
        </is>
      </c>
      <c r="I142" s="50" t="inlineStr">
        <is>
          <t>0.45 | 0.315</t>
        </is>
      </c>
      <c r="J142" s="50" t="inlineStr">
        <is>
          <t>3.58 | 2.66</t>
        </is>
      </c>
      <c r="K142" s="50" t="inlineStr">
        <is>
          <t>Pass | Fail</t>
        </is>
      </c>
      <c r="L142" s="51" t="n"/>
      <c r="M142" s="51" t="n"/>
      <c r="N142" s="51" t="n"/>
    </row>
    <row r="143" ht="13.5" customHeight="1" s="38">
      <c r="A143" s="73" t="inlineStr">
        <is>
          <t>R_0140</t>
        </is>
      </c>
      <c r="B143" s="49" t="n">
        <v>3.3</v>
      </c>
      <c r="C143" s="50" t="n">
        <v>1.155</v>
      </c>
      <c r="D143" s="49" t="n">
        <v>3.6</v>
      </c>
      <c r="E143" s="50" t="n">
        <v>1.08</v>
      </c>
      <c r="F143" s="49" t="n">
        <v>3.7</v>
      </c>
      <c r="G143" s="50" t="n">
        <v>0.74</v>
      </c>
      <c r="H143" s="49" t="n">
        <v>2.8</v>
      </c>
      <c r="I143" s="50" t="n">
        <v>0.42</v>
      </c>
      <c r="J143" s="50" t="n">
        <v>3.4</v>
      </c>
      <c r="K143" s="50" t="inlineStr">
        <is>
          <t>Fail</t>
        </is>
      </c>
      <c r="L143" s="51" t="n"/>
      <c r="M143" s="51" t="n"/>
      <c r="N143" s="51" t="n"/>
    </row>
    <row r="144" ht="13.5" customHeight="1" s="38">
      <c r="A144" s="73" t="inlineStr">
        <is>
          <t>R_0141</t>
        </is>
      </c>
      <c r="B144" s="49" t="n">
        <v>2.8</v>
      </c>
      <c r="C144" s="50" t="n">
        <v>0.98</v>
      </c>
      <c r="D144" s="49" t="n">
        <v>2.8</v>
      </c>
      <c r="E144" s="50" t="n">
        <v>0.84</v>
      </c>
      <c r="F144" s="49" t="n">
        <v>3.4</v>
      </c>
      <c r="G144" s="50" t="n">
        <v>0.68</v>
      </c>
      <c r="H144" s="49" t="n">
        <v>2.8</v>
      </c>
      <c r="I144" s="50" t="n">
        <v>0.42</v>
      </c>
      <c r="J144" s="50" t="n">
        <v>2.92</v>
      </c>
      <c r="K144" s="50" t="inlineStr">
        <is>
          <t>Fail</t>
        </is>
      </c>
      <c r="L144" s="51" t="n"/>
      <c r="M144" s="51" t="n"/>
      <c r="N144" s="51" t="n"/>
    </row>
    <row r="145" ht="13.5" customHeight="1" s="38">
      <c r="A145" s="73" t="inlineStr">
        <is>
          <t>R_0142</t>
        </is>
      </c>
      <c r="B145" s="49" t="n">
        <v>3.8</v>
      </c>
      <c r="C145" s="50" t="n">
        <v>1.33</v>
      </c>
      <c r="D145" s="49" t="n">
        <v>3.3</v>
      </c>
      <c r="E145" s="50" t="n">
        <v>0.99</v>
      </c>
      <c r="F145" s="49" t="n">
        <v>3.9</v>
      </c>
      <c r="G145" s="50" t="n">
        <v>0.78</v>
      </c>
      <c r="H145" s="49" t="n">
        <v>4</v>
      </c>
      <c r="I145" s="50" t="n">
        <v>0.6</v>
      </c>
      <c r="J145" s="50" t="n">
        <v>3.7</v>
      </c>
      <c r="K145" s="50" t="inlineStr">
        <is>
          <t>Pass</t>
        </is>
      </c>
      <c r="L145" s="51" t="n"/>
      <c r="M145" s="51" t="n"/>
      <c r="N145" s="51" t="n"/>
    </row>
    <row r="146" ht="13.5" customHeight="1" s="38">
      <c r="A146" s="73" t="inlineStr">
        <is>
          <t>R_0143</t>
        </is>
      </c>
      <c r="B146" s="49" t="n">
        <v>3.9</v>
      </c>
      <c r="C146" s="50" t="n">
        <v>1.365</v>
      </c>
      <c r="D146" s="49" t="n">
        <v>3.5</v>
      </c>
      <c r="E146" s="50" t="n">
        <v>1.05</v>
      </c>
      <c r="F146" s="49" t="n">
        <v>3.7</v>
      </c>
      <c r="G146" s="50" t="n">
        <v>0.74</v>
      </c>
      <c r="H146" s="49" t="n">
        <v>4</v>
      </c>
      <c r="I146" s="50" t="n">
        <v>0.6</v>
      </c>
      <c r="J146" s="50" t="n">
        <v>3.76</v>
      </c>
      <c r="K146" s="50" t="inlineStr">
        <is>
          <t>Pass</t>
        </is>
      </c>
      <c r="L146" s="51" t="n"/>
      <c r="M146" s="51" t="n"/>
      <c r="N146" s="51" t="n"/>
    </row>
    <row r="147" ht="13.5" customHeight="1" s="38">
      <c r="A147" s="73" t="inlineStr">
        <is>
          <t>R_0144</t>
        </is>
      </c>
      <c r="B147" s="49" t="n">
        <v>3.2</v>
      </c>
      <c r="C147" s="50" t="n">
        <v>1.12</v>
      </c>
      <c r="D147" s="49" t="n">
        <v>3.7</v>
      </c>
      <c r="E147" s="50" t="n">
        <v>1.11</v>
      </c>
      <c r="F147" s="49" t="n">
        <v>3.5</v>
      </c>
      <c r="G147" s="50" t="n">
        <v>0.7</v>
      </c>
      <c r="H147" s="49" t="n">
        <v>3.2</v>
      </c>
      <c r="I147" s="50" t="n">
        <v>0.48</v>
      </c>
      <c r="J147" s="50" t="n">
        <v>3.41</v>
      </c>
      <c r="K147" s="50" t="inlineStr">
        <is>
          <t>Fail</t>
        </is>
      </c>
      <c r="L147" s="51" t="n"/>
      <c r="M147" s="51" t="n"/>
      <c r="N147" s="51" t="n"/>
    </row>
    <row r="148" ht="13.5" customHeight="1" s="38">
      <c r="A148" s="73" t="inlineStr">
        <is>
          <t>R_0145</t>
        </is>
      </c>
      <c r="B148" s="49" t="n">
        <v>3.3</v>
      </c>
      <c r="C148" s="50" t="n">
        <v>1.155</v>
      </c>
      <c r="D148" s="49" t="n">
        <v>3.3</v>
      </c>
      <c r="E148" s="50" t="n">
        <v>0.99</v>
      </c>
      <c r="F148" s="49" t="n">
        <v>3.6</v>
      </c>
      <c r="G148" s="50" t="n">
        <v>0.72</v>
      </c>
      <c r="H148" s="49" t="n">
        <v>2.8</v>
      </c>
      <c r="I148" s="50" t="n">
        <v>0.42</v>
      </c>
      <c r="J148" s="50" t="n">
        <v>3.29</v>
      </c>
      <c r="K148" s="50" t="inlineStr">
        <is>
          <t>Fail</t>
        </is>
      </c>
      <c r="L148" s="51" t="n"/>
      <c r="M148" s="51" t="n"/>
      <c r="N148" s="51" t="n"/>
    </row>
    <row r="149" ht="13.5" customHeight="1" s="38">
      <c r="A149" s="73" t="inlineStr">
        <is>
          <t>R_0146</t>
        </is>
      </c>
      <c r="B149" s="49" t="n">
        <v>3.6</v>
      </c>
      <c r="C149" s="50" t="n">
        <v>1.26</v>
      </c>
      <c r="D149" s="49" t="n">
        <v>3.4</v>
      </c>
      <c r="E149" s="50" t="n">
        <v>1.02</v>
      </c>
      <c r="F149" s="49" t="n">
        <v>3.7</v>
      </c>
      <c r="G149" s="50" t="n">
        <v>0.74</v>
      </c>
      <c r="H149" s="49" t="n">
        <v>3.6</v>
      </c>
      <c r="I149" s="50" t="n">
        <v>0.54</v>
      </c>
      <c r="J149" s="50" t="n">
        <v>3.56</v>
      </c>
      <c r="K149" s="50" t="inlineStr">
        <is>
          <t>Pass</t>
        </is>
      </c>
      <c r="L149" s="51" t="n"/>
      <c r="M149" s="51" t="n"/>
      <c r="N149" s="51" t="n"/>
    </row>
    <row r="150" ht="13.5" customHeight="1" s="38">
      <c r="A150" s="73" t="inlineStr">
        <is>
          <t>R_0147</t>
        </is>
      </c>
      <c r="B150" s="49" t="n">
        <v>3.7</v>
      </c>
      <c r="C150" s="50" t="n">
        <v>1.295</v>
      </c>
      <c r="D150" s="49" t="n">
        <v>3.4</v>
      </c>
      <c r="E150" s="50" t="n">
        <v>1.02</v>
      </c>
      <c r="F150" s="49" t="n">
        <v>3.6</v>
      </c>
      <c r="G150" s="50" t="n">
        <v>0.72</v>
      </c>
      <c r="H150" s="49" t="n">
        <v>3.8</v>
      </c>
      <c r="I150" s="50" t="n">
        <v>0.57</v>
      </c>
      <c r="J150" s="50" t="n">
        <v>3.6</v>
      </c>
      <c r="K150" s="50" t="inlineStr">
        <is>
          <t>Pass</t>
        </is>
      </c>
      <c r="L150" s="51" t="n"/>
      <c r="M150" s="51" t="n"/>
      <c r="N150" s="51" t="n"/>
    </row>
    <row r="151" ht="13.5" customHeight="1" s="38">
      <c r="A151" s="73" t="inlineStr">
        <is>
          <t>R_0148</t>
        </is>
      </c>
      <c r="B151" s="49" t="n">
        <v>3.5</v>
      </c>
      <c r="C151" s="50" t="n">
        <v>1.225</v>
      </c>
      <c r="D151" s="49" t="n">
        <v>3.3</v>
      </c>
      <c r="E151" s="50" t="n">
        <v>0.99</v>
      </c>
      <c r="F151" s="49" t="n">
        <v>3.7</v>
      </c>
      <c r="G151" s="50" t="n">
        <v>0.74</v>
      </c>
      <c r="H151" s="49" t="n">
        <v>3</v>
      </c>
      <c r="I151" s="50" t="n">
        <v>0.45</v>
      </c>
      <c r="J151" s="50" t="n">
        <v>3.41</v>
      </c>
      <c r="K151" s="50" t="inlineStr">
        <is>
          <t>Fail</t>
        </is>
      </c>
      <c r="L151" s="51" t="n"/>
      <c r="M151" s="51" t="n"/>
      <c r="N151" s="51" t="n"/>
    </row>
    <row r="152" ht="13.5" customHeight="1" s="38">
      <c r="A152" s="73" t="inlineStr">
        <is>
          <t>R_0149</t>
        </is>
      </c>
      <c r="B152" s="49" t="n">
        <v>3.4</v>
      </c>
      <c r="C152" s="50" t="n">
        <v>1.19</v>
      </c>
      <c r="D152" s="49" t="n">
        <v>3</v>
      </c>
      <c r="E152" s="50" t="n">
        <v>0.9</v>
      </c>
      <c r="F152" s="49" t="n">
        <v>3.6</v>
      </c>
      <c r="G152" s="50" t="n">
        <v>0.72</v>
      </c>
      <c r="H152" s="49" t="n">
        <v>2.8</v>
      </c>
      <c r="I152" s="50" t="n">
        <v>0.42</v>
      </c>
      <c r="J152" s="50" t="n">
        <v>3.23</v>
      </c>
      <c r="K152" s="50" t="inlineStr">
        <is>
          <t>Fail</t>
        </is>
      </c>
      <c r="L152" s="51" t="n"/>
      <c r="M152" s="51" t="n"/>
      <c r="N152" s="51" t="n"/>
    </row>
    <row r="153" ht="13.5" customHeight="1" s="38">
      <c r="A153" s="73" t="inlineStr">
        <is>
          <t>R_0150</t>
        </is>
      </c>
      <c r="B153" s="49" t="n">
        <v>3.4</v>
      </c>
      <c r="C153" s="50" t="n">
        <v>1.19</v>
      </c>
      <c r="D153" s="49" t="n">
        <v>4.2</v>
      </c>
      <c r="E153" s="50" t="n">
        <v>1.26</v>
      </c>
      <c r="F153" s="49" t="n">
        <v>3.2</v>
      </c>
      <c r="G153" s="50" t="n">
        <v>0.64</v>
      </c>
      <c r="H153" s="49" t="n">
        <v>3</v>
      </c>
      <c r="I153" s="50" t="n">
        <v>0.45</v>
      </c>
      <c r="J153" s="50" t="n">
        <v>3.54</v>
      </c>
      <c r="K153" s="50" t="inlineStr">
        <is>
          <t>Pass</t>
        </is>
      </c>
      <c r="L153" s="51" t="n"/>
      <c r="M153" s="51" t="n"/>
      <c r="N153" s="51" t="n"/>
    </row>
    <row r="154" ht="13.5" customHeight="1" s="38">
      <c r="A154" s="73" t="inlineStr">
        <is>
          <t>R_0151</t>
        </is>
      </c>
      <c r="B154" s="49" t="n">
        <v>3.7</v>
      </c>
      <c r="C154" s="50" t="n">
        <v>1.295</v>
      </c>
      <c r="D154" s="49" t="n">
        <v>4.1</v>
      </c>
      <c r="E154" s="50" t="n">
        <v>1.23</v>
      </c>
      <c r="F154" s="49" t="n">
        <v>3.2</v>
      </c>
      <c r="G154" s="50" t="n">
        <v>0.64</v>
      </c>
      <c r="H154" s="49" t="n">
        <v>3</v>
      </c>
      <c r="I154" s="50" t="n">
        <v>0.45</v>
      </c>
      <c r="J154" s="50" t="n">
        <v>3.62</v>
      </c>
      <c r="K154" s="50" t="inlineStr">
        <is>
          <t>Pass</t>
        </is>
      </c>
      <c r="L154" s="51" t="n"/>
      <c r="M154" s="51" t="n"/>
      <c r="N154" s="51" t="n"/>
    </row>
    <row r="155" ht="13.5" customHeight="1" s="38">
      <c r="A155" s="73" t="inlineStr">
        <is>
          <t>R_0152</t>
        </is>
      </c>
      <c r="B155" s="49" t="n">
        <v>3.6</v>
      </c>
      <c r="C155" s="50" t="n">
        <v>1.26</v>
      </c>
      <c r="D155" s="49" t="n">
        <v>3.1</v>
      </c>
      <c r="E155" s="50" t="n">
        <v>0.93</v>
      </c>
      <c r="F155" s="49" t="n">
        <v>3.8</v>
      </c>
      <c r="G155" s="50" t="n">
        <v>0.76</v>
      </c>
      <c r="H155" s="49" t="n">
        <v>3.6</v>
      </c>
      <c r="I155" s="50" t="n">
        <v>0.54</v>
      </c>
      <c r="J155" s="50" t="n">
        <v>3.49</v>
      </c>
      <c r="K155" s="50" t="inlineStr">
        <is>
          <t>Fail</t>
        </is>
      </c>
      <c r="L155" s="51" t="n"/>
      <c r="M155" s="51" t="n"/>
      <c r="N155" s="51" t="n"/>
    </row>
    <row r="156" ht="13.5" customHeight="1" s="38">
      <c r="A156" s="73" t="inlineStr">
        <is>
          <t>R_0153</t>
        </is>
      </c>
      <c r="B156" s="49" t="n">
        <v>3.5</v>
      </c>
      <c r="C156" s="50" t="n">
        <v>1.225</v>
      </c>
      <c r="D156" s="49" t="n">
        <v>3.2</v>
      </c>
      <c r="E156" s="50" t="n">
        <v>0.96</v>
      </c>
      <c r="F156" s="49" t="n">
        <v>3.8</v>
      </c>
      <c r="G156" s="50" t="n">
        <v>0.76</v>
      </c>
      <c r="H156" s="49" t="n">
        <v>3.5</v>
      </c>
      <c r="I156" s="50" t="n">
        <v>0.525</v>
      </c>
      <c r="J156" s="50" t="n">
        <v>3.47</v>
      </c>
      <c r="K156" s="50" t="inlineStr">
        <is>
          <t>Fail</t>
        </is>
      </c>
      <c r="L156" s="51" t="n"/>
      <c r="M156" s="51" t="n"/>
      <c r="N156" s="51" t="n"/>
    </row>
    <row r="157" ht="13.5" customHeight="1" s="38">
      <c r="A157" s="73" t="inlineStr">
        <is>
          <t>R_0154</t>
        </is>
      </c>
      <c r="B157" s="49" t="n">
        <v>3.4</v>
      </c>
      <c r="C157" s="50" t="n">
        <v>1.19</v>
      </c>
      <c r="D157" s="49" t="n">
        <v>2.9</v>
      </c>
      <c r="E157" s="50" t="n">
        <v>0.87</v>
      </c>
      <c r="F157" s="49" t="n">
        <v>3.6</v>
      </c>
      <c r="G157" s="50" t="n">
        <v>0.72</v>
      </c>
      <c r="H157" s="49" t="n">
        <v>3.4</v>
      </c>
      <c r="I157" s="50" t="n">
        <v>0.51</v>
      </c>
      <c r="J157" s="50" t="n">
        <v>3.29</v>
      </c>
      <c r="K157" s="50" t="inlineStr">
        <is>
          <t>Fail</t>
        </is>
      </c>
      <c r="L157" s="51" t="n"/>
      <c r="M157" s="51" t="n"/>
      <c r="N157" s="51" t="n"/>
    </row>
    <row r="158" ht="13.5" customHeight="1" s="38">
      <c r="A158" s="73" t="inlineStr">
        <is>
          <t>R_0155</t>
        </is>
      </c>
      <c r="B158" s="49" t="n">
        <v>3</v>
      </c>
      <c r="C158" s="50" t="n">
        <v>1.05</v>
      </c>
      <c r="D158" s="49" t="n">
        <v>3.7</v>
      </c>
      <c r="E158" s="50" t="n">
        <v>1.11</v>
      </c>
      <c r="F158" s="49" t="n">
        <v>3.7</v>
      </c>
      <c r="G158" s="50" t="n">
        <v>0.74</v>
      </c>
      <c r="H158" s="49" t="n">
        <v>3.7</v>
      </c>
      <c r="I158" s="50" t="n">
        <v>0.555</v>
      </c>
      <c r="J158" s="50" t="n">
        <v>3.46</v>
      </c>
      <c r="K158" s="50" t="inlineStr">
        <is>
          <t>Fail</t>
        </is>
      </c>
      <c r="L158" s="51" t="n"/>
      <c r="M158" s="51" t="n"/>
      <c r="N158" s="51" t="n"/>
    </row>
    <row r="159" ht="13.5" customHeight="1" s="38">
      <c r="A159" s="73" t="inlineStr">
        <is>
          <t>R_0156</t>
        </is>
      </c>
      <c r="B159" s="49" t="n">
        <v>3.4</v>
      </c>
      <c r="C159" s="50" t="n">
        <v>1.19</v>
      </c>
      <c r="D159" s="49" t="n">
        <v>3.2</v>
      </c>
      <c r="E159" s="50" t="n">
        <v>0.96</v>
      </c>
      <c r="F159" s="49" t="n">
        <v>3.6</v>
      </c>
      <c r="G159" s="50" t="n">
        <v>0.72</v>
      </c>
      <c r="H159" s="49" t="n">
        <v>3.4</v>
      </c>
      <c r="I159" s="50" t="n">
        <v>0.51</v>
      </c>
      <c r="J159" s="50" t="n">
        <v>3.38</v>
      </c>
      <c r="K159" s="50" t="inlineStr">
        <is>
          <t>Fail</t>
        </is>
      </c>
      <c r="L159" s="51" t="n"/>
      <c r="M159" s="51" t="n"/>
      <c r="N159" s="51" t="n"/>
    </row>
    <row r="160" ht="13.5" customHeight="1" s="38">
      <c r="A160" s="73" t="inlineStr">
        <is>
          <t>R_0157</t>
        </is>
      </c>
      <c r="B160" s="49" t="n">
        <v>3.5</v>
      </c>
      <c r="C160" s="50" t="n">
        <v>1.225</v>
      </c>
      <c r="D160" s="49" t="n">
        <v>3.9</v>
      </c>
      <c r="E160" s="50" t="n">
        <v>1.17</v>
      </c>
      <c r="F160" s="49" t="n">
        <v>3.7</v>
      </c>
      <c r="G160" s="50" t="n">
        <v>0.74</v>
      </c>
      <c r="H160" s="49" t="n">
        <v>4.7</v>
      </c>
      <c r="I160" s="50" t="n">
        <v>0.705</v>
      </c>
      <c r="J160" s="50" t="n">
        <v>3.84</v>
      </c>
      <c r="K160" s="50" t="inlineStr">
        <is>
          <t>Pass</t>
        </is>
      </c>
      <c r="L160" s="51" t="n"/>
      <c r="M160" s="51" t="n"/>
      <c r="N160" s="51" t="n"/>
    </row>
    <row r="161" ht="13.5" customHeight="1" s="38">
      <c r="A161" s="73" t="inlineStr">
        <is>
          <t>R_0158</t>
        </is>
      </c>
      <c r="B161" s="49" t="n">
        <v>3.6</v>
      </c>
      <c r="C161" s="50" t="n">
        <v>1.26</v>
      </c>
      <c r="D161" s="49" t="n">
        <v>3.7</v>
      </c>
      <c r="E161" s="50" t="n">
        <v>1.11</v>
      </c>
      <c r="F161" s="49" t="n">
        <v>3.1</v>
      </c>
      <c r="G161" s="50" t="n">
        <v>0.62</v>
      </c>
      <c r="H161" s="49" t="n">
        <v>2.8</v>
      </c>
      <c r="I161" s="50" t="n">
        <v>0.42</v>
      </c>
      <c r="J161" s="50" t="n">
        <v>3.41</v>
      </c>
      <c r="K161" s="50" t="inlineStr">
        <is>
          <t>Fail</t>
        </is>
      </c>
      <c r="L161" s="51" t="n"/>
      <c r="M161" s="51" t="n"/>
      <c r="N161" s="51" t="n"/>
    </row>
    <row r="162" ht="13.5" customHeight="1" s="38">
      <c r="A162" s="73" t="inlineStr">
        <is>
          <t>R_0159</t>
        </is>
      </c>
      <c r="B162" s="49" t="n">
        <v>4</v>
      </c>
      <c r="C162" s="50" t="n">
        <v>1.4</v>
      </c>
      <c r="D162" s="49" t="n">
        <v>3.2</v>
      </c>
      <c r="E162" s="50" t="n">
        <v>0.96</v>
      </c>
      <c r="F162" s="49" t="n">
        <v>3.7</v>
      </c>
      <c r="G162" s="50" t="n">
        <v>0.74</v>
      </c>
      <c r="H162" s="49" t="n">
        <v>4</v>
      </c>
      <c r="I162" s="50" t="n">
        <v>0.6</v>
      </c>
      <c r="J162" s="50" t="n">
        <v>3.7</v>
      </c>
      <c r="K162" s="50" t="inlineStr">
        <is>
          <t>Pass</t>
        </is>
      </c>
      <c r="L162" s="51" t="n"/>
      <c r="M162" s="51" t="n"/>
      <c r="N162" s="51" t="n"/>
    </row>
    <row r="163" ht="13.5" customHeight="1" s="38">
      <c r="A163" s="73" t="inlineStr">
        <is>
          <t>R_0160</t>
        </is>
      </c>
      <c r="B163" s="49" t="n">
        <v>3.9</v>
      </c>
      <c r="C163" s="50" t="n">
        <v>1.365</v>
      </c>
      <c r="D163" s="49" t="n">
        <v>3.2</v>
      </c>
      <c r="E163" s="50" t="n">
        <v>0.96</v>
      </c>
      <c r="F163" s="49" t="n">
        <v>3.7</v>
      </c>
      <c r="G163" s="50" t="n">
        <v>0.74</v>
      </c>
      <c r="H163" s="49" t="n">
        <v>4</v>
      </c>
      <c r="I163" s="50" t="n">
        <v>0.6</v>
      </c>
      <c r="J163" s="50" t="n">
        <v>3.67</v>
      </c>
      <c r="K163" s="50" t="inlineStr">
        <is>
          <t>Pass</t>
        </is>
      </c>
      <c r="L163" s="51" t="n"/>
      <c r="M163" s="51" t="n"/>
      <c r="N163" s="51" t="n"/>
    </row>
    <row r="164" ht="13.5" customHeight="1" s="38">
      <c r="A164" s="73" t="inlineStr">
        <is>
          <t>R_0161</t>
        </is>
      </c>
      <c r="B164" s="49" t="n">
        <v>2.8</v>
      </c>
      <c r="C164" s="50" t="n">
        <v>0.98</v>
      </c>
      <c r="D164" s="49" t="n">
        <v>3.1</v>
      </c>
      <c r="E164" s="50" t="n">
        <v>0.93</v>
      </c>
      <c r="F164" s="49" t="n">
        <v>3.5</v>
      </c>
      <c r="G164" s="50" t="n">
        <v>0.7</v>
      </c>
      <c r="H164" s="49" t="n">
        <v>3.9</v>
      </c>
      <c r="I164" s="50" t="n">
        <v>0.585</v>
      </c>
      <c r="J164" s="50" t="n">
        <v>3.19</v>
      </c>
      <c r="K164" s="50" t="inlineStr">
        <is>
          <t>Fail</t>
        </is>
      </c>
      <c r="L164" s="51" t="n"/>
      <c r="M164" s="51" t="n"/>
      <c r="N164" s="51" t="n"/>
    </row>
    <row r="165" ht="13.5" customHeight="1" s="38">
      <c r="A165" s="73" t="inlineStr">
        <is>
          <t>R_0162</t>
        </is>
      </c>
      <c r="B165" s="49" t="n">
        <v>3.8</v>
      </c>
      <c r="C165" s="50" t="n">
        <v>1.33</v>
      </c>
      <c r="D165" s="49" t="n">
        <v>3.6</v>
      </c>
      <c r="E165" s="50" t="n">
        <v>1.08</v>
      </c>
      <c r="F165" s="49" t="n">
        <v>3.7</v>
      </c>
      <c r="G165" s="50" t="n">
        <v>0.74</v>
      </c>
      <c r="H165" s="49" t="n">
        <v>3.8</v>
      </c>
      <c r="I165" s="50" t="n">
        <v>0.57</v>
      </c>
      <c r="J165" s="50" t="n">
        <v>3.72</v>
      </c>
      <c r="K165" s="50" t="inlineStr">
        <is>
          <t>Pass</t>
        </is>
      </c>
      <c r="L165" s="51" t="n"/>
      <c r="M165" s="51" t="n"/>
      <c r="N165" s="51" t="n"/>
    </row>
    <row r="166" ht="13.5" customHeight="1" s="38">
      <c r="A166" s="73" t="inlineStr">
        <is>
          <t>R_0163</t>
        </is>
      </c>
      <c r="B166" s="49" t="n">
        <v>3.5</v>
      </c>
      <c r="C166" s="50" t="n">
        <v>1.225</v>
      </c>
      <c r="D166" s="49" t="n">
        <v>3.2</v>
      </c>
      <c r="E166" s="50" t="n">
        <v>0.96</v>
      </c>
      <c r="F166" s="49" t="n">
        <v>3.9</v>
      </c>
      <c r="G166" s="50" t="n">
        <v>0.78</v>
      </c>
      <c r="H166" s="49" t="n">
        <v>2.6</v>
      </c>
      <c r="I166" s="50" t="n">
        <v>0.39</v>
      </c>
      <c r="J166" s="50" t="n">
        <v>3.35</v>
      </c>
      <c r="K166" s="50" t="inlineStr">
        <is>
          <t>Fail</t>
        </is>
      </c>
      <c r="L166" s="51" t="n"/>
      <c r="M166" s="51" t="n"/>
      <c r="N166" s="51" t="n"/>
    </row>
    <row r="167" ht="13.5" customHeight="1" s="38">
      <c r="A167" s="73" t="inlineStr">
        <is>
          <t>R_0164</t>
        </is>
      </c>
      <c r="B167" s="49" t="n">
        <v>3.9</v>
      </c>
      <c r="C167" s="50" t="n">
        <v>1.365</v>
      </c>
      <c r="D167" s="49" t="n">
        <v>3.4</v>
      </c>
      <c r="E167" s="50" t="n">
        <v>1.02</v>
      </c>
      <c r="F167" s="49" t="n">
        <v>3.7</v>
      </c>
      <c r="G167" s="50" t="n">
        <v>0.74</v>
      </c>
      <c r="H167" s="49" t="n">
        <v>3.8</v>
      </c>
      <c r="I167" s="50" t="n">
        <v>0.57</v>
      </c>
      <c r="J167" s="50" t="n">
        <v>3.69</v>
      </c>
      <c r="K167" s="50" t="inlineStr">
        <is>
          <t>Pass</t>
        </is>
      </c>
      <c r="L167" s="51" t="n"/>
      <c r="M167" s="51" t="n"/>
      <c r="N167" s="51" t="n"/>
    </row>
    <row r="168" ht="13.5" customHeight="1" s="38">
      <c r="A168" s="73" t="inlineStr">
        <is>
          <t>R_0165</t>
        </is>
      </c>
      <c r="B168" s="49" t="n">
        <v>3.5</v>
      </c>
      <c r="C168" s="50" t="n">
        <v>1.225</v>
      </c>
      <c r="D168" s="49" t="n">
        <v>3</v>
      </c>
      <c r="E168" s="50" t="n">
        <v>0.9</v>
      </c>
      <c r="F168" s="49" t="n">
        <v>3.7</v>
      </c>
      <c r="G168" s="50" t="n">
        <v>0.74</v>
      </c>
      <c r="H168" s="49" t="n">
        <v>3.2</v>
      </c>
      <c r="I168" s="50" t="n">
        <v>0.48</v>
      </c>
      <c r="J168" s="50" t="n">
        <v>3.35</v>
      </c>
      <c r="K168" s="50" t="inlineStr">
        <is>
          <t>Fail</t>
        </is>
      </c>
      <c r="L168" s="51" t="n"/>
      <c r="M168" s="51" t="n"/>
      <c r="N168" s="51" t="n"/>
    </row>
    <row r="169" ht="13.5" customHeight="1" s="38">
      <c r="A169" s="73" t="inlineStr">
        <is>
          <t>R_0166</t>
        </is>
      </c>
      <c r="B169" s="49" t="n">
        <v>3.7</v>
      </c>
      <c r="C169" s="50" t="n">
        <v>1.295</v>
      </c>
      <c r="D169" s="49" t="n">
        <v>3.4</v>
      </c>
      <c r="E169" s="50" t="n">
        <v>1.02</v>
      </c>
      <c r="F169" s="49" t="n">
        <v>3.7</v>
      </c>
      <c r="G169" s="50" t="n">
        <v>0.74</v>
      </c>
      <c r="H169" s="49" t="n">
        <v>3.3</v>
      </c>
      <c r="I169" s="50" t="n">
        <v>0.495</v>
      </c>
      <c r="J169" s="50" t="n">
        <v>3.55</v>
      </c>
      <c r="K169" s="50" t="inlineStr">
        <is>
          <t>Pass</t>
        </is>
      </c>
      <c r="L169" s="51" t="n"/>
      <c r="M169" s="51" t="n"/>
      <c r="N169" s="51" t="n"/>
    </row>
    <row r="170" ht="13.5" customHeight="1" s="38">
      <c r="A170" s="73" t="inlineStr">
        <is>
          <t>R_0167</t>
        </is>
      </c>
      <c r="B170" s="49" t="n">
        <v>3.6</v>
      </c>
      <c r="C170" s="50" t="n">
        <v>1.26</v>
      </c>
      <c r="D170" s="49" t="n">
        <v>3.5</v>
      </c>
      <c r="E170" s="50" t="n">
        <v>1.05</v>
      </c>
      <c r="F170" s="49" t="n">
        <v>3.7</v>
      </c>
      <c r="G170" s="50" t="n">
        <v>0.74</v>
      </c>
      <c r="H170" s="49" t="n">
        <v>3.8</v>
      </c>
      <c r="I170" s="50" t="n">
        <v>0.57</v>
      </c>
      <c r="J170" s="50" t="n">
        <v>3.62</v>
      </c>
      <c r="K170" s="50" t="inlineStr">
        <is>
          <t>Pass</t>
        </is>
      </c>
      <c r="L170" s="51" t="n"/>
      <c r="M170" s="51" t="n"/>
      <c r="N170" s="51" t="n"/>
    </row>
    <row r="171" ht="13.5" customHeight="1" s="38">
      <c r="A171" s="73" t="inlineStr">
        <is>
          <t>R_0168</t>
        </is>
      </c>
      <c r="B171" s="49" t="n">
        <v>4</v>
      </c>
      <c r="C171" s="50" t="n">
        <v>1.4</v>
      </c>
      <c r="D171" s="49" t="n">
        <v>3.1</v>
      </c>
      <c r="E171" s="50" t="n">
        <v>0.93</v>
      </c>
      <c r="F171" s="49" t="n">
        <v>3.8</v>
      </c>
      <c r="G171" s="50" t="n">
        <v>0.76</v>
      </c>
      <c r="H171" s="49" t="n">
        <v>4</v>
      </c>
      <c r="I171" s="50" t="n">
        <v>0.6</v>
      </c>
      <c r="J171" s="50" t="n">
        <v>3.69</v>
      </c>
      <c r="K171" s="50" t="inlineStr">
        <is>
          <t>Pass</t>
        </is>
      </c>
      <c r="L171" s="51" t="n"/>
      <c r="M171" s="51" t="n"/>
      <c r="N171" s="51" t="n"/>
    </row>
    <row r="172" ht="13.5" customHeight="1" s="38">
      <c r="A172" s="73" t="inlineStr">
        <is>
          <t>R_0169</t>
        </is>
      </c>
      <c r="B172" s="49" t="n">
        <v>3.3</v>
      </c>
      <c r="C172" s="50" t="n">
        <v>1.155</v>
      </c>
      <c r="D172" s="49" t="n">
        <v>2.9</v>
      </c>
      <c r="E172" s="50" t="n">
        <v>0.87</v>
      </c>
      <c r="F172" s="49" t="n">
        <v>3.6</v>
      </c>
      <c r="G172" s="50" t="n">
        <v>0.72</v>
      </c>
      <c r="H172" s="49" t="n">
        <v>2.8</v>
      </c>
      <c r="I172" s="50" t="n">
        <v>0.42</v>
      </c>
      <c r="J172" s="50" t="n">
        <v>3.17</v>
      </c>
      <c r="K172" s="50" t="inlineStr">
        <is>
          <t>Fail</t>
        </is>
      </c>
      <c r="L172" s="51" t="n"/>
      <c r="M172" s="51" t="n"/>
      <c r="N172" s="51" t="n"/>
    </row>
    <row r="173" ht="13.5" customHeight="1" s="38">
      <c r="A173" s="73" t="inlineStr">
        <is>
          <t>R_0170</t>
        </is>
      </c>
      <c r="B173" s="49" t="n">
        <v>3.5</v>
      </c>
      <c r="C173" s="50" t="n">
        <v>1.225</v>
      </c>
      <c r="D173" s="49" t="n">
        <v>3.7</v>
      </c>
      <c r="E173" s="50" t="n">
        <v>1.11</v>
      </c>
      <c r="F173" s="49" t="n">
        <v>3.7</v>
      </c>
      <c r="G173" s="50" t="n">
        <v>0.74</v>
      </c>
      <c r="H173" s="49" t="n">
        <v>3.2</v>
      </c>
      <c r="I173" s="50" t="n">
        <v>0.48</v>
      </c>
      <c r="J173" s="50" t="n">
        <v>3.56</v>
      </c>
      <c r="K173" s="50" t="inlineStr">
        <is>
          <t>Pass</t>
        </is>
      </c>
      <c r="L173" s="51" t="n"/>
      <c r="M173" s="51" t="n"/>
      <c r="N173" s="51" t="n"/>
    </row>
    <row r="174" ht="13.5" customHeight="1" s="38">
      <c r="A174" s="73" t="inlineStr">
        <is>
          <t>R_0171</t>
        </is>
      </c>
      <c r="B174" s="49" t="inlineStr">
        <is>
          <t>3.4 | 3.7</t>
        </is>
      </c>
      <c r="C174" s="50" t="inlineStr">
        <is>
          <t>1.19 | 1.295</t>
        </is>
      </c>
      <c r="D174" s="49" t="inlineStr">
        <is>
          <t>3.0 | 3.6</t>
        </is>
      </c>
      <c r="E174" s="50" t="inlineStr">
        <is>
          <t>0.9 | 1.08</t>
        </is>
      </c>
      <c r="F174" s="49" t="inlineStr">
        <is>
          <t>3.6 | 3.9</t>
        </is>
      </c>
      <c r="G174" s="50" t="inlineStr">
        <is>
          <t>0.72 | 0.78</t>
        </is>
      </c>
      <c r="H174" s="49" t="inlineStr">
        <is>
          <t>2.8 | 4.0</t>
        </is>
      </c>
      <c r="I174" s="50" t="inlineStr">
        <is>
          <t>0.42 | 0.6</t>
        </is>
      </c>
      <c r="J174" s="50" t="inlineStr">
        <is>
          <t>3.23 | 3.755</t>
        </is>
      </c>
      <c r="K174" s="50" t="inlineStr">
        <is>
          <t>Fail | Pass</t>
        </is>
      </c>
      <c r="L174" s="51" t="n"/>
      <c r="M174" s="51" t="n"/>
      <c r="N174" s="51" t="n"/>
    </row>
    <row r="175" ht="13.5" customHeight="1" s="38">
      <c r="A175" s="73" t="inlineStr">
        <is>
          <t>R_0172</t>
        </is>
      </c>
      <c r="B175" s="49" t="n">
        <v>3.6</v>
      </c>
      <c r="C175" s="50" t="n">
        <v>1.26</v>
      </c>
      <c r="D175" s="49" t="n">
        <v>3.4</v>
      </c>
      <c r="E175" s="50" t="n">
        <v>1.02</v>
      </c>
      <c r="F175" s="49" t="n">
        <v>3.7</v>
      </c>
      <c r="G175" s="50" t="n">
        <v>0.74</v>
      </c>
      <c r="H175" s="49" t="n">
        <v>3.6</v>
      </c>
      <c r="I175" s="50" t="n">
        <v>0.54</v>
      </c>
      <c r="J175" s="50" t="n">
        <v>3.56</v>
      </c>
      <c r="K175" s="50" t="inlineStr">
        <is>
          <t>Pass</t>
        </is>
      </c>
      <c r="L175" s="51" t="n"/>
      <c r="M175" s="51" t="n"/>
      <c r="N175" s="51" t="n"/>
    </row>
    <row r="176" ht="13.5" customHeight="1" s="38">
      <c r="A176" s="73" t="inlineStr">
        <is>
          <t>R_0173</t>
        </is>
      </c>
      <c r="B176" s="49" t="n">
        <v>2.6</v>
      </c>
      <c r="C176" s="50" t="n">
        <v>0.91</v>
      </c>
      <c r="D176" s="49" t="n">
        <v>3.4</v>
      </c>
      <c r="E176" s="50" t="n">
        <v>1.02</v>
      </c>
      <c r="F176" s="49" t="n">
        <v>3.3</v>
      </c>
      <c r="G176" s="50" t="n">
        <v>0.66</v>
      </c>
      <c r="H176" s="49" t="n">
        <v>2.5</v>
      </c>
      <c r="I176" s="50" t="n">
        <v>0.375</v>
      </c>
      <c r="J176" s="50" t="n">
        <v>2.96</v>
      </c>
      <c r="K176" s="50" t="inlineStr">
        <is>
          <t>Fail</t>
        </is>
      </c>
      <c r="L176" s="51" t="n"/>
      <c r="M176" s="51" t="n"/>
      <c r="N176" s="51" t="n"/>
    </row>
    <row r="177" ht="13.5" customHeight="1" s="38">
      <c r="A177" s="73" t="inlineStr">
        <is>
          <t>R_0174</t>
        </is>
      </c>
      <c r="B177" s="49" t="n">
        <v>3.3</v>
      </c>
      <c r="C177" s="50" t="n">
        <v>1.155</v>
      </c>
      <c r="D177" s="49" t="n">
        <v>3</v>
      </c>
      <c r="E177" s="50" t="n">
        <v>0.9</v>
      </c>
      <c r="F177" s="49" t="n">
        <v>3.6</v>
      </c>
      <c r="G177" s="50" t="n">
        <v>0.72</v>
      </c>
      <c r="H177" s="49" t="n">
        <v>2.8</v>
      </c>
      <c r="I177" s="50" t="n">
        <v>0.42</v>
      </c>
      <c r="J177" s="50" t="n">
        <v>3.2</v>
      </c>
      <c r="K177" s="50" t="inlineStr">
        <is>
          <t>Fail</t>
        </is>
      </c>
      <c r="L177" s="51" t="n"/>
      <c r="M177" s="51" t="n"/>
      <c r="N177" s="51" t="n"/>
    </row>
    <row r="178" ht="13.5" customHeight="1" s="38">
      <c r="A178" s="73" t="inlineStr">
        <is>
          <t>R_0175</t>
        </is>
      </c>
      <c r="B178" s="49" t="n">
        <v>3.7</v>
      </c>
      <c r="C178" s="50" t="n">
        <v>1.295</v>
      </c>
      <c r="D178" s="49" t="n">
        <v>3.8</v>
      </c>
      <c r="E178" s="50" t="n">
        <v>1.14</v>
      </c>
      <c r="F178" s="49" t="n">
        <v>3.3</v>
      </c>
      <c r="G178" s="50" t="n">
        <v>0.66</v>
      </c>
      <c r="H178" s="49" t="n">
        <v>3</v>
      </c>
      <c r="I178" s="50" t="n">
        <v>0.45</v>
      </c>
      <c r="J178" s="50" t="n">
        <v>3.54</v>
      </c>
      <c r="K178" s="50" t="inlineStr">
        <is>
          <t>Pass</t>
        </is>
      </c>
      <c r="L178" s="51" t="n"/>
      <c r="M178" s="51" t="n"/>
      <c r="N178" s="51" t="n"/>
    </row>
    <row r="179" ht="13.5" customHeight="1" s="38">
      <c r="A179" s="73" t="inlineStr">
        <is>
          <t>R_0176</t>
        </is>
      </c>
      <c r="B179" s="49" t="n">
        <v>3.8</v>
      </c>
      <c r="C179" s="50" t="n">
        <v>1.33</v>
      </c>
      <c r="D179" s="49" t="n">
        <v>3</v>
      </c>
      <c r="E179" s="50" t="n">
        <v>0.9</v>
      </c>
      <c r="F179" s="49" t="n">
        <v>3.8</v>
      </c>
      <c r="G179" s="50" t="n">
        <v>0.76</v>
      </c>
      <c r="H179" s="49" t="n">
        <v>3.8</v>
      </c>
      <c r="I179" s="50" t="n">
        <v>0.57</v>
      </c>
      <c r="J179" s="50" t="n">
        <v>3.56</v>
      </c>
      <c r="K179" s="50" t="inlineStr">
        <is>
          <t>Pass</t>
        </is>
      </c>
      <c r="L179" s="51" t="n"/>
      <c r="M179" s="51" t="n"/>
      <c r="N179" s="51" t="n"/>
    </row>
    <row r="180" ht="13.5" customHeight="1" s="38">
      <c r="A180" s="73" t="inlineStr">
        <is>
          <t>R_0177</t>
        </is>
      </c>
      <c r="B180" s="49" t="n">
        <v>3</v>
      </c>
      <c r="C180" s="50" t="n">
        <v>1.05</v>
      </c>
      <c r="D180" s="49" t="n">
        <v>3.5</v>
      </c>
      <c r="E180" s="50" t="n">
        <v>1.05</v>
      </c>
      <c r="F180" s="49" t="n">
        <v>3.5</v>
      </c>
      <c r="G180" s="50" t="n">
        <v>0.7</v>
      </c>
      <c r="H180" s="49" t="n">
        <v>3.9</v>
      </c>
      <c r="I180" s="50" t="n">
        <v>0.585</v>
      </c>
      <c r="J180" s="50" t="n">
        <v>3.38</v>
      </c>
      <c r="K180" s="50" t="inlineStr">
        <is>
          <t>Fail</t>
        </is>
      </c>
      <c r="L180" s="51" t="n"/>
      <c r="M180" s="51" t="n"/>
      <c r="N180" s="51" t="n"/>
    </row>
    <row r="181" ht="13.5" customHeight="1" s="38">
      <c r="A181" s="73" t="inlineStr">
        <is>
          <t>R_0178</t>
        </is>
      </c>
      <c r="B181" s="49" t="n">
        <v>3.5</v>
      </c>
      <c r="C181" s="50" t="n">
        <v>1.225</v>
      </c>
      <c r="D181" s="49" t="n">
        <v>4.1</v>
      </c>
      <c r="E181" s="50" t="n">
        <v>1.23</v>
      </c>
      <c r="F181" s="49" t="n">
        <v>3.2</v>
      </c>
      <c r="G181" s="50" t="n">
        <v>0.64</v>
      </c>
      <c r="H181" s="49" t="n">
        <v>3</v>
      </c>
      <c r="I181" s="50" t="n">
        <v>0.45</v>
      </c>
      <c r="J181" s="50" t="n">
        <v>3.55</v>
      </c>
      <c r="K181" s="50" t="inlineStr">
        <is>
          <t>Pass</t>
        </is>
      </c>
      <c r="L181" s="51" t="n"/>
      <c r="M181" s="51" t="n"/>
      <c r="N181" s="51" t="n"/>
    </row>
    <row r="182" ht="13.5" customHeight="1" s="38">
      <c r="A182" s="73" t="inlineStr">
        <is>
          <t>R_0179</t>
        </is>
      </c>
      <c r="B182" s="49" t="n">
        <v>3.5</v>
      </c>
      <c r="C182" s="50" t="n">
        <v>1.225</v>
      </c>
      <c r="D182" s="49" t="n">
        <v>3.7</v>
      </c>
      <c r="E182" s="50" t="n">
        <v>1.11</v>
      </c>
      <c r="F182" s="49" t="n">
        <v>3.6</v>
      </c>
      <c r="G182" s="50" t="n">
        <v>0.72</v>
      </c>
      <c r="H182" s="49" t="n">
        <v>2.8</v>
      </c>
      <c r="I182" s="50" t="n">
        <v>0.42</v>
      </c>
      <c r="J182" s="50" t="n">
        <v>3.47</v>
      </c>
      <c r="K182" s="50" t="inlineStr">
        <is>
          <t>Fail</t>
        </is>
      </c>
      <c r="L182" s="51" t="n"/>
      <c r="M182" s="51" t="n"/>
      <c r="N182" s="51" t="n"/>
    </row>
    <row r="183" ht="13.5" customHeight="1" s="38">
      <c r="A183" s="73" t="inlineStr">
        <is>
          <t>R_0180</t>
        </is>
      </c>
      <c r="B183" s="49" t="n">
        <v>3.1</v>
      </c>
      <c r="C183" s="50" t="n">
        <v>1.085</v>
      </c>
      <c r="D183" s="49" t="n">
        <v>2.8</v>
      </c>
      <c r="E183" s="50" t="n">
        <v>0.84</v>
      </c>
      <c r="F183" s="49" t="n">
        <v>3.6</v>
      </c>
      <c r="G183" s="50" t="n">
        <v>0.72</v>
      </c>
      <c r="H183" s="49" t="n">
        <v>3</v>
      </c>
      <c r="I183" s="50" t="n">
        <v>0.45</v>
      </c>
      <c r="J183" s="50" t="n">
        <v>3.09</v>
      </c>
      <c r="K183" s="50" t="inlineStr">
        <is>
          <t>Fail</t>
        </is>
      </c>
      <c r="L183" s="51" t="n"/>
      <c r="M183" s="51" t="n"/>
      <c r="N183" s="51" t="n"/>
    </row>
    <row r="184" ht="13.5" customHeight="1" s="38">
      <c r="A184" s="73" t="inlineStr">
        <is>
          <t>R_0181</t>
        </is>
      </c>
      <c r="B184" s="49" t="n">
        <v>3.4</v>
      </c>
      <c r="C184" s="50" t="n">
        <v>1.19</v>
      </c>
      <c r="D184" s="49" t="n">
        <v>3.2</v>
      </c>
      <c r="E184" s="50" t="n">
        <v>0.96</v>
      </c>
      <c r="F184" s="49" t="n">
        <v>3.7</v>
      </c>
      <c r="G184" s="50" t="n">
        <v>0.74</v>
      </c>
      <c r="H184" s="49" t="n">
        <v>3</v>
      </c>
      <c r="I184" s="50" t="n">
        <v>0.45</v>
      </c>
      <c r="J184" s="50" t="n">
        <v>3.34</v>
      </c>
      <c r="K184" s="50" t="inlineStr">
        <is>
          <t>Fail</t>
        </is>
      </c>
      <c r="L184" s="51" t="n"/>
      <c r="M184" s="51" t="n"/>
      <c r="N184" s="51" t="n"/>
    </row>
    <row r="185" ht="13.5" customHeight="1" s="38">
      <c r="A185" s="73" t="inlineStr">
        <is>
          <t>R_0182</t>
        </is>
      </c>
      <c r="B185" s="49" t="n">
        <v>3</v>
      </c>
      <c r="C185" s="50" t="n">
        <v>1.05</v>
      </c>
      <c r="D185" s="49" t="n">
        <v>2.9</v>
      </c>
      <c r="E185" s="50" t="n">
        <v>0.87</v>
      </c>
      <c r="F185" s="49" t="n">
        <v>3.5</v>
      </c>
      <c r="G185" s="50" t="n">
        <v>0.7</v>
      </c>
      <c r="H185" s="49" t="n">
        <v>4.3</v>
      </c>
      <c r="I185" s="50" t="n">
        <v>0.645</v>
      </c>
      <c r="J185" s="50" t="n">
        <v>3.27</v>
      </c>
      <c r="K185" s="50" t="inlineStr">
        <is>
          <t>Fail</t>
        </is>
      </c>
      <c r="L185" s="51" t="n"/>
      <c r="M185" s="51" t="n"/>
      <c r="N185" s="51" t="n"/>
    </row>
    <row r="186" ht="13.5" customHeight="1" s="38">
      <c r="A186" s="73" t="inlineStr">
        <is>
          <t>R_0183</t>
        </is>
      </c>
      <c r="B186" s="49" t="n">
        <v>3.7</v>
      </c>
      <c r="C186" s="50" t="n">
        <v>1.295</v>
      </c>
      <c r="D186" s="49" t="n">
        <v>3.3</v>
      </c>
      <c r="E186" s="50" t="n">
        <v>0.99</v>
      </c>
      <c r="F186" s="49" t="n">
        <v>3.6</v>
      </c>
      <c r="G186" s="50" t="n">
        <v>0.72</v>
      </c>
      <c r="H186" s="49" t="n">
        <v>3.8</v>
      </c>
      <c r="I186" s="50" t="n">
        <v>0.57</v>
      </c>
      <c r="J186" s="50" t="n">
        <v>3.57</v>
      </c>
      <c r="K186" s="50" t="inlineStr">
        <is>
          <t>Pass</t>
        </is>
      </c>
      <c r="L186" s="51" t="n"/>
      <c r="M186" s="51" t="n"/>
      <c r="N186" s="51" t="n"/>
    </row>
    <row r="187" ht="13.5" customHeight="1" s="38">
      <c r="A187" s="73" t="inlineStr">
        <is>
          <t>R_0184</t>
        </is>
      </c>
      <c r="B187" s="49" t="n">
        <v>2.7</v>
      </c>
      <c r="C187" s="50" t="n">
        <v>0.945</v>
      </c>
      <c r="D187" s="49" t="n">
        <v>2.8</v>
      </c>
      <c r="E187" s="50" t="n">
        <v>0.84</v>
      </c>
      <c r="F187" s="49" t="n">
        <v>3.5</v>
      </c>
      <c r="G187" s="50" t="n">
        <v>0.7</v>
      </c>
      <c r="H187" s="49" t="n">
        <v>4.3</v>
      </c>
      <c r="I187" s="50" t="n">
        <v>0.645</v>
      </c>
      <c r="J187" s="50" t="n">
        <v>3.13</v>
      </c>
      <c r="K187" s="50" t="inlineStr">
        <is>
          <t>Fail</t>
        </is>
      </c>
      <c r="L187" s="51" t="n"/>
      <c r="M187" s="51" t="n"/>
      <c r="N187" s="51" t="n"/>
    </row>
    <row r="188" ht="13.5" customHeight="1" s="38">
      <c r="A188" s="73" t="inlineStr">
        <is>
          <t>R_0185</t>
        </is>
      </c>
      <c r="B188" s="49" t="n">
        <v>3.7</v>
      </c>
      <c r="C188" s="50" t="n">
        <v>1.295</v>
      </c>
      <c r="D188" s="49" t="n">
        <v>4.2</v>
      </c>
      <c r="E188" s="50" t="n">
        <v>1.26</v>
      </c>
      <c r="F188" s="49" t="n">
        <v>3.1</v>
      </c>
      <c r="G188" s="50" t="n">
        <v>0.62</v>
      </c>
      <c r="H188" s="49" t="n">
        <v>3</v>
      </c>
      <c r="I188" s="50" t="n">
        <v>0.45</v>
      </c>
      <c r="J188" s="50" t="n">
        <v>3.62</v>
      </c>
      <c r="K188" s="50" t="inlineStr">
        <is>
          <t>Pass</t>
        </is>
      </c>
      <c r="L188" s="51" t="n"/>
      <c r="M188" s="51" t="n"/>
      <c r="N188" s="51" t="n"/>
    </row>
    <row r="189" ht="13.5" customHeight="1" s="38">
      <c r="A189" s="73" t="inlineStr">
        <is>
          <t>R_0186</t>
        </is>
      </c>
      <c r="B189" s="49" t="inlineStr">
        <is>
          <t>3.5 | 3.7</t>
        </is>
      </c>
      <c r="C189" s="50" t="inlineStr">
        <is>
          <t>1.225 | 1.295</t>
        </is>
      </c>
      <c r="D189" s="49" t="inlineStr">
        <is>
          <t>3.4 | 3.1</t>
        </is>
      </c>
      <c r="E189" s="50" t="inlineStr">
        <is>
          <t>1.02 | 0.93</t>
        </is>
      </c>
      <c r="F189" s="49" t="inlineStr">
        <is>
          <t>3.3 | 2.7</t>
        </is>
      </c>
      <c r="G189" s="50" t="inlineStr">
        <is>
          <t>0.66 | 0.54</t>
        </is>
      </c>
      <c r="H189" s="49" t="inlineStr">
        <is>
          <t>3.0 | 2.2</t>
        </is>
      </c>
      <c r="I189" s="50" t="inlineStr">
        <is>
          <t>0.45 | 0.33</t>
        </is>
      </c>
      <c r="J189" s="50" t="inlineStr">
        <is>
          <t>3.36 | 3.095</t>
        </is>
      </c>
      <c r="K189" s="50" t="inlineStr">
        <is>
          <t>Fail | Fail</t>
        </is>
      </c>
      <c r="L189" s="51" t="n"/>
      <c r="M189" s="51" t="n"/>
      <c r="N189" s="51" t="n"/>
    </row>
    <row r="190" ht="13.5" customHeight="1" s="38">
      <c r="A190" s="73" t="inlineStr">
        <is>
          <t>R_0187</t>
        </is>
      </c>
      <c r="B190" s="49" t="n">
        <v>3.2</v>
      </c>
      <c r="C190" s="50" t="n">
        <v>1.12</v>
      </c>
      <c r="D190" s="49" t="n">
        <v>2.6</v>
      </c>
      <c r="E190" s="50" t="n">
        <v>0.78</v>
      </c>
      <c r="F190" s="49" t="n">
        <v>3.6</v>
      </c>
      <c r="G190" s="50" t="n">
        <v>0.72</v>
      </c>
      <c r="H190" s="49" t="n">
        <v>3.3</v>
      </c>
      <c r="I190" s="50" t="n">
        <v>0.495</v>
      </c>
      <c r="J190" s="50" t="n">
        <v>3.12</v>
      </c>
      <c r="K190" s="50" t="inlineStr">
        <is>
          <t>Fail</t>
        </is>
      </c>
      <c r="L190" s="51" t="n"/>
      <c r="M190" s="51" t="n"/>
      <c r="N190" s="51" t="n"/>
    </row>
    <row r="191" ht="13.5" customHeight="1" s="38">
      <c r="A191" s="73" t="inlineStr">
        <is>
          <t>R_0188</t>
        </is>
      </c>
      <c r="B191" s="49" t="n">
        <v>3.2</v>
      </c>
      <c r="C191" s="50" t="n">
        <v>1.12</v>
      </c>
      <c r="D191" s="49" t="n">
        <v>3.7</v>
      </c>
      <c r="E191" s="50" t="n">
        <v>1.11</v>
      </c>
      <c r="F191" s="49" t="n">
        <v>3.6</v>
      </c>
      <c r="G191" s="50" t="n">
        <v>0.72</v>
      </c>
      <c r="H191" s="49" t="n">
        <v>3.2</v>
      </c>
      <c r="I191" s="50" t="n">
        <v>0.48</v>
      </c>
      <c r="J191" s="50" t="n">
        <v>3.43</v>
      </c>
      <c r="K191" s="50" t="inlineStr">
        <is>
          <t>Fail</t>
        </is>
      </c>
      <c r="L191" s="51" t="n"/>
      <c r="M191" s="51" t="n"/>
      <c r="N191" s="51" t="n"/>
    </row>
    <row r="192" ht="13.5" customHeight="1" s="38">
      <c r="A192" s="73" t="inlineStr">
        <is>
          <t>R_0189</t>
        </is>
      </c>
      <c r="B192" s="49" t="n">
        <v>3.6</v>
      </c>
      <c r="C192" s="50" t="n">
        <v>1.26</v>
      </c>
      <c r="D192" s="49" t="n">
        <v>3.8</v>
      </c>
      <c r="E192" s="50" t="n">
        <v>1.14</v>
      </c>
      <c r="F192" s="49" t="n">
        <v>3</v>
      </c>
      <c r="G192" s="50" t="n">
        <v>0.6</v>
      </c>
      <c r="H192" s="49" t="n">
        <v>3</v>
      </c>
      <c r="I192" s="50" t="n">
        <v>0.45</v>
      </c>
      <c r="J192" s="50" t="n">
        <v>3.45</v>
      </c>
      <c r="K192" s="50" t="inlineStr">
        <is>
          <t>Fail</t>
        </is>
      </c>
      <c r="L192" s="51" t="n"/>
      <c r="M192" s="51" t="n"/>
      <c r="N192" s="51" t="n"/>
    </row>
    <row r="193" ht="13.5" customHeight="1" s="38">
      <c r="A193" s="73" t="inlineStr">
        <is>
          <t>R_0190</t>
        </is>
      </c>
      <c r="B193" s="49" t="inlineStr">
        <is>
          <t>3.6 | 3.7</t>
        </is>
      </c>
      <c r="C193" s="50" t="inlineStr">
        <is>
          <t>1.26 | 1.295</t>
        </is>
      </c>
      <c r="D193" s="49" t="inlineStr">
        <is>
          <t>3.8 | 3.8</t>
        </is>
      </c>
      <c r="E193" s="50" t="inlineStr">
        <is>
          <t>1.14 | 1.14</t>
        </is>
      </c>
      <c r="F193" s="49" t="inlineStr">
        <is>
          <t>3.2 | 3.6</t>
        </is>
      </c>
      <c r="G193" s="50" t="inlineStr">
        <is>
          <t>0.64 | 0.82</t>
        </is>
      </c>
      <c r="H193" s="49" t="inlineStr">
        <is>
          <t>3.0 | 2.9</t>
        </is>
      </c>
      <c r="I193" s="50" t="inlineStr">
        <is>
          <t>0.45 | 0.435</t>
        </is>
      </c>
      <c r="J193" s="50" t="inlineStr">
        <is>
          <t>3.49 | 3.69</t>
        </is>
      </c>
      <c r="K193" s="50" t="inlineStr">
        <is>
          <t>Fail | Pass</t>
        </is>
      </c>
      <c r="L193" s="51" t="n"/>
      <c r="M193" s="51" t="n"/>
      <c r="N193" s="51" t="n"/>
    </row>
    <row r="194" ht="13.5" customHeight="1" s="38">
      <c r="A194" s="73" t="inlineStr">
        <is>
          <t>R_0191</t>
        </is>
      </c>
      <c r="B194" s="49" t="n">
        <v>3.2</v>
      </c>
      <c r="C194" s="50" t="n">
        <v>1.12</v>
      </c>
      <c r="D194" s="49" t="n">
        <v>3.7</v>
      </c>
      <c r="E194" s="50" t="n">
        <v>1.11</v>
      </c>
      <c r="F194" s="49" t="n">
        <v>3.7</v>
      </c>
      <c r="G194" s="50" t="n">
        <v>0.74</v>
      </c>
      <c r="H194" s="49" t="n">
        <v>3.3</v>
      </c>
      <c r="I194" s="50" t="n">
        <v>0.495</v>
      </c>
      <c r="J194" s="50" t="n">
        <v>3.47</v>
      </c>
      <c r="K194" s="50" t="inlineStr">
        <is>
          <t>Fail</t>
        </is>
      </c>
      <c r="L194" s="51" t="n"/>
      <c r="M194" s="51" t="n"/>
      <c r="N194" s="51" t="n"/>
    </row>
    <row r="195" ht="13.5" customHeight="1" s="38">
      <c r="A195" s="73" t="inlineStr">
        <is>
          <t>R_0192</t>
        </is>
      </c>
      <c r="B195" s="49" t="n">
        <v>3.4</v>
      </c>
      <c r="C195" s="50" t="n">
        <v>1.19</v>
      </c>
      <c r="D195" s="49" t="n">
        <v>3.2</v>
      </c>
      <c r="E195" s="50" t="n">
        <v>0.96</v>
      </c>
      <c r="F195" s="49" t="n">
        <v>3.7</v>
      </c>
      <c r="G195" s="50" t="n">
        <v>0.74</v>
      </c>
      <c r="H195" s="49" t="n">
        <v>2.8</v>
      </c>
      <c r="I195" s="50" t="n">
        <v>0.42</v>
      </c>
      <c r="J195" s="50" t="n">
        <v>3.31</v>
      </c>
      <c r="K195" s="50" t="inlineStr">
        <is>
          <t>Fail</t>
        </is>
      </c>
      <c r="L195" s="51" t="n"/>
      <c r="M195" s="51" t="n"/>
      <c r="N195" s="51" t="n"/>
    </row>
    <row r="196" ht="13.5" customHeight="1" s="38">
      <c r="A196" s="73" t="inlineStr">
        <is>
          <t>R_0193</t>
        </is>
      </c>
      <c r="B196" s="49" t="inlineStr">
        <is>
          <t>3.7 | 2.9</t>
        </is>
      </c>
      <c r="C196" s="50" t="inlineStr">
        <is>
          <t>1.295 | 1.015</t>
        </is>
      </c>
      <c r="D196" s="49" t="inlineStr">
        <is>
          <t>4.2 | 2.1</t>
        </is>
      </c>
      <c r="E196" s="50" t="inlineStr">
        <is>
          <t>1.26 | 0.63</t>
        </is>
      </c>
      <c r="F196" s="49" t="inlineStr">
        <is>
          <t>3.1 | 2.1</t>
        </is>
      </c>
      <c r="G196" s="50" t="inlineStr">
        <is>
          <t>0.62 | 0.42</t>
        </is>
      </c>
      <c r="H196" s="49" t="inlineStr">
        <is>
          <t>3.0 | 2.2</t>
        </is>
      </c>
      <c r="I196" s="50" t="inlineStr">
        <is>
          <t>0.45 | 0.33</t>
        </is>
      </c>
      <c r="J196" s="50" t="inlineStr">
        <is>
          <t>3.62 | 2.395</t>
        </is>
      </c>
      <c r="K196" s="50" t="inlineStr">
        <is>
          <t xml:space="preserve">Pass | Fail </t>
        </is>
      </c>
      <c r="L196" s="51" t="n"/>
      <c r="M196" s="51" t="n"/>
      <c r="N196" s="51" t="n"/>
    </row>
    <row r="197" ht="13.5" customHeight="1" s="38">
      <c r="A197" s="73" t="inlineStr">
        <is>
          <t>R_0194</t>
        </is>
      </c>
      <c r="B197" s="49" t="n">
        <v>3</v>
      </c>
      <c r="C197" s="50" t="n">
        <v>1.05</v>
      </c>
      <c r="D197" s="49" t="n">
        <v>2.6</v>
      </c>
      <c r="E197" s="50" t="n">
        <v>0.78</v>
      </c>
      <c r="F197" s="49" t="n">
        <v>3.6</v>
      </c>
      <c r="G197" s="50" t="n">
        <v>0.72</v>
      </c>
      <c r="H197" s="49" t="n">
        <v>3</v>
      </c>
      <c r="I197" s="50" t="n">
        <v>0.45</v>
      </c>
      <c r="J197" s="50" t="n">
        <v>3</v>
      </c>
      <c r="K197" s="50" t="inlineStr">
        <is>
          <t>Fail</t>
        </is>
      </c>
      <c r="L197" s="51" t="n"/>
      <c r="M197" s="51" t="n"/>
      <c r="N197" s="51" t="n"/>
    </row>
    <row r="198" ht="13.5" customHeight="1" s="38">
      <c r="A198" s="73" t="inlineStr">
        <is>
          <t>R_0195</t>
        </is>
      </c>
      <c r="B198" s="49" t="n">
        <v>3.2</v>
      </c>
      <c r="C198" s="50" t="n">
        <v>1.12</v>
      </c>
      <c r="D198" s="49" t="n">
        <v>3.7</v>
      </c>
      <c r="E198" s="50" t="n">
        <v>1.11</v>
      </c>
      <c r="F198" s="49" t="n">
        <v>3.7</v>
      </c>
      <c r="G198" s="50" t="n">
        <v>0.74</v>
      </c>
      <c r="H198" s="49" t="n">
        <v>3.2</v>
      </c>
      <c r="I198" s="50" t="n">
        <v>0.48</v>
      </c>
      <c r="J198" s="50" t="n">
        <v>3.45</v>
      </c>
      <c r="K198" s="50" t="inlineStr">
        <is>
          <t>Fail</t>
        </is>
      </c>
      <c r="L198" s="51" t="n"/>
      <c r="M198" s="51" t="n"/>
      <c r="N198" s="51" t="n"/>
    </row>
    <row r="199" ht="13.5" customHeight="1" s="38">
      <c r="A199" s="73" t="inlineStr">
        <is>
          <t>R_0196</t>
        </is>
      </c>
      <c r="B199" s="49" t="n">
        <v>3.7</v>
      </c>
      <c r="C199" s="50" t="n">
        <v>1.295</v>
      </c>
      <c r="D199" s="49" t="n">
        <v>4</v>
      </c>
      <c r="E199" s="50" t="n">
        <v>1.2</v>
      </c>
      <c r="F199" s="49" t="n">
        <v>3.4</v>
      </c>
      <c r="G199" s="50" t="n">
        <v>0.68</v>
      </c>
      <c r="H199" s="49" t="n">
        <v>3</v>
      </c>
      <c r="I199" s="50" t="n">
        <v>0.45</v>
      </c>
      <c r="J199" s="50" t="n">
        <v>3.63</v>
      </c>
      <c r="K199" s="50" t="inlineStr">
        <is>
          <t>Pass</t>
        </is>
      </c>
      <c r="L199" s="51" t="n"/>
      <c r="M199" s="51" t="n"/>
      <c r="N199" s="51" t="n"/>
    </row>
    <row r="200" ht="13.5" customHeight="1" s="38">
      <c r="A200" s="73" t="inlineStr">
        <is>
          <t>R_0197</t>
        </is>
      </c>
      <c r="B200" s="49" t="n">
        <v>4</v>
      </c>
      <c r="C200" s="50" t="n">
        <v>1.4</v>
      </c>
      <c r="D200" s="49" t="n">
        <v>3.9</v>
      </c>
      <c r="E200" s="50" t="n">
        <v>1.17</v>
      </c>
      <c r="F200" s="49" t="n">
        <v>3.7</v>
      </c>
      <c r="G200" s="50" t="n">
        <v>0.74</v>
      </c>
      <c r="H200" s="49" t="n">
        <v>4.7</v>
      </c>
      <c r="I200" s="50" t="n">
        <v>0.705</v>
      </c>
      <c r="J200" s="50" t="n">
        <v>4.01</v>
      </c>
      <c r="K200" s="50" t="inlineStr">
        <is>
          <t>Pass</t>
        </is>
      </c>
      <c r="L200" s="51" t="n"/>
      <c r="M200" s="51" t="n"/>
      <c r="N200" s="51" t="n"/>
    </row>
    <row r="201" ht="13.5" customHeight="1" s="38">
      <c r="A201" s="73" t="inlineStr">
        <is>
          <t>R_0198</t>
        </is>
      </c>
      <c r="B201" s="49" t="n">
        <v>3.5</v>
      </c>
      <c r="C201" s="50" t="n">
        <v>1.225</v>
      </c>
      <c r="D201" s="49" t="n">
        <v>2.8</v>
      </c>
      <c r="E201" s="50" t="n">
        <v>0.84</v>
      </c>
      <c r="F201" s="49" t="n">
        <v>3.7</v>
      </c>
      <c r="G201" s="50" t="n">
        <v>0.74</v>
      </c>
      <c r="H201" s="49" t="n">
        <v>3.6</v>
      </c>
      <c r="I201" s="50" t="n">
        <v>0.54</v>
      </c>
      <c r="J201" s="50" t="n">
        <v>3.34</v>
      </c>
      <c r="K201" s="50" t="inlineStr">
        <is>
          <t>Fail</t>
        </is>
      </c>
      <c r="L201" s="51" t="n"/>
      <c r="M201" s="51" t="n"/>
      <c r="N201" s="51" t="n"/>
    </row>
    <row r="202" ht="13.5" customHeight="1" s="38">
      <c r="A202" s="73" t="inlineStr">
        <is>
          <t>R_0199</t>
        </is>
      </c>
      <c r="B202" s="49" t="n">
        <v>3.7</v>
      </c>
      <c r="C202" s="50" t="n">
        <v>1.295</v>
      </c>
      <c r="D202" s="49" t="n">
        <v>4.2</v>
      </c>
      <c r="E202" s="50" t="n">
        <v>1.26</v>
      </c>
      <c r="F202" s="49" t="n">
        <v>3.1</v>
      </c>
      <c r="G202" s="50" t="n">
        <v>0.62</v>
      </c>
      <c r="H202" s="49" t="n">
        <v>3</v>
      </c>
      <c r="I202" s="50" t="n">
        <v>0.45</v>
      </c>
      <c r="J202" s="50" t="n">
        <v>3.62</v>
      </c>
      <c r="K202" s="50" t="inlineStr">
        <is>
          <t>Pass</t>
        </is>
      </c>
      <c r="L202" s="51" t="n"/>
      <c r="M202" s="51" t="n"/>
      <c r="N202" s="51" t="n"/>
    </row>
    <row r="203" ht="13.5" customHeight="1" s="38">
      <c r="A203" s="73" t="inlineStr">
        <is>
          <t>R_0200</t>
        </is>
      </c>
      <c r="B203" s="49" t="n">
        <v>3.2</v>
      </c>
      <c r="C203" s="50" t="n">
        <v>1.12</v>
      </c>
      <c r="D203" s="49" t="n">
        <v>2.9</v>
      </c>
      <c r="E203" s="50" t="n">
        <v>0.87</v>
      </c>
      <c r="F203" s="49" t="n">
        <v>3.6</v>
      </c>
      <c r="G203" s="50" t="n">
        <v>0.72</v>
      </c>
      <c r="H203" s="49" t="n">
        <v>3</v>
      </c>
      <c r="I203" s="50" t="n">
        <v>0.45</v>
      </c>
      <c r="J203" s="50" t="n">
        <v>3.16</v>
      </c>
      <c r="K203" s="50" t="inlineStr">
        <is>
          <t>Fail</t>
        </is>
      </c>
      <c r="L203" s="51" t="n"/>
      <c r="M203" s="51" t="n"/>
      <c r="N203" s="51" t="n"/>
    </row>
    <row r="204" ht="13.5" customHeight="1" s="38">
      <c r="A204" s="73" t="inlineStr">
        <is>
          <t>R_0201</t>
        </is>
      </c>
      <c r="B204" s="49" t="n">
        <v>3.6</v>
      </c>
      <c r="C204" s="50" t="n">
        <v>1.26</v>
      </c>
      <c r="D204" s="49" t="n">
        <v>3.6</v>
      </c>
      <c r="E204" s="50" t="n">
        <v>1.08</v>
      </c>
      <c r="F204" s="49" t="n">
        <v>3.7</v>
      </c>
      <c r="G204" s="50" t="n">
        <v>0.74</v>
      </c>
      <c r="H204" s="49" t="n">
        <v>3</v>
      </c>
      <c r="I204" s="50" t="n">
        <v>0.45</v>
      </c>
      <c r="J204" s="50" t="n">
        <v>3.53</v>
      </c>
      <c r="K204" s="50" t="inlineStr">
        <is>
          <t>Pass</t>
        </is>
      </c>
      <c r="L204" s="51" t="n"/>
      <c r="M204" s="51" t="n"/>
      <c r="N204" s="51" t="n"/>
    </row>
    <row r="205" ht="13.5" customHeight="1" s="38">
      <c r="A205" s="73" t="inlineStr">
        <is>
          <t>R_0202</t>
        </is>
      </c>
      <c r="B205" s="49" t="n">
        <v>2.5</v>
      </c>
      <c r="C205" s="50" t="n">
        <v>0.875</v>
      </c>
      <c r="D205" s="49" t="n">
        <v>3.2</v>
      </c>
      <c r="E205" s="50" t="n">
        <v>0.96</v>
      </c>
      <c r="F205" s="49" t="n">
        <v>3.2</v>
      </c>
      <c r="G205" s="50" t="n">
        <v>0.64</v>
      </c>
      <c r="H205" s="49" t="n">
        <v>2.5</v>
      </c>
      <c r="I205" s="50" t="n">
        <v>0.375</v>
      </c>
      <c r="J205" s="50" t="n">
        <v>2.85</v>
      </c>
      <c r="K205" s="50" t="inlineStr">
        <is>
          <t>Fail</t>
        </is>
      </c>
      <c r="L205" s="51" t="n"/>
      <c r="M205" s="51" t="n"/>
      <c r="N205" s="51" t="n"/>
    </row>
    <row r="206" ht="13.5" customHeight="1" s="38">
      <c r="A206" s="73" t="inlineStr">
        <is>
          <t>R_0203</t>
        </is>
      </c>
      <c r="B206" s="49" t="n">
        <v>3.4</v>
      </c>
      <c r="C206" s="50" t="n">
        <v>1.19</v>
      </c>
      <c r="D206" s="49" t="n">
        <v>4.2</v>
      </c>
      <c r="E206" s="50" t="n">
        <v>1.26</v>
      </c>
      <c r="F206" s="49" t="n">
        <v>3.2</v>
      </c>
      <c r="G206" s="50" t="n">
        <v>0.64</v>
      </c>
      <c r="H206" s="49" t="n">
        <v>3</v>
      </c>
      <c r="I206" s="50" t="n">
        <v>0.45</v>
      </c>
      <c r="J206" s="50" t="n">
        <v>3.54</v>
      </c>
      <c r="K206" s="50" t="inlineStr">
        <is>
          <t>Pass</t>
        </is>
      </c>
      <c r="L206" s="51" t="n"/>
      <c r="M206" s="51" t="n"/>
      <c r="N206" s="51" t="n"/>
    </row>
    <row r="207" ht="13.5" customHeight="1" s="38">
      <c r="A207" s="73" t="inlineStr">
        <is>
          <t>R_0204</t>
        </is>
      </c>
      <c r="B207" s="49" t="n">
        <v>3.4</v>
      </c>
      <c r="C207" s="50" t="n">
        <v>1.19</v>
      </c>
      <c r="D207" s="49" t="n">
        <v>3.7</v>
      </c>
      <c r="E207" s="50" t="n">
        <v>1.11</v>
      </c>
      <c r="F207" s="49" t="n">
        <v>3.8</v>
      </c>
      <c r="G207" s="50" t="n">
        <v>0.76</v>
      </c>
      <c r="H207" s="49" t="n">
        <v>4.7</v>
      </c>
      <c r="I207" s="50" t="n">
        <v>0.705</v>
      </c>
      <c r="J207" s="50" t="n">
        <v>3.76</v>
      </c>
      <c r="K207" s="50" t="inlineStr">
        <is>
          <t>Pass</t>
        </is>
      </c>
      <c r="L207" s="51" t="n"/>
      <c r="M207" s="51" t="n"/>
      <c r="N207" s="51" t="n"/>
    </row>
    <row r="208" ht="13.5" customHeight="1" s="38">
      <c r="A208" s="73" t="inlineStr">
        <is>
          <t>R_0205</t>
        </is>
      </c>
      <c r="B208" s="49" t="inlineStr">
        <is>
          <t>3.5 | 3.4</t>
        </is>
      </c>
      <c r="C208" s="50" t="inlineStr">
        <is>
          <t>1.225 | 1.19</t>
        </is>
      </c>
      <c r="D208" s="49" t="inlineStr">
        <is>
          <t>2.9 | 3.6</t>
        </is>
      </c>
      <c r="E208" s="50" t="inlineStr">
        <is>
          <t>0.87 | 1.08</t>
        </is>
      </c>
      <c r="F208" s="49" t="inlineStr">
        <is>
          <t>3.7 | 3.7</t>
        </is>
      </c>
      <c r="G208" s="50" t="inlineStr">
        <is>
          <t>0.74 | 0.74</t>
        </is>
      </c>
      <c r="H208" s="49" t="inlineStr">
        <is>
          <t>3.6 | 3.4</t>
        </is>
      </c>
      <c r="I208" s="50" t="inlineStr">
        <is>
          <t>0.54 | 0.51</t>
        </is>
      </c>
      <c r="J208" s="50" t="inlineStr">
        <is>
          <t>3.38 | 3.52</t>
        </is>
      </c>
      <c r="K208" s="50" t="inlineStr">
        <is>
          <t>Fail | Pass</t>
        </is>
      </c>
      <c r="L208" s="51" t="n"/>
      <c r="M208" s="51" t="n"/>
      <c r="N208" s="51" t="n"/>
    </row>
    <row r="209" ht="13.5" customHeight="1" s="38">
      <c r="A209" s="73" t="inlineStr">
        <is>
          <t>R_0206</t>
        </is>
      </c>
      <c r="B209" s="49" t="n">
        <v>3.5</v>
      </c>
      <c r="C209" s="50" t="n">
        <v>1.225</v>
      </c>
      <c r="D209" s="49" t="n">
        <v>3.9</v>
      </c>
      <c r="E209" s="50" t="n">
        <v>1.17</v>
      </c>
      <c r="F209" s="49" t="n">
        <v>3.7</v>
      </c>
      <c r="G209" s="50" t="n">
        <v>0.74</v>
      </c>
      <c r="H209" s="49" t="n">
        <v>3.2</v>
      </c>
      <c r="I209" s="50" t="n">
        <v>0.48</v>
      </c>
      <c r="J209" s="50" t="n">
        <v>3.61</v>
      </c>
      <c r="K209" s="50" t="inlineStr">
        <is>
          <t>Pass</t>
        </is>
      </c>
      <c r="L209" s="51" t="n"/>
      <c r="M209" s="51" t="n"/>
      <c r="N209" s="51" t="n"/>
    </row>
    <row r="210" ht="13.5" customHeight="1" s="38">
      <c r="A210" s="73" t="inlineStr">
        <is>
          <t>R_0207</t>
        </is>
      </c>
      <c r="B210" s="49" t="n">
        <v>3</v>
      </c>
      <c r="C210" s="50" t="n">
        <v>1.05</v>
      </c>
      <c r="D210" s="49" t="n">
        <v>3.9</v>
      </c>
      <c r="E210" s="50" t="n">
        <v>1.17</v>
      </c>
      <c r="F210" s="49" t="n">
        <v>3.5</v>
      </c>
      <c r="G210" s="50" t="n">
        <v>0.7</v>
      </c>
      <c r="H210" s="49" t="n">
        <v>3.9</v>
      </c>
      <c r="I210" s="50" t="n">
        <v>0.585</v>
      </c>
      <c r="J210" s="50" t="n">
        <v>3.5</v>
      </c>
      <c r="K210" s="50" t="inlineStr">
        <is>
          <t>Pass</t>
        </is>
      </c>
      <c r="L210" s="51" t="n"/>
      <c r="M210" s="51" t="n"/>
      <c r="N210" s="51" t="n"/>
    </row>
    <row r="211" ht="13.5" customHeight="1" s="38">
      <c r="A211" s="73" t="inlineStr">
        <is>
          <t>R_0208</t>
        </is>
      </c>
      <c r="B211" s="49" t="n">
        <v>3.2</v>
      </c>
      <c r="C211" s="50" t="n">
        <v>1.12</v>
      </c>
      <c r="D211" s="49" t="n">
        <v>3.7</v>
      </c>
      <c r="E211" s="50" t="n">
        <v>1.11</v>
      </c>
      <c r="F211" s="49" t="n">
        <v>3.5</v>
      </c>
      <c r="G211" s="50" t="n">
        <v>0.7</v>
      </c>
      <c r="H211" s="49" t="n">
        <v>3.9</v>
      </c>
      <c r="I211" s="50" t="n">
        <v>0.585</v>
      </c>
      <c r="J211" s="50" t="n">
        <v>3.52</v>
      </c>
      <c r="K211" s="50" t="inlineStr">
        <is>
          <t>Pass</t>
        </is>
      </c>
      <c r="L211" s="51" t="n"/>
      <c r="M211" s="51" t="n"/>
      <c r="N211" s="51" t="n"/>
    </row>
    <row r="212" ht="13.5" customHeight="1" s="38">
      <c r="A212" s="73" t="inlineStr">
        <is>
          <t>R_0209</t>
        </is>
      </c>
      <c r="B212" s="49" t="n">
        <v>3.5</v>
      </c>
      <c r="C212" s="50" t="n">
        <v>1.225</v>
      </c>
      <c r="D212" s="49" t="n">
        <v>3.2</v>
      </c>
      <c r="E212" s="50" t="n">
        <v>0.96</v>
      </c>
      <c r="F212" s="49" t="n">
        <v>3.6</v>
      </c>
      <c r="G212" s="50" t="n">
        <v>0.72</v>
      </c>
      <c r="H212" s="49" t="n">
        <v>3.4</v>
      </c>
      <c r="I212" s="50" t="n">
        <v>0.51</v>
      </c>
      <c r="J212" s="50" t="n">
        <v>3.42</v>
      </c>
      <c r="K212" s="50" t="inlineStr">
        <is>
          <t>Fail</t>
        </is>
      </c>
      <c r="L212" s="51" t="n"/>
      <c r="M212" s="51" t="n"/>
      <c r="N212" s="51" t="n"/>
    </row>
    <row r="213" ht="13.5" customHeight="1" s="38">
      <c r="A213" s="73" t="inlineStr">
        <is>
          <t>R_0210</t>
        </is>
      </c>
      <c r="B213" s="49" t="n">
        <v>3.9</v>
      </c>
      <c r="C213" s="50" t="n">
        <v>1.365</v>
      </c>
      <c r="D213" s="49" t="n">
        <v>3.3</v>
      </c>
      <c r="E213" s="50" t="n">
        <v>0.99</v>
      </c>
      <c r="F213" s="49" t="n">
        <v>3.4</v>
      </c>
      <c r="G213" s="50" t="n">
        <v>0.68</v>
      </c>
      <c r="H213" s="49" t="n">
        <v>2.8</v>
      </c>
      <c r="I213" s="50" t="n">
        <v>0.42</v>
      </c>
      <c r="J213" s="50" t="n">
        <v>3.46</v>
      </c>
      <c r="K213" s="50" t="inlineStr">
        <is>
          <t>Fail</t>
        </is>
      </c>
      <c r="L213" s="51" t="n"/>
      <c r="M213" s="51" t="n"/>
      <c r="N213" s="51" t="n"/>
    </row>
    <row r="214" ht="13.5" customHeight="1" s="38">
      <c r="A214" s="73" t="inlineStr">
        <is>
          <t>R_0211</t>
        </is>
      </c>
      <c r="B214" s="49" t="n">
        <v>3.7</v>
      </c>
      <c r="C214" s="50" t="n">
        <v>1.295</v>
      </c>
      <c r="D214" s="49" t="n">
        <v>4</v>
      </c>
      <c r="E214" s="50" t="n">
        <v>1.2</v>
      </c>
      <c r="F214" s="49" t="n">
        <v>3.1</v>
      </c>
      <c r="G214" s="50" t="n">
        <v>0.62</v>
      </c>
      <c r="H214" s="49" t="n">
        <v>3</v>
      </c>
      <c r="I214" s="50" t="n">
        <v>0.45</v>
      </c>
      <c r="J214" s="50" t="n">
        <v>3.57</v>
      </c>
      <c r="K214" s="50" t="inlineStr">
        <is>
          <t>Pass</t>
        </is>
      </c>
      <c r="L214" s="51" t="n"/>
      <c r="M214" s="51" t="n"/>
      <c r="N214" s="51" t="n"/>
    </row>
    <row r="215" ht="13.5" customHeight="1" s="38">
      <c r="A215" s="73" t="inlineStr">
        <is>
          <t>R_0212</t>
        </is>
      </c>
      <c r="B215" s="49" t="n">
        <v>3.4</v>
      </c>
      <c r="C215" s="50" t="n">
        <v>1.19</v>
      </c>
      <c r="D215" s="49" t="n">
        <v>2.9</v>
      </c>
      <c r="E215" s="50" t="n">
        <v>0.87</v>
      </c>
      <c r="F215" s="49" t="n">
        <v>3.4</v>
      </c>
      <c r="G215" s="50" t="n">
        <v>0.68</v>
      </c>
      <c r="H215" s="49" t="n">
        <v>2.8</v>
      </c>
      <c r="I215" s="50" t="n">
        <v>0.42</v>
      </c>
      <c r="J215" s="50" t="n">
        <v>3.16</v>
      </c>
      <c r="K215" s="50" t="inlineStr">
        <is>
          <t>Fail</t>
        </is>
      </c>
      <c r="L215" s="51" t="n"/>
      <c r="M215" s="51" t="n"/>
      <c r="N215" s="51" t="n"/>
    </row>
    <row r="216" ht="13.5" customHeight="1" s="38">
      <c r="A216" s="73" t="inlineStr">
        <is>
          <t>R_0213</t>
        </is>
      </c>
      <c r="B216" s="49" t="n">
        <v>3</v>
      </c>
      <c r="C216" s="50" t="n">
        <v>1.05</v>
      </c>
      <c r="D216" s="49" t="n">
        <v>3.6</v>
      </c>
      <c r="E216" s="50" t="n">
        <v>1.08</v>
      </c>
      <c r="F216" s="49" t="n">
        <v>3.6</v>
      </c>
      <c r="G216" s="50" t="n">
        <v>0.72</v>
      </c>
      <c r="H216" s="49" t="n">
        <v>2.8</v>
      </c>
      <c r="I216" s="50" t="n">
        <v>0.42</v>
      </c>
      <c r="J216" s="50" t="n">
        <v>3.27</v>
      </c>
      <c r="K216" s="50" t="inlineStr">
        <is>
          <t>Fail</t>
        </is>
      </c>
      <c r="L216" s="51" t="n"/>
      <c r="M216" s="51" t="n"/>
      <c r="N216" s="51" t="n"/>
    </row>
    <row r="217" ht="13.5" customHeight="1" s="38">
      <c r="A217" s="73" t="inlineStr">
        <is>
          <t>R_0214</t>
        </is>
      </c>
      <c r="B217" s="49" t="n">
        <v>3.5</v>
      </c>
      <c r="C217" s="50" t="n">
        <v>1.225</v>
      </c>
      <c r="D217" s="49" t="n">
        <v>3.7</v>
      </c>
      <c r="E217" s="50" t="n">
        <v>1.11</v>
      </c>
      <c r="F217" s="49" t="n">
        <v>3.2</v>
      </c>
      <c r="G217" s="50" t="n">
        <v>0.64</v>
      </c>
      <c r="H217" s="49" t="n">
        <v>3</v>
      </c>
      <c r="I217" s="50" t="n">
        <v>0.45</v>
      </c>
      <c r="J217" s="50" t="n">
        <v>3.43</v>
      </c>
      <c r="K217" s="50" t="inlineStr">
        <is>
          <t>Fail</t>
        </is>
      </c>
      <c r="L217" s="51" t="n"/>
      <c r="M217" s="51" t="n"/>
      <c r="N217" s="51" t="n"/>
    </row>
    <row r="218" ht="13.5" customHeight="1" s="38">
      <c r="A218" s="73" t="inlineStr">
        <is>
          <t>R_0215</t>
        </is>
      </c>
      <c r="B218" s="49" t="n">
        <v>3.5</v>
      </c>
      <c r="C218" s="50" t="n">
        <v>1.225</v>
      </c>
      <c r="D218" s="49" t="n">
        <v>3.3</v>
      </c>
      <c r="E218" s="50" t="n">
        <v>0.99</v>
      </c>
      <c r="F218" s="49" t="n">
        <v>3.7</v>
      </c>
      <c r="G218" s="50" t="n">
        <v>0.74</v>
      </c>
      <c r="H218" s="49" t="n">
        <v>3.6</v>
      </c>
      <c r="I218" s="50" t="n">
        <v>0.54</v>
      </c>
      <c r="J218" s="50" t="n">
        <v>3.5</v>
      </c>
      <c r="K218" s="50" t="inlineStr">
        <is>
          <t>Pass</t>
        </is>
      </c>
      <c r="L218" s="51" t="n"/>
      <c r="M218" s="51" t="n"/>
      <c r="N218" s="51" t="n"/>
    </row>
    <row r="219" ht="13.5" customHeight="1" s="38">
      <c r="A219" s="73" t="inlineStr">
        <is>
          <t>R_0216</t>
        </is>
      </c>
      <c r="B219" s="49" t="n">
        <v>2.8</v>
      </c>
      <c r="C219" s="50" t="n">
        <v>0.98</v>
      </c>
      <c r="D219" s="49" t="n">
        <v>3.2</v>
      </c>
      <c r="E219" s="50" t="n">
        <v>0.96</v>
      </c>
      <c r="F219" s="49" t="n">
        <v>3.6</v>
      </c>
      <c r="G219" s="50" t="n">
        <v>0.72</v>
      </c>
      <c r="H219" s="49" t="n">
        <v>3.9</v>
      </c>
      <c r="I219" s="50" t="n">
        <v>0.585</v>
      </c>
      <c r="J219" s="50" t="n">
        <v>3.25</v>
      </c>
      <c r="K219" s="50" t="inlineStr">
        <is>
          <t>Fail</t>
        </is>
      </c>
      <c r="L219" s="51" t="n"/>
      <c r="M219" s="51" t="n"/>
      <c r="N219" s="51" t="n"/>
    </row>
    <row r="220" ht="13.5" customHeight="1" s="38">
      <c r="A220" s="73" t="inlineStr">
        <is>
          <t>R_0217</t>
        </is>
      </c>
      <c r="B220" s="49" t="n">
        <v>3.2</v>
      </c>
      <c r="C220" s="50" t="n">
        <v>1.12</v>
      </c>
      <c r="D220" s="49" t="n">
        <v>3.4</v>
      </c>
      <c r="E220" s="50" t="n">
        <v>1.02</v>
      </c>
      <c r="F220" s="49" t="n">
        <v>3.8</v>
      </c>
      <c r="G220" s="50" t="n">
        <v>0.76</v>
      </c>
      <c r="H220" s="49" t="n">
        <v>4.5</v>
      </c>
      <c r="I220" s="50" t="n">
        <v>0.675</v>
      </c>
      <c r="J220" s="50" t="n">
        <v>3.57</v>
      </c>
      <c r="K220" s="50" t="inlineStr">
        <is>
          <t>Pass</t>
        </is>
      </c>
      <c r="L220" s="51" t="n"/>
      <c r="M220" s="51" t="n"/>
      <c r="N220" s="51" t="n"/>
    </row>
    <row r="221" ht="13.5" customHeight="1" s="38">
      <c r="A221" s="73" t="inlineStr">
        <is>
          <t>R_0218</t>
        </is>
      </c>
      <c r="B221" s="49" t="n">
        <v>3.7</v>
      </c>
      <c r="C221" s="50" t="n">
        <v>1.295</v>
      </c>
      <c r="D221" s="49" t="n">
        <v>3.4</v>
      </c>
      <c r="E221" s="50" t="n">
        <v>1.02</v>
      </c>
      <c r="F221" s="49" t="n">
        <v>3.5</v>
      </c>
      <c r="G221" s="50" t="n">
        <v>0.7</v>
      </c>
      <c r="H221" s="49" t="n">
        <v>3.8</v>
      </c>
      <c r="I221" s="50" t="n">
        <v>0.57</v>
      </c>
      <c r="J221" s="50" t="n">
        <v>3.58</v>
      </c>
      <c r="K221" s="50" t="inlineStr">
        <is>
          <t>Pass</t>
        </is>
      </c>
      <c r="L221" s="51" t="n"/>
      <c r="M221" s="51" t="n"/>
      <c r="N221" s="51" t="n"/>
    </row>
    <row r="222" ht="13.5" customHeight="1" s="38">
      <c r="A222" s="73" t="inlineStr">
        <is>
          <t>R_0219</t>
        </is>
      </c>
      <c r="B222" s="49" t="n">
        <v>3.6</v>
      </c>
      <c r="C222" s="50" t="n">
        <v>1.26</v>
      </c>
      <c r="D222" s="49" t="n">
        <v>3.1</v>
      </c>
      <c r="E222" s="50" t="n">
        <v>0.93</v>
      </c>
      <c r="F222" s="49" t="n">
        <v>3.7</v>
      </c>
      <c r="G222" s="50" t="n">
        <v>0.74</v>
      </c>
      <c r="H222" s="49" t="n">
        <v>3</v>
      </c>
      <c r="I222" s="50" t="n">
        <v>0.45</v>
      </c>
      <c r="J222" s="50" t="n">
        <v>3.38</v>
      </c>
      <c r="K222" s="50" t="inlineStr">
        <is>
          <t>Fail</t>
        </is>
      </c>
      <c r="L222" s="51" t="n"/>
      <c r="M222" s="51" t="n"/>
      <c r="N222" s="51" t="n"/>
    </row>
    <row r="223" ht="13.5" customHeight="1" s="38">
      <c r="A223" s="73" t="inlineStr">
        <is>
          <t>R_0220</t>
        </is>
      </c>
      <c r="B223" s="49" t="n">
        <v>3.2</v>
      </c>
      <c r="C223" s="50" t="n">
        <v>1.12</v>
      </c>
      <c r="D223" s="49" t="n">
        <v>3.8</v>
      </c>
      <c r="E223" s="50" t="n">
        <v>1.14</v>
      </c>
      <c r="F223" s="49" t="n">
        <v>3.7</v>
      </c>
      <c r="G223" s="50" t="n">
        <v>0.74</v>
      </c>
      <c r="H223" s="49" t="n">
        <v>3.2</v>
      </c>
      <c r="I223" s="50" t="n">
        <v>0.48</v>
      </c>
      <c r="J223" s="50" t="n">
        <v>3.48</v>
      </c>
      <c r="K223" s="50" t="inlineStr">
        <is>
          <t>Fail</t>
        </is>
      </c>
      <c r="L223" s="51" t="n"/>
      <c r="M223" s="51" t="n"/>
      <c r="N223" s="51" t="n"/>
    </row>
    <row r="224" ht="13.5" customHeight="1" s="38">
      <c r="A224" s="73" t="inlineStr">
        <is>
          <t>R_0221</t>
        </is>
      </c>
      <c r="B224" s="49" t="n">
        <v>3.9</v>
      </c>
      <c r="C224" s="50" t="n">
        <v>1.365</v>
      </c>
      <c r="D224" s="49" t="n">
        <v>3.5</v>
      </c>
      <c r="E224" s="50" t="n">
        <v>1.05</v>
      </c>
      <c r="F224" s="49" t="n">
        <v>3.7</v>
      </c>
      <c r="G224" s="50" t="n">
        <v>0.74</v>
      </c>
      <c r="H224" s="49" t="n">
        <v>3.9</v>
      </c>
      <c r="I224" s="50" t="n">
        <v>0.585</v>
      </c>
      <c r="J224" s="50" t="n">
        <v>3.74</v>
      </c>
      <c r="K224" s="50" t="inlineStr">
        <is>
          <t>Pass</t>
        </is>
      </c>
      <c r="L224" s="51" t="n"/>
      <c r="M224" s="51" t="n"/>
      <c r="N224" s="51" t="n"/>
    </row>
    <row r="225" ht="13.5" customHeight="1" s="38">
      <c r="A225" s="73" t="inlineStr">
        <is>
          <t>R_0222</t>
        </is>
      </c>
      <c r="B225" s="49" t="n">
        <v>3.5</v>
      </c>
      <c r="C225" s="50" t="n">
        <v>1.225</v>
      </c>
      <c r="D225" s="49" t="n">
        <v>3.6</v>
      </c>
      <c r="E225" s="50" t="n">
        <v>1.08</v>
      </c>
      <c r="F225" s="49" t="n">
        <v>3.3</v>
      </c>
      <c r="G225" s="50" t="n">
        <v>0.66</v>
      </c>
      <c r="H225" s="49" t="n">
        <v>3</v>
      </c>
      <c r="I225" s="50" t="n">
        <v>0.45</v>
      </c>
      <c r="J225" s="50" t="n">
        <v>3.42</v>
      </c>
      <c r="K225" s="50" t="inlineStr">
        <is>
          <t>Fail</t>
        </is>
      </c>
      <c r="L225" s="51" t="n"/>
      <c r="M225" s="51" t="n"/>
      <c r="N225" s="51" t="n"/>
    </row>
    <row r="226" ht="13.5" customHeight="1" s="38">
      <c r="A226" s="73" t="inlineStr">
        <is>
          <t>R_0223</t>
        </is>
      </c>
      <c r="B226" s="49" t="inlineStr">
        <is>
          <t>3.4 | 3.8</t>
        </is>
      </c>
      <c r="C226" s="50" t="inlineStr">
        <is>
          <t>1.19 | 1.33</t>
        </is>
      </c>
      <c r="D226" s="49" t="inlineStr">
        <is>
          <t>2.9 | 3.9</t>
        </is>
      </c>
      <c r="E226" s="50" t="inlineStr">
        <is>
          <t>0.87 | 1.17</t>
        </is>
      </c>
      <c r="F226" s="49" t="inlineStr">
        <is>
          <t>3.6 | 4.1</t>
        </is>
      </c>
      <c r="G226" s="50" t="inlineStr">
        <is>
          <t>0.72 | 0.82</t>
        </is>
      </c>
      <c r="H226" s="49" t="inlineStr">
        <is>
          <t>3.0 | 3.9</t>
        </is>
      </c>
      <c r="I226" s="50" t="inlineStr">
        <is>
          <t>0.45 | .585</t>
        </is>
      </c>
      <c r="J226" s="50" t="inlineStr">
        <is>
          <t>3.23 | 3.905</t>
        </is>
      </c>
      <c r="K226" s="50" t="inlineStr">
        <is>
          <t>Fail | Pass</t>
        </is>
      </c>
      <c r="L226" s="51" t="n"/>
      <c r="M226" s="51" t="n"/>
      <c r="N226" s="51" t="n"/>
    </row>
    <row r="227" ht="13.5" customHeight="1" s="38">
      <c r="A227" s="73" t="inlineStr">
        <is>
          <t>R_0224</t>
        </is>
      </c>
      <c r="B227" s="49" t="n">
        <v>3.3</v>
      </c>
      <c r="C227" s="50" t="n">
        <v>1.155</v>
      </c>
      <c r="D227" s="49" t="n">
        <v>3.6</v>
      </c>
      <c r="E227" s="50" t="n">
        <v>1.08</v>
      </c>
      <c r="F227" s="49" t="n">
        <v>3.8</v>
      </c>
      <c r="G227" s="50" t="n">
        <v>0.76</v>
      </c>
      <c r="H227" s="49" t="n">
        <v>4.5</v>
      </c>
      <c r="I227" s="50" t="n">
        <v>0.675</v>
      </c>
      <c r="J227" s="50" t="n">
        <v>3.67</v>
      </c>
      <c r="K227" s="50" t="inlineStr">
        <is>
          <t>Pass</t>
        </is>
      </c>
      <c r="L227" s="51" t="n"/>
      <c r="M227" s="51" t="n"/>
      <c r="N227" s="51" t="n"/>
    </row>
    <row r="228" ht="13.5" customHeight="1" s="38">
      <c r="A228" s="73" t="inlineStr">
        <is>
          <t>R_0225</t>
        </is>
      </c>
      <c r="B228" s="49" t="n">
        <v>3.1</v>
      </c>
      <c r="C228" s="50" t="n">
        <v>1.085</v>
      </c>
      <c r="D228" s="49" t="n">
        <v>3.2</v>
      </c>
      <c r="E228" s="50" t="n">
        <v>0.96</v>
      </c>
      <c r="F228" s="49" t="n">
        <v>3.7</v>
      </c>
      <c r="G228" s="50" t="n">
        <v>0.74</v>
      </c>
      <c r="H228" s="49" t="n">
        <v>3.9</v>
      </c>
      <c r="I228" s="50" t="n">
        <v>0.585</v>
      </c>
      <c r="J228" s="50" t="n">
        <v>3.37</v>
      </c>
      <c r="K228" s="50" t="inlineStr">
        <is>
          <t>Fail</t>
        </is>
      </c>
      <c r="L228" s="51" t="n"/>
      <c r="M228" s="51" t="n"/>
      <c r="N228" s="51" t="n"/>
    </row>
    <row r="229" ht="13.5" customHeight="1" s="38">
      <c r="A229" s="73" t="inlineStr">
        <is>
          <t>R_0226</t>
        </is>
      </c>
      <c r="B229" s="49" t="n">
        <v>3.4</v>
      </c>
      <c r="C229" s="50" t="n">
        <v>1.19</v>
      </c>
      <c r="D229" s="49" t="n">
        <v>3.7</v>
      </c>
      <c r="E229" s="50" t="n">
        <v>1.11</v>
      </c>
      <c r="F229" s="49" t="n">
        <v>3.8</v>
      </c>
      <c r="G229" s="50" t="n">
        <v>0.76</v>
      </c>
      <c r="H229" s="49" t="n">
        <v>4.5</v>
      </c>
      <c r="I229" s="50" t="n">
        <v>0.675</v>
      </c>
      <c r="J229" s="50" t="n">
        <v>3.73</v>
      </c>
      <c r="K229" s="50" t="inlineStr">
        <is>
          <t>Pass</t>
        </is>
      </c>
      <c r="L229" s="51" t="n"/>
      <c r="M229" s="51" t="n"/>
      <c r="N229" s="51" t="n"/>
    </row>
    <row r="230" ht="13.5" customHeight="1" s="38">
      <c r="A230" s="73" t="inlineStr">
        <is>
          <t>R_0227</t>
        </is>
      </c>
      <c r="B230" s="49" t="n">
        <v>3.5</v>
      </c>
      <c r="C230" s="50" t="n">
        <v>1.225</v>
      </c>
      <c r="D230" s="49" t="n">
        <v>3.1</v>
      </c>
      <c r="E230" s="50" t="n">
        <v>0.93</v>
      </c>
      <c r="F230" s="49" t="n">
        <v>3.7</v>
      </c>
      <c r="G230" s="50" t="n">
        <v>0.74</v>
      </c>
      <c r="H230" s="49" t="n">
        <v>3.6</v>
      </c>
      <c r="I230" s="50" t="n">
        <v>0.54</v>
      </c>
      <c r="J230" s="50" t="n">
        <v>3.44</v>
      </c>
      <c r="K230" s="50" t="inlineStr">
        <is>
          <t>Fail</t>
        </is>
      </c>
      <c r="L230" s="51" t="n"/>
      <c r="M230" s="51" t="n"/>
      <c r="N230" s="51" t="n"/>
    </row>
    <row r="231" ht="13.5" customHeight="1" s="38">
      <c r="A231" s="73" t="inlineStr">
        <is>
          <t>R_0228</t>
        </is>
      </c>
      <c r="B231" s="49" t="n">
        <v>3.4</v>
      </c>
      <c r="C231" s="50" t="n">
        <v>1.19</v>
      </c>
      <c r="D231" s="49" t="n">
        <v>2.9</v>
      </c>
      <c r="E231" s="50" t="n">
        <v>0.87</v>
      </c>
      <c r="F231" s="49" t="n">
        <v>3.6</v>
      </c>
      <c r="G231" s="50" t="n">
        <v>0.72</v>
      </c>
      <c r="H231" s="49" t="n">
        <v>3.5</v>
      </c>
      <c r="I231" s="50" t="n">
        <v>0.525</v>
      </c>
      <c r="J231" s="50" t="n">
        <v>3.31</v>
      </c>
      <c r="K231" s="50" t="inlineStr">
        <is>
          <t>Fail</t>
        </is>
      </c>
      <c r="L231" s="51" t="n"/>
      <c r="M231" s="51" t="n"/>
      <c r="N231" s="51" t="n"/>
    </row>
    <row r="232" ht="13.5" customHeight="1" s="38">
      <c r="A232" s="73" t="inlineStr">
        <is>
          <t>R_0229</t>
        </is>
      </c>
      <c r="B232" s="49" t="n">
        <v>3.4</v>
      </c>
      <c r="C232" s="50" t="n">
        <v>1.19</v>
      </c>
      <c r="D232" s="49" t="n">
        <v>3</v>
      </c>
      <c r="E232" s="50" t="n">
        <v>0.9</v>
      </c>
      <c r="F232" s="49" t="n">
        <v>3.7</v>
      </c>
      <c r="G232" s="50" t="n">
        <v>0.74</v>
      </c>
      <c r="H232" s="49" t="n">
        <v>3.5</v>
      </c>
      <c r="I232" s="50" t="n">
        <v>0.525</v>
      </c>
      <c r="J232" s="50" t="n">
        <v>3.35</v>
      </c>
      <c r="K232" s="50" t="inlineStr">
        <is>
          <t>Fail</t>
        </is>
      </c>
      <c r="L232" s="51" t="n"/>
      <c r="M232" s="51" t="n"/>
      <c r="N232" s="51" t="n"/>
    </row>
    <row r="233" ht="13.5" customHeight="1" s="38">
      <c r="A233" s="73" t="inlineStr">
        <is>
          <t>R_0230</t>
        </is>
      </c>
      <c r="B233" s="49" t="n">
        <v>3.4</v>
      </c>
      <c r="C233" s="50" t="n">
        <v>1.19</v>
      </c>
      <c r="D233" s="49" t="n">
        <v>3</v>
      </c>
      <c r="E233" s="50" t="n">
        <v>0.9</v>
      </c>
      <c r="F233" s="49" t="n">
        <v>3.6</v>
      </c>
      <c r="G233" s="50" t="n">
        <v>0.72</v>
      </c>
      <c r="H233" s="49" t="n">
        <v>2.8</v>
      </c>
      <c r="I233" s="50" t="n">
        <v>0.42</v>
      </c>
      <c r="J233" s="50" t="n">
        <v>3.23</v>
      </c>
      <c r="K233" s="50" t="inlineStr">
        <is>
          <t>Fail</t>
        </is>
      </c>
      <c r="L233" s="51" t="n"/>
      <c r="M233" s="51" t="n"/>
      <c r="N233" s="51" t="n"/>
    </row>
    <row r="234" ht="13.5" customHeight="1" s="38">
      <c r="A234" s="73" t="inlineStr">
        <is>
          <t>R_0231</t>
        </is>
      </c>
      <c r="B234" s="49" t="n">
        <v>3.5</v>
      </c>
      <c r="C234" s="50" t="n">
        <v>1.225</v>
      </c>
      <c r="D234" s="49" t="n">
        <v>3.6</v>
      </c>
      <c r="E234" s="50" t="n">
        <v>1.08</v>
      </c>
      <c r="F234" s="49" t="n">
        <v>3.7</v>
      </c>
      <c r="G234" s="50" t="n">
        <v>0.74</v>
      </c>
      <c r="H234" s="49" t="n">
        <v>3.3</v>
      </c>
      <c r="I234" s="50" t="n">
        <v>0.495</v>
      </c>
      <c r="J234" s="50" t="n">
        <v>3.54</v>
      </c>
      <c r="K234" s="50" t="inlineStr">
        <is>
          <t>Pass</t>
        </is>
      </c>
      <c r="L234" s="51" t="n"/>
      <c r="M234" s="51" t="n"/>
      <c r="N234" s="51" t="n"/>
    </row>
    <row r="235" ht="13.5" customHeight="1" s="38">
      <c r="A235" s="73" t="inlineStr">
        <is>
          <t>R_0232</t>
        </is>
      </c>
      <c r="B235" s="49" t="inlineStr">
        <is>
          <t>3.6 | 2.9</t>
        </is>
      </c>
      <c r="C235" s="50" t="inlineStr">
        <is>
          <t>1.26 | 1.015</t>
        </is>
      </c>
      <c r="D235" s="49" t="inlineStr">
        <is>
          <t>3.4 | 3.3</t>
        </is>
      </c>
      <c r="E235" s="50" t="inlineStr">
        <is>
          <t>1.02 | 0.99</t>
        </is>
      </c>
      <c r="F235" s="49" t="inlineStr">
        <is>
          <t>3.3 | 3.2</t>
        </is>
      </c>
      <c r="G235" s="50" t="inlineStr">
        <is>
          <t>0.66 | 0.64</t>
        </is>
      </c>
      <c r="H235" s="49" t="inlineStr">
        <is>
          <t>3.0 | 3.1</t>
        </is>
      </c>
      <c r="I235" s="50" t="inlineStr">
        <is>
          <t>0.45 | 0.465</t>
        </is>
      </c>
      <c r="J235" s="50" t="inlineStr">
        <is>
          <t>3.39 | 3.11</t>
        </is>
      </c>
      <c r="K235" s="50" t="inlineStr">
        <is>
          <t>Fail | Fail</t>
        </is>
      </c>
      <c r="L235" s="51" t="n"/>
      <c r="M235" s="51" t="n"/>
      <c r="N235" s="51" t="n"/>
    </row>
    <row r="236" ht="13.5" customHeight="1" s="38">
      <c r="A236" s="73" t="inlineStr">
        <is>
          <t>R_0233</t>
        </is>
      </c>
      <c r="B236" s="49" t="n">
        <v>3.3</v>
      </c>
      <c r="C236" s="50" t="n">
        <v>1.155</v>
      </c>
      <c r="D236" s="49" t="n">
        <v>3.2</v>
      </c>
      <c r="E236" s="50" t="n">
        <v>0.96</v>
      </c>
      <c r="F236" s="49" t="n">
        <v>3.7</v>
      </c>
      <c r="G236" s="50" t="n">
        <v>0.74</v>
      </c>
      <c r="H236" s="49" t="n">
        <v>3</v>
      </c>
      <c r="I236" s="50" t="n">
        <v>0.45</v>
      </c>
      <c r="J236" s="50" t="n">
        <v>3.31</v>
      </c>
      <c r="K236" s="50" t="inlineStr">
        <is>
          <t>Fail</t>
        </is>
      </c>
      <c r="L236" s="51" t="n"/>
      <c r="M236" s="51" t="n"/>
      <c r="N236" s="51" t="n"/>
    </row>
    <row r="237" ht="13.5" customHeight="1" s="38">
      <c r="A237" s="73" t="inlineStr">
        <is>
          <t>R_0234</t>
        </is>
      </c>
      <c r="B237" s="49" t="n">
        <v>3.4</v>
      </c>
      <c r="C237" s="50" t="n">
        <v>1.19</v>
      </c>
      <c r="D237" s="49" t="n">
        <v>3.9</v>
      </c>
      <c r="E237" s="50" t="n">
        <v>1.17</v>
      </c>
      <c r="F237" s="49" t="n">
        <v>3.7</v>
      </c>
      <c r="G237" s="50" t="n">
        <v>0.74</v>
      </c>
      <c r="H237" s="49" t="n">
        <v>4.7</v>
      </c>
      <c r="I237" s="50" t="n">
        <v>0.705</v>
      </c>
      <c r="J237" s="50" t="n">
        <v>3.81</v>
      </c>
      <c r="K237" s="50" t="inlineStr">
        <is>
          <t>Pass</t>
        </is>
      </c>
      <c r="L237" s="51" t="n"/>
      <c r="M237" s="51" t="n"/>
      <c r="N237" s="51" t="n"/>
    </row>
    <row r="238" ht="13.5" customHeight="1" s="38">
      <c r="A238" s="73" t="inlineStr">
        <is>
          <t>R_0235</t>
        </is>
      </c>
      <c r="B238" s="49" t="n">
        <v>3.2</v>
      </c>
      <c r="C238" s="50" t="n">
        <v>1.12</v>
      </c>
      <c r="D238" s="49" t="n">
        <v>3.4</v>
      </c>
      <c r="E238" s="50" t="n">
        <v>1.02</v>
      </c>
      <c r="F238" s="49" t="n">
        <v>3.7</v>
      </c>
      <c r="G238" s="50" t="n">
        <v>0.74</v>
      </c>
      <c r="H238" s="49" t="n">
        <v>4.4</v>
      </c>
      <c r="I238" s="50" t="n">
        <v>0.66</v>
      </c>
      <c r="J238" s="50" t="n">
        <v>3.54</v>
      </c>
      <c r="K238" s="50" t="inlineStr">
        <is>
          <t>Pass</t>
        </is>
      </c>
      <c r="L238" s="51" t="n"/>
      <c r="M238" s="51" t="n"/>
      <c r="N238" s="51" t="n"/>
    </row>
    <row r="239" ht="13.5" customHeight="1" s="38">
      <c r="A239" s="73" t="inlineStr">
        <is>
          <t>R_0236</t>
        </is>
      </c>
      <c r="B239" s="49" t="n">
        <v>3.2</v>
      </c>
      <c r="C239" s="50" t="n">
        <v>1.12</v>
      </c>
      <c r="D239" s="49" t="n">
        <v>3.9</v>
      </c>
      <c r="E239" s="50" t="n">
        <v>1.17</v>
      </c>
      <c r="F239" s="49" t="n">
        <v>3.7</v>
      </c>
      <c r="G239" s="50" t="n">
        <v>0.74</v>
      </c>
      <c r="H239" s="49" t="n">
        <v>3.3</v>
      </c>
      <c r="I239" s="50" t="n">
        <v>0.495</v>
      </c>
      <c r="J239" s="50" t="n">
        <v>3.53</v>
      </c>
      <c r="K239" s="50" t="inlineStr">
        <is>
          <t>Pass</t>
        </is>
      </c>
      <c r="L239" s="51" t="n"/>
      <c r="M239" s="51" t="n"/>
      <c r="N239" s="51" t="n"/>
    </row>
    <row r="240" ht="13.5" customHeight="1" s="38">
      <c r="A240" s="73" t="inlineStr">
        <is>
          <t>R_0237</t>
        </is>
      </c>
      <c r="B240" s="49" t="n">
        <v>3.4</v>
      </c>
      <c r="C240" s="50" t="n">
        <v>1.19</v>
      </c>
      <c r="D240" s="49" t="n">
        <v>3.2</v>
      </c>
      <c r="E240" s="50" t="n">
        <v>0.96</v>
      </c>
      <c r="F240" s="49" t="n">
        <v>3.6</v>
      </c>
      <c r="G240" s="50" t="n">
        <v>0.72</v>
      </c>
      <c r="H240" s="49" t="n">
        <v>3</v>
      </c>
      <c r="I240" s="50" t="n">
        <v>0.45</v>
      </c>
      <c r="J240" s="50" t="n">
        <v>3.32</v>
      </c>
      <c r="K240" s="50" t="inlineStr">
        <is>
          <t>Fail</t>
        </is>
      </c>
      <c r="L240" s="51" t="n"/>
      <c r="M240" s="51" t="n"/>
      <c r="N240" s="51" t="n"/>
    </row>
    <row r="241" ht="13.5" customHeight="1" s="38">
      <c r="A241" s="73" t="inlineStr">
        <is>
          <t>R_0238</t>
        </is>
      </c>
      <c r="B241" s="49" t="n">
        <v>3.3</v>
      </c>
      <c r="C241" s="50" t="n">
        <v>1.155</v>
      </c>
      <c r="D241" s="49" t="n">
        <v>2.7</v>
      </c>
      <c r="E241" s="50" t="n">
        <v>0.8100000000000001</v>
      </c>
      <c r="F241" s="49" t="n">
        <v>3.4</v>
      </c>
      <c r="G241" s="50" t="n">
        <v>0.68</v>
      </c>
      <c r="H241" s="49" t="n">
        <v>2.8</v>
      </c>
      <c r="I241" s="50" t="n">
        <v>0.42</v>
      </c>
      <c r="J241" s="50" t="n">
        <v>3.06</v>
      </c>
      <c r="K241" s="50" t="inlineStr">
        <is>
          <t>Fail</t>
        </is>
      </c>
      <c r="L241" s="51" t="n"/>
      <c r="M241" s="51" t="n"/>
      <c r="N241" s="51" t="n"/>
    </row>
    <row r="242" ht="13.5" customHeight="1" s="38">
      <c r="A242" s="73" t="inlineStr">
        <is>
          <t>R_0239</t>
        </is>
      </c>
      <c r="B242" s="49" t="n">
        <v>3.3</v>
      </c>
      <c r="C242" s="50" t="n">
        <v>1.155</v>
      </c>
      <c r="D242" s="49" t="n">
        <v>3.5</v>
      </c>
      <c r="E242" s="50" t="n">
        <v>1.05</v>
      </c>
      <c r="F242" s="49" t="n">
        <v>3.8</v>
      </c>
      <c r="G242" s="50" t="n">
        <v>0.76</v>
      </c>
      <c r="H242" s="49" t="n">
        <v>4.4</v>
      </c>
      <c r="I242" s="50" t="n">
        <v>0.66</v>
      </c>
      <c r="J242" s="50" t="n">
        <v>3.62</v>
      </c>
      <c r="K242" s="50" t="inlineStr">
        <is>
          <t>Pass</t>
        </is>
      </c>
      <c r="L242" s="51" t="n"/>
      <c r="M242" s="51" t="n"/>
      <c r="N242" s="51" t="n"/>
    </row>
    <row r="243" ht="13.5" customHeight="1" s="38">
      <c r="A243" s="73" t="inlineStr">
        <is>
          <t>R_0240</t>
        </is>
      </c>
      <c r="B243" s="49" t="n">
        <v>2.5</v>
      </c>
      <c r="C243" s="50" t="n">
        <v>0.875</v>
      </c>
      <c r="D243" s="49" t="n">
        <v>3.2</v>
      </c>
      <c r="E243" s="50" t="n">
        <v>0.96</v>
      </c>
      <c r="F243" s="49" t="n">
        <v>3.2</v>
      </c>
      <c r="G243" s="50" t="n">
        <v>0.64</v>
      </c>
      <c r="H243" s="49" t="n">
        <v>2.5</v>
      </c>
      <c r="I243" s="50" t="n">
        <v>0.375</v>
      </c>
      <c r="J243" s="50" t="n">
        <v>2.85</v>
      </c>
      <c r="K243" s="50" t="inlineStr">
        <is>
          <t>Fail</t>
        </is>
      </c>
      <c r="L243" s="51" t="n"/>
      <c r="M243" s="51" t="n"/>
      <c r="N243" s="51" t="n"/>
    </row>
    <row r="244" ht="13.5" customHeight="1" s="38">
      <c r="A244" s="73" t="inlineStr">
        <is>
          <t>R_0241</t>
        </is>
      </c>
      <c r="B244" s="49" t="n">
        <v>3.3</v>
      </c>
      <c r="C244" s="50" t="n">
        <v>1.155</v>
      </c>
      <c r="D244" s="49" t="n">
        <v>3.8</v>
      </c>
      <c r="E244" s="50" t="n">
        <v>1.14</v>
      </c>
      <c r="F244" s="49" t="n">
        <v>3.7</v>
      </c>
      <c r="G244" s="50" t="n">
        <v>0.74</v>
      </c>
      <c r="H244" s="49" t="n">
        <v>3.3</v>
      </c>
      <c r="I244" s="50" t="n">
        <v>0.495</v>
      </c>
      <c r="J244" s="50" t="n">
        <v>3.53</v>
      </c>
      <c r="K244" s="50" t="inlineStr">
        <is>
          <t>Pass</t>
        </is>
      </c>
      <c r="L244" s="51" t="n"/>
      <c r="M244" s="51" t="n"/>
      <c r="N244" s="51" t="n"/>
    </row>
    <row r="245" ht="13.5" customHeight="1" s="38">
      <c r="A245" s="73" t="inlineStr">
        <is>
          <t>R_0242</t>
        </is>
      </c>
      <c r="B245" s="49" t="n">
        <v>3.2</v>
      </c>
      <c r="C245" s="50" t="n">
        <v>1.12</v>
      </c>
      <c r="D245" s="49" t="n">
        <v>2.9</v>
      </c>
      <c r="E245" s="50" t="n">
        <v>0.87</v>
      </c>
      <c r="F245" s="49" t="n">
        <v>3.5</v>
      </c>
      <c r="G245" s="50" t="n">
        <v>0.7</v>
      </c>
      <c r="H245" s="49" t="n">
        <v>2.8</v>
      </c>
      <c r="I245" s="50" t="n">
        <v>0.42</v>
      </c>
      <c r="J245" s="50" t="n">
        <v>3.11</v>
      </c>
      <c r="K245" s="50" t="inlineStr">
        <is>
          <t>Fail</t>
        </is>
      </c>
      <c r="L245" s="51" t="n"/>
      <c r="M245" s="51" t="n"/>
      <c r="N245" s="51" t="n"/>
    </row>
    <row r="246" ht="13.5" customHeight="1" s="38">
      <c r="A246" s="73" t="inlineStr">
        <is>
          <t>R_0243</t>
        </is>
      </c>
      <c r="B246" s="49" t="n">
        <v>3.7</v>
      </c>
      <c r="C246" s="50" t="n">
        <v>1.295</v>
      </c>
      <c r="D246" s="49" t="n">
        <v>3.1</v>
      </c>
      <c r="E246" s="50" t="n">
        <v>0.93</v>
      </c>
      <c r="F246" s="49" t="n">
        <v>3.7</v>
      </c>
      <c r="G246" s="50" t="n">
        <v>0.74</v>
      </c>
      <c r="H246" s="49" t="n">
        <v>2.8</v>
      </c>
      <c r="I246" s="50" t="n">
        <v>0.42</v>
      </c>
      <c r="J246" s="50" t="n">
        <v>3.38</v>
      </c>
      <c r="K246" s="50" t="inlineStr">
        <is>
          <t>Fail</t>
        </is>
      </c>
      <c r="L246" s="51" t="n"/>
      <c r="M246" s="51" t="n"/>
      <c r="N246" s="51" t="n"/>
    </row>
    <row r="247" ht="13.5" customHeight="1" s="38">
      <c r="A247" s="73" t="inlineStr">
        <is>
          <t>R_0244</t>
        </is>
      </c>
      <c r="B247" s="49" t="n">
        <v>3.4</v>
      </c>
      <c r="C247" s="50" t="n">
        <v>1.19</v>
      </c>
      <c r="D247" s="49" t="n">
        <v>3.3</v>
      </c>
      <c r="E247" s="50" t="n">
        <v>0.99</v>
      </c>
      <c r="F247" s="49" t="n">
        <v>3.7</v>
      </c>
      <c r="G247" s="50" t="n">
        <v>0.74</v>
      </c>
      <c r="H247" s="49" t="n">
        <v>3.3</v>
      </c>
      <c r="I247" s="50" t="n">
        <v>0.495</v>
      </c>
      <c r="J247" s="50" t="n">
        <v>3.42</v>
      </c>
      <c r="K247" s="50" t="inlineStr">
        <is>
          <t>Fail</t>
        </is>
      </c>
      <c r="L247" s="51" t="n"/>
      <c r="M247" s="51" t="n"/>
      <c r="N247" s="51" t="n"/>
    </row>
    <row r="248" ht="13.5" customHeight="1" s="38">
      <c r="A248" s="73" t="inlineStr">
        <is>
          <t>R_0245</t>
        </is>
      </c>
      <c r="B248" s="49" t="n">
        <v>3.8</v>
      </c>
      <c r="C248" s="50" t="n">
        <v>1.33</v>
      </c>
      <c r="D248" s="49" t="n">
        <v>3.2</v>
      </c>
      <c r="E248" s="50" t="n">
        <v>0.96</v>
      </c>
      <c r="F248" s="49" t="n">
        <v>3.4</v>
      </c>
      <c r="G248" s="50" t="n">
        <v>0.68</v>
      </c>
      <c r="H248" s="49" t="n">
        <v>2.8</v>
      </c>
      <c r="I248" s="50" t="n">
        <v>0.42</v>
      </c>
      <c r="J248" s="50" t="n">
        <v>3.39</v>
      </c>
      <c r="K248" s="50" t="inlineStr">
        <is>
          <t>Fail</t>
        </is>
      </c>
      <c r="L248" s="51" t="n"/>
      <c r="M248" s="51" t="n"/>
      <c r="N248" s="51" t="n"/>
    </row>
    <row r="249" ht="13.5" customHeight="1" s="38">
      <c r="A249" s="73" t="inlineStr">
        <is>
          <t>R_0246</t>
        </is>
      </c>
      <c r="B249" s="49" t="n">
        <v>3.1</v>
      </c>
      <c r="C249" s="50" t="n">
        <v>1.085</v>
      </c>
      <c r="D249" s="49" t="n">
        <v>3.3</v>
      </c>
      <c r="E249" s="50" t="n">
        <v>0.99</v>
      </c>
      <c r="F249" s="49" t="n">
        <v>3.7</v>
      </c>
      <c r="G249" s="50" t="n">
        <v>0.74</v>
      </c>
      <c r="H249" s="49" t="n">
        <v>3.3</v>
      </c>
      <c r="I249" s="50" t="n">
        <v>0.495</v>
      </c>
      <c r="J249" s="50" t="n">
        <v>3.31</v>
      </c>
      <c r="K249" s="50" t="inlineStr">
        <is>
          <t>Fail</t>
        </is>
      </c>
      <c r="L249" s="51" t="n"/>
      <c r="M249" s="51" t="n"/>
      <c r="N249" s="51" t="n"/>
    </row>
    <row r="250" ht="13.5" customHeight="1" s="38">
      <c r="A250" s="73" t="inlineStr">
        <is>
          <t>R_0247</t>
        </is>
      </c>
      <c r="B250" s="49" t="n">
        <v>3.3</v>
      </c>
      <c r="C250" s="50" t="n">
        <v>1.155</v>
      </c>
      <c r="D250" s="49" t="n">
        <v>4.1</v>
      </c>
      <c r="E250" s="50" t="n">
        <v>1.23</v>
      </c>
      <c r="F250" s="49" t="n">
        <v>3.8</v>
      </c>
      <c r="G250" s="50" t="n">
        <v>0.76</v>
      </c>
      <c r="H250" s="49" t="n">
        <v>3.3</v>
      </c>
      <c r="I250" s="50" t="n">
        <v>0.495</v>
      </c>
      <c r="J250" s="50" t="n">
        <v>3.64</v>
      </c>
      <c r="K250" s="50" t="inlineStr">
        <is>
          <t>Pass</t>
        </is>
      </c>
      <c r="L250" s="51" t="n"/>
      <c r="M250" s="51" t="n"/>
      <c r="N250" s="51" t="n"/>
    </row>
    <row r="251" ht="13.5" customHeight="1" s="38">
      <c r="A251" s="73" t="inlineStr">
        <is>
          <t>R_0248</t>
        </is>
      </c>
      <c r="B251" s="49" t="n">
        <v>3.5</v>
      </c>
      <c r="C251" s="50" t="n">
        <v>1.225</v>
      </c>
      <c r="D251" s="49" t="n">
        <v>4</v>
      </c>
      <c r="E251" s="50" t="n">
        <v>1.2</v>
      </c>
      <c r="F251" s="49" t="n">
        <v>3.2</v>
      </c>
      <c r="G251" s="50" t="n">
        <v>0.64</v>
      </c>
      <c r="H251" s="49" t="n">
        <v>2.8</v>
      </c>
      <c r="I251" s="50" t="n">
        <v>0.42</v>
      </c>
      <c r="J251" s="50" t="n">
        <v>3.48</v>
      </c>
      <c r="K251" s="50" t="inlineStr">
        <is>
          <t>Fail</t>
        </is>
      </c>
      <c r="L251" s="51" t="n"/>
      <c r="M251" s="51" t="n"/>
      <c r="N251" s="51" t="n"/>
    </row>
    <row r="252" ht="13.5" customHeight="1" s="38">
      <c r="A252" s="73" t="inlineStr">
        <is>
          <t>R_0249</t>
        </is>
      </c>
      <c r="B252" s="49" t="n">
        <v>3.2</v>
      </c>
      <c r="C252" s="50" t="n">
        <v>1.12</v>
      </c>
      <c r="D252" s="49" t="n">
        <v>3.6</v>
      </c>
      <c r="E252" s="50" t="n">
        <v>1.08</v>
      </c>
      <c r="F252" s="49" t="n">
        <v>3.6</v>
      </c>
      <c r="G252" s="50" t="n">
        <v>0.72</v>
      </c>
      <c r="H252" s="49" t="n">
        <v>3.2</v>
      </c>
      <c r="I252" s="50" t="n">
        <v>0.48</v>
      </c>
      <c r="J252" s="50" t="n">
        <v>3.4</v>
      </c>
      <c r="K252" s="50" t="inlineStr">
        <is>
          <t>Fail</t>
        </is>
      </c>
      <c r="L252" s="51" t="n"/>
      <c r="M252" s="51" t="n"/>
      <c r="N252" s="51" t="n"/>
    </row>
    <row r="253" ht="13.5" customHeight="1" s="38">
      <c r="A253" s="73" t="inlineStr">
        <is>
          <t>R_0250</t>
        </is>
      </c>
      <c r="B253" s="49" t="n">
        <v>2.6</v>
      </c>
      <c r="C253" s="50" t="n">
        <v>0.91</v>
      </c>
      <c r="D253" s="49" t="n">
        <v>3.4</v>
      </c>
      <c r="E253" s="50" t="n">
        <v>1.02</v>
      </c>
      <c r="F253" s="49" t="n">
        <v>3.4</v>
      </c>
      <c r="G253" s="50" t="n">
        <v>0.68</v>
      </c>
      <c r="H253" s="49" t="n">
        <v>2.5</v>
      </c>
      <c r="I253" s="50" t="n">
        <v>0.375</v>
      </c>
      <c r="J253" s="50" t="n">
        <v>2.98</v>
      </c>
      <c r="K253" s="50" t="inlineStr">
        <is>
          <t>Fail</t>
        </is>
      </c>
      <c r="L253" s="51" t="n"/>
      <c r="M253" s="51" t="n"/>
      <c r="N253" s="51" t="n"/>
    </row>
    <row r="254" ht="13.5" customHeight="1" s="38">
      <c r="A254" s="73" t="inlineStr">
        <is>
          <t>R_0251</t>
        </is>
      </c>
      <c r="B254" s="49" t="n">
        <v>4</v>
      </c>
      <c r="C254" s="50" t="n">
        <v>1.4</v>
      </c>
      <c r="D254" s="49" t="n">
        <v>3.5</v>
      </c>
      <c r="E254" s="50" t="n">
        <v>1.05</v>
      </c>
      <c r="F254" s="49" t="n">
        <v>3.7</v>
      </c>
      <c r="G254" s="50" t="n">
        <v>0.74</v>
      </c>
      <c r="H254" s="49" t="n">
        <v>4</v>
      </c>
      <c r="I254" s="50" t="n">
        <v>0.6</v>
      </c>
      <c r="J254" s="50" t="n">
        <v>3.79</v>
      </c>
      <c r="K254" s="50" t="inlineStr">
        <is>
          <t>Pass</t>
        </is>
      </c>
      <c r="L254" s="51" t="n"/>
      <c r="M254" s="51" t="n"/>
      <c r="N254" s="51" t="n"/>
    </row>
    <row r="255" ht="13.5" customHeight="1" s="38">
      <c r="A255" s="73" t="inlineStr">
        <is>
          <t>R_0252</t>
        </is>
      </c>
      <c r="B255" s="49" t="n">
        <v>3.8</v>
      </c>
      <c r="C255" s="50" t="n">
        <v>1.33</v>
      </c>
      <c r="D255" s="49" t="n">
        <v>3.4</v>
      </c>
      <c r="E255" s="50" t="n">
        <v>1.02</v>
      </c>
      <c r="F255" s="49" t="n">
        <v>3.3</v>
      </c>
      <c r="G255" s="50" t="n">
        <v>0.66</v>
      </c>
      <c r="H255" s="49" t="n">
        <v>3</v>
      </c>
      <c r="I255" s="50" t="n">
        <v>0.45</v>
      </c>
      <c r="J255" s="50" t="n">
        <v>3.46</v>
      </c>
      <c r="K255" s="50" t="inlineStr">
        <is>
          <t>Fail</t>
        </is>
      </c>
      <c r="L255" s="51" t="n"/>
      <c r="M255" s="51" t="n"/>
      <c r="N255" s="51" t="n"/>
    </row>
    <row r="256" ht="13.5" customHeight="1" s="38">
      <c r="A256" s="73" t="inlineStr">
        <is>
          <t>R_0253</t>
        </is>
      </c>
      <c r="B256" s="49" t="n">
        <v>3.9</v>
      </c>
      <c r="C256" s="50" t="n">
        <v>1.365</v>
      </c>
      <c r="D256" s="49" t="n">
        <v>3.4</v>
      </c>
      <c r="E256" s="50" t="n">
        <v>1.02</v>
      </c>
      <c r="F256" s="49" t="n">
        <v>3.7</v>
      </c>
      <c r="G256" s="50" t="n">
        <v>0.74</v>
      </c>
      <c r="H256" s="49" t="n">
        <v>3.9</v>
      </c>
      <c r="I256" s="50" t="n">
        <v>0.585</v>
      </c>
      <c r="J256" s="50" t="n">
        <v>3.71</v>
      </c>
      <c r="K256" s="50" t="inlineStr">
        <is>
          <t>Pass</t>
        </is>
      </c>
      <c r="L256" s="51" t="n"/>
      <c r="M256" s="51" t="n"/>
      <c r="N256" s="51" t="n"/>
    </row>
    <row r="257" ht="13.5" customHeight="1" s="38">
      <c r="A257" s="73" t="inlineStr">
        <is>
          <t>R_0254</t>
        </is>
      </c>
      <c r="B257" s="49" t="n">
        <v>3.2</v>
      </c>
      <c r="C257" s="50" t="n">
        <v>1.12</v>
      </c>
      <c r="D257" s="49" t="n">
        <v>3.6</v>
      </c>
      <c r="E257" s="50" t="n">
        <v>1.08</v>
      </c>
      <c r="F257" s="49" t="n">
        <v>3.7</v>
      </c>
      <c r="G257" s="50" t="n">
        <v>0.74</v>
      </c>
      <c r="H257" s="49" t="n">
        <v>3.2</v>
      </c>
      <c r="I257" s="50" t="n">
        <v>0.48</v>
      </c>
      <c r="J257" s="50" t="n">
        <v>3.42</v>
      </c>
      <c r="K257" s="50" t="inlineStr">
        <is>
          <t>Fail</t>
        </is>
      </c>
      <c r="L257" s="51" t="n"/>
      <c r="M257" s="51" t="n"/>
      <c r="N257" s="51" t="n"/>
    </row>
    <row r="258" ht="13.5" customHeight="1" s="38">
      <c r="A258" s="73" t="inlineStr">
        <is>
          <t>R_0255</t>
        </is>
      </c>
      <c r="B258" s="49" t="n">
        <v>3.3</v>
      </c>
      <c r="C258" s="50" t="n">
        <v>1.155</v>
      </c>
      <c r="D258" s="49" t="n">
        <v>3.7</v>
      </c>
      <c r="E258" s="50" t="n">
        <v>1.11</v>
      </c>
      <c r="F258" s="49" t="n">
        <v>3.6</v>
      </c>
      <c r="G258" s="50" t="n">
        <v>0.72</v>
      </c>
      <c r="H258" s="49" t="n">
        <v>3.3</v>
      </c>
      <c r="I258" s="50" t="n">
        <v>0.495</v>
      </c>
      <c r="J258" s="50" t="n">
        <v>3.48</v>
      </c>
      <c r="K258" s="50" t="inlineStr">
        <is>
          <t>Fail</t>
        </is>
      </c>
      <c r="L258" s="51" t="n"/>
      <c r="M258" s="51" t="n"/>
      <c r="N258" s="51" t="n"/>
    </row>
    <row r="259" ht="13.5" customHeight="1" s="38">
      <c r="A259" s="73" t="inlineStr">
        <is>
          <t>R_0256</t>
        </is>
      </c>
      <c r="B259" s="49" t="n">
        <v>2.9</v>
      </c>
      <c r="C259" s="50" t="n">
        <v>1.015</v>
      </c>
      <c r="D259" s="49" t="n">
        <v>3.3</v>
      </c>
      <c r="E259" s="50" t="n">
        <v>0.99</v>
      </c>
      <c r="F259" s="49" t="n">
        <v>3.5</v>
      </c>
      <c r="G259" s="50" t="n">
        <v>0.7</v>
      </c>
      <c r="H259" s="49" t="n">
        <v>3.2</v>
      </c>
      <c r="I259" s="50" t="n">
        <v>0.48</v>
      </c>
      <c r="J259" s="50" t="n">
        <v>3.19</v>
      </c>
      <c r="K259" s="50" t="inlineStr">
        <is>
          <t>Fail</t>
        </is>
      </c>
      <c r="L259" s="51" t="n"/>
      <c r="M259" s="51" t="n"/>
      <c r="N259" s="51" t="n"/>
    </row>
    <row r="260" ht="13.5" customHeight="1" s="38">
      <c r="A260" s="73" t="inlineStr">
        <is>
          <t>R_0257</t>
        </is>
      </c>
      <c r="B260" s="49" t="n">
        <v>3.6</v>
      </c>
      <c r="C260" s="50" t="n">
        <v>1.26</v>
      </c>
      <c r="D260" s="49" t="n">
        <v>3.8</v>
      </c>
      <c r="E260" s="50" t="n">
        <v>1.14</v>
      </c>
      <c r="F260" s="49" t="n">
        <v>3</v>
      </c>
      <c r="G260" s="50" t="n">
        <v>0.6</v>
      </c>
      <c r="H260" s="49" t="n">
        <v>3</v>
      </c>
      <c r="I260" s="50" t="n">
        <v>0.45</v>
      </c>
      <c r="J260" s="50" t="n">
        <v>3.45</v>
      </c>
      <c r="K260" s="50" t="inlineStr">
        <is>
          <t>Fail</t>
        </is>
      </c>
      <c r="L260" s="51" t="n"/>
      <c r="M260" s="51" t="n"/>
      <c r="N260" s="51" t="n"/>
    </row>
    <row r="261" ht="13.5" customHeight="1" s="38">
      <c r="A261" s="73" t="inlineStr">
        <is>
          <t>R_0258</t>
        </is>
      </c>
      <c r="B261" s="49" t="n">
        <v>3.2</v>
      </c>
      <c r="C261" s="50" t="n">
        <v>1.12</v>
      </c>
      <c r="D261" s="49" t="n">
        <v>3.6</v>
      </c>
      <c r="E261" s="50" t="n">
        <v>1.08</v>
      </c>
      <c r="F261" s="49" t="n">
        <v>3.8</v>
      </c>
      <c r="G261" s="50" t="n">
        <v>0.76</v>
      </c>
      <c r="H261" s="49" t="n">
        <v>4.7</v>
      </c>
      <c r="I261" s="50" t="n">
        <v>0.705</v>
      </c>
      <c r="J261" s="50" t="n">
        <v>3.67</v>
      </c>
      <c r="K261" s="50" t="inlineStr">
        <is>
          <t>Pass</t>
        </is>
      </c>
      <c r="L261" s="51" t="n"/>
      <c r="M261" s="51" t="n"/>
      <c r="N261" s="51" t="n"/>
    </row>
    <row r="262" ht="13.5" customHeight="1" s="38">
      <c r="A262" s="73" t="inlineStr">
        <is>
          <t>R_0259</t>
        </is>
      </c>
      <c r="B262" s="49" t="n">
        <v>3.6</v>
      </c>
      <c r="C262" s="50" t="n">
        <v>1.26</v>
      </c>
      <c r="D262" s="49" t="n">
        <v>3.1</v>
      </c>
      <c r="E262" s="50" t="n">
        <v>0.93</v>
      </c>
      <c r="F262" s="49" t="n">
        <v>3.8</v>
      </c>
      <c r="G262" s="50" t="n">
        <v>0.76</v>
      </c>
      <c r="H262" s="49" t="n">
        <v>2.8</v>
      </c>
      <c r="I262" s="50" t="n">
        <v>0.42</v>
      </c>
      <c r="J262" s="50" t="n">
        <v>3.37</v>
      </c>
      <c r="K262" s="50" t="inlineStr">
        <is>
          <t>Fail</t>
        </is>
      </c>
      <c r="L262" s="51" t="n"/>
      <c r="M262" s="51" t="n"/>
      <c r="N262" s="51" t="n"/>
    </row>
    <row r="263" ht="13.5" customHeight="1" s="38">
      <c r="A263" s="73" t="inlineStr">
        <is>
          <t>R_0260</t>
        </is>
      </c>
      <c r="B263" s="49" t="n">
        <v>3.6</v>
      </c>
      <c r="C263" s="50" t="n">
        <v>1.26</v>
      </c>
      <c r="D263" s="49" t="n">
        <v>2.8</v>
      </c>
      <c r="E263" s="50" t="n">
        <v>0.84</v>
      </c>
      <c r="F263" s="49" t="n">
        <v>3.7</v>
      </c>
      <c r="G263" s="50" t="n">
        <v>0.74</v>
      </c>
      <c r="H263" s="49" t="n">
        <v>3.6</v>
      </c>
      <c r="I263" s="50" t="n">
        <v>0.54</v>
      </c>
      <c r="J263" s="50" t="n">
        <v>3.38</v>
      </c>
      <c r="K263" s="50" t="inlineStr">
        <is>
          <t>Fail</t>
        </is>
      </c>
      <c r="L263" s="51" t="n"/>
      <c r="M263" s="51" t="n"/>
      <c r="N263" s="51" t="n"/>
    </row>
    <row r="264" ht="13.5" customHeight="1" s="38">
      <c r="A264" s="73" t="inlineStr">
        <is>
          <t>R_0261</t>
        </is>
      </c>
      <c r="B264" s="49" t="inlineStr">
        <is>
          <t>3.6 | 2.9</t>
        </is>
      </c>
      <c r="C264" s="50" t="inlineStr">
        <is>
          <t>1.26 | 1.015</t>
        </is>
      </c>
      <c r="D264" s="49" t="inlineStr">
        <is>
          <t>4.1 | 2.6</t>
        </is>
      </c>
      <c r="E264" s="50" t="inlineStr">
        <is>
          <t>1.23 | 0.78</t>
        </is>
      </c>
      <c r="F264" s="49" t="inlineStr">
        <is>
          <t>3.1 | 1.8</t>
        </is>
      </c>
      <c r="G264" s="50" t="inlineStr">
        <is>
          <t>0.62 | 0.36</t>
        </is>
      </c>
      <c r="H264" s="49" t="inlineStr">
        <is>
          <t>3.0 | 1.9</t>
        </is>
      </c>
      <c r="I264" s="50" t="inlineStr">
        <is>
          <t>0.45 | 0.285</t>
        </is>
      </c>
      <c r="J264" s="50" t="inlineStr">
        <is>
          <t>3.56 | 2.44</t>
        </is>
      </c>
      <c r="K264" s="50" t="inlineStr">
        <is>
          <t>Pass | Fail</t>
        </is>
      </c>
      <c r="L264" s="51" t="n"/>
      <c r="M264" s="51" t="n"/>
      <c r="N264" s="51" t="n"/>
    </row>
    <row r="265" ht="13.5" customHeight="1" s="38">
      <c r="A265" s="73" t="inlineStr">
        <is>
          <t>R_0262</t>
        </is>
      </c>
      <c r="B265" s="49" t="n">
        <v>2.8</v>
      </c>
      <c r="C265" s="50" t="n">
        <v>0.98</v>
      </c>
      <c r="D265" s="49" t="n">
        <v>3.1</v>
      </c>
      <c r="E265" s="50" t="n">
        <v>0.93</v>
      </c>
      <c r="F265" s="49" t="n">
        <v>3.5</v>
      </c>
      <c r="G265" s="50" t="n">
        <v>0.7</v>
      </c>
      <c r="H265" s="49" t="n">
        <v>3.7</v>
      </c>
      <c r="I265" s="50" t="n">
        <v>0.555</v>
      </c>
      <c r="J265" s="50" t="n">
        <v>3.17</v>
      </c>
      <c r="K265" s="50" t="inlineStr">
        <is>
          <t>Fail</t>
        </is>
      </c>
      <c r="L265" s="51" t="n"/>
      <c r="M265" s="51" t="n"/>
      <c r="N265" s="51" t="n"/>
    </row>
    <row r="266" ht="13.5" customHeight="1" s="38">
      <c r="A266" s="73" t="inlineStr">
        <is>
          <t>R_0263</t>
        </is>
      </c>
      <c r="B266" s="49" t="n">
        <v>3.4</v>
      </c>
      <c r="C266" s="50" t="n">
        <v>1.19</v>
      </c>
      <c r="D266" s="49" t="n">
        <v>2.9</v>
      </c>
      <c r="E266" s="50" t="n">
        <v>0.87</v>
      </c>
      <c r="F266" s="49" t="n">
        <v>3.6</v>
      </c>
      <c r="G266" s="50" t="n">
        <v>0.72</v>
      </c>
      <c r="H266" s="49" t="n">
        <v>3</v>
      </c>
      <c r="I266" s="50" t="n">
        <v>0.45</v>
      </c>
      <c r="J266" s="50" t="n">
        <v>3.23</v>
      </c>
      <c r="K266" s="50" t="inlineStr">
        <is>
          <t>Fail</t>
        </is>
      </c>
      <c r="L266" s="51" t="n"/>
      <c r="M266" s="51" t="n"/>
      <c r="N266" s="51" t="n"/>
    </row>
    <row r="267" ht="13.5" customHeight="1" s="38">
      <c r="A267" s="73" t="inlineStr">
        <is>
          <t>R_0264</t>
        </is>
      </c>
      <c r="B267" s="49" t="n">
        <v>3.6</v>
      </c>
      <c r="C267" s="50" t="n">
        <v>1.26</v>
      </c>
      <c r="D267" s="49" t="n">
        <v>3.4</v>
      </c>
      <c r="E267" s="50" t="n">
        <v>1.02</v>
      </c>
      <c r="F267" s="49" t="n">
        <v>3.7</v>
      </c>
      <c r="G267" s="50" t="n">
        <v>0.74</v>
      </c>
      <c r="H267" s="49" t="n">
        <v>3.6</v>
      </c>
      <c r="I267" s="50" t="n">
        <v>0.54</v>
      </c>
      <c r="J267" s="50" t="n">
        <v>3.56</v>
      </c>
      <c r="K267" s="50" t="inlineStr">
        <is>
          <t>Pass</t>
        </is>
      </c>
      <c r="L267" s="51" t="n"/>
      <c r="M267" s="51" t="n"/>
      <c r="N267" s="51" t="n"/>
    </row>
    <row r="268" ht="13.5" customHeight="1" s="38">
      <c r="A268" s="73" t="inlineStr">
        <is>
          <t>R_0265</t>
        </is>
      </c>
      <c r="B268" s="49" t="n">
        <v>3.5</v>
      </c>
      <c r="C268" s="50" t="n">
        <v>1.225</v>
      </c>
      <c r="D268" s="49" t="n">
        <v>4.2</v>
      </c>
      <c r="E268" s="50" t="n">
        <v>1.26</v>
      </c>
      <c r="F268" s="49" t="n">
        <v>3</v>
      </c>
      <c r="G268" s="50" t="n">
        <v>0.6</v>
      </c>
      <c r="H268" s="49" t="n">
        <v>3</v>
      </c>
      <c r="I268" s="50" t="n">
        <v>0.45</v>
      </c>
      <c r="J268" s="50" t="n">
        <v>3.54</v>
      </c>
      <c r="K268" s="50" t="inlineStr">
        <is>
          <t>Pass</t>
        </is>
      </c>
      <c r="L268" s="51" t="n"/>
      <c r="M268" s="51" t="n"/>
      <c r="N268" s="51" t="n"/>
    </row>
    <row r="269" ht="13.5" customHeight="1" s="38">
      <c r="A269" s="73" t="inlineStr">
        <is>
          <t>R_0266</t>
        </is>
      </c>
      <c r="B269" s="49" t="n">
        <v>3.3</v>
      </c>
      <c r="C269" s="50" t="n">
        <v>1.155</v>
      </c>
      <c r="D269" s="49" t="n">
        <v>2.7</v>
      </c>
      <c r="E269" s="50" t="n">
        <v>0.8100000000000001</v>
      </c>
      <c r="F269" s="49" t="n">
        <v>3.4</v>
      </c>
      <c r="G269" s="50" t="n">
        <v>0.68</v>
      </c>
      <c r="H269" s="49" t="n">
        <v>2.8</v>
      </c>
      <c r="I269" s="50" t="n">
        <v>0.42</v>
      </c>
      <c r="J269" s="50" t="n">
        <v>3.06</v>
      </c>
      <c r="K269" s="50" t="inlineStr">
        <is>
          <t>Fail</t>
        </is>
      </c>
      <c r="L269" s="51" t="n"/>
      <c r="M269" s="51" t="n"/>
      <c r="N269" s="51" t="n"/>
    </row>
    <row r="270" ht="13.5" customHeight="1" s="38">
      <c r="A270" s="73" t="inlineStr">
        <is>
          <t>R_0267</t>
        </is>
      </c>
      <c r="B270" s="49" t="n">
        <v>3.5</v>
      </c>
      <c r="C270" s="50" t="n">
        <v>1.225</v>
      </c>
      <c r="D270" s="49" t="n">
        <v>3</v>
      </c>
      <c r="E270" s="50" t="n">
        <v>0.9</v>
      </c>
      <c r="F270" s="49" t="n">
        <v>3.6</v>
      </c>
      <c r="G270" s="50" t="n">
        <v>0.72</v>
      </c>
      <c r="H270" s="49" t="n">
        <v>3.4</v>
      </c>
      <c r="I270" s="50" t="n">
        <v>0.51</v>
      </c>
      <c r="J270" s="50" t="n">
        <v>3.35</v>
      </c>
      <c r="K270" s="50" t="inlineStr">
        <is>
          <t>Fail</t>
        </is>
      </c>
      <c r="L270" s="51" t="n"/>
      <c r="M270" s="51" t="n"/>
      <c r="N270" s="51" t="n"/>
    </row>
    <row r="271" ht="13.5" customHeight="1" s="38">
      <c r="A271" s="73" t="inlineStr">
        <is>
          <t>R_0268</t>
        </is>
      </c>
      <c r="B271" s="49" t="n">
        <v>3.7</v>
      </c>
      <c r="C271" s="50" t="n">
        <v>1.295</v>
      </c>
      <c r="D271" s="49" t="n">
        <v>3.1</v>
      </c>
      <c r="E271" s="50" t="n">
        <v>0.93</v>
      </c>
      <c r="F271" s="49" t="n">
        <v>3.5</v>
      </c>
      <c r="G271" s="50" t="n">
        <v>0.7</v>
      </c>
      <c r="H271" s="49" t="n">
        <v>2.8</v>
      </c>
      <c r="I271" s="50" t="n">
        <v>0.42</v>
      </c>
      <c r="J271" s="50" t="n">
        <v>3.34</v>
      </c>
      <c r="K271" s="50" t="inlineStr">
        <is>
          <t>Fail</t>
        </is>
      </c>
      <c r="L271" s="51" t="n"/>
      <c r="M271" s="51" t="n"/>
      <c r="N271" s="51" t="n"/>
    </row>
    <row r="272" ht="13.5" customHeight="1" s="38">
      <c r="A272" s="73" t="inlineStr">
        <is>
          <t>R_0269</t>
        </is>
      </c>
      <c r="B272" s="49" t="n">
        <v>3.7</v>
      </c>
      <c r="C272" s="50" t="n">
        <v>1.295</v>
      </c>
      <c r="D272" s="49" t="n">
        <v>3.3</v>
      </c>
      <c r="E272" s="50" t="n">
        <v>0.99</v>
      </c>
      <c r="F272" s="49" t="n">
        <v>3.6</v>
      </c>
      <c r="G272" s="50" t="n">
        <v>0.72</v>
      </c>
      <c r="H272" s="49" t="n">
        <v>3.6</v>
      </c>
      <c r="I272" s="50" t="n">
        <v>0.54</v>
      </c>
      <c r="J272" s="50" t="n">
        <v>3.54</v>
      </c>
      <c r="K272" s="50" t="inlineStr">
        <is>
          <t>Pass</t>
        </is>
      </c>
      <c r="L272" s="51" t="n"/>
      <c r="M272" s="51" t="n"/>
      <c r="N272" s="51" t="n"/>
    </row>
    <row r="273" ht="13.5" customHeight="1" s="38">
      <c r="A273" s="73" t="inlineStr">
        <is>
          <t>R_0270</t>
        </is>
      </c>
      <c r="B273" s="49" t="n">
        <v>3.8</v>
      </c>
      <c r="C273" s="50" t="n">
        <v>1.33</v>
      </c>
      <c r="D273" s="49" t="n">
        <v>3.3</v>
      </c>
      <c r="E273" s="50" t="n">
        <v>0.99</v>
      </c>
      <c r="F273" s="49" t="n">
        <v>3.7</v>
      </c>
      <c r="G273" s="50" t="n">
        <v>0.74</v>
      </c>
      <c r="H273" s="49" t="n">
        <v>3.8</v>
      </c>
      <c r="I273" s="50" t="n">
        <v>0.57</v>
      </c>
      <c r="J273" s="50" t="n">
        <v>3.63</v>
      </c>
      <c r="K273" s="50" t="inlineStr">
        <is>
          <t>Pass</t>
        </is>
      </c>
      <c r="L273" s="51" t="n"/>
      <c r="M273" s="51" t="n"/>
      <c r="N273" s="51" t="n"/>
    </row>
    <row r="274" ht="13.5" customHeight="1" s="38">
      <c r="A274" s="73" t="inlineStr">
        <is>
          <t>R_0271</t>
        </is>
      </c>
      <c r="B274" s="49" t="n">
        <v>3.7</v>
      </c>
      <c r="C274" s="50" t="n">
        <v>1.295</v>
      </c>
      <c r="D274" s="49" t="n">
        <v>2.8</v>
      </c>
      <c r="E274" s="50" t="n">
        <v>0.84</v>
      </c>
      <c r="F274" s="49" t="n">
        <v>3.9</v>
      </c>
      <c r="G274" s="50" t="n">
        <v>0.78</v>
      </c>
      <c r="H274" s="49" t="n">
        <v>3.8</v>
      </c>
      <c r="I274" s="50" t="n">
        <v>0.57</v>
      </c>
      <c r="J274" s="50" t="n">
        <v>3.48</v>
      </c>
      <c r="K274" s="50" t="inlineStr">
        <is>
          <t>Fail</t>
        </is>
      </c>
      <c r="L274" s="51" t="n"/>
      <c r="M274" s="51" t="n"/>
      <c r="N274" s="51" t="n"/>
    </row>
    <row r="275" ht="13.5" customHeight="1" s="38">
      <c r="A275" s="73" t="inlineStr">
        <is>
          <t>R_0272</t>
        </is>
      </c>
      <c r="B275" s="49" t="n">
        <v>3.8</v>
      </c>
      <c r="C275" s="50" t="n">
        <v>1.33</v>
      </c>
      <c r="D275" s="49" t="n">
        <v>3.2</v>
      </c>
      <c r="E275" s="50" t="n">
        <v>0.96</v>
      </c>
      <c r="F275" s="49" t="n">
        <v>3.7</v>
      </c>
      <c r="G275" s="50" t="n">
        <v>0.74</v>
      </c>
      <c r="H275" s="49" t="n">
        <v>3.8</v>
      </c>
      <c r="I275" s="50" t="n">
        <v>0.57</v>
      </c>
      <c r="J275" s="50" t="n">
        <v>3.6</v>
      </c>
      <c r="K275" s="50" t="inlineStr">
        <is>
          <t>Pass</t>
        </is>
      </c>
      <c r="L275" s="51" t="n"/>
      <c r="M275" s="51" t="n"/>
      <c r="N275" s="51" t="n"/>
    </row>
    <row r="276" ht="13.5" customHeight="1" s="38">
      <c r="A276" s="73" t="inlineStr">
        <is>
          <t>R_0273</t>
        </is>
      </c>
      <c r="B276" s="49" t="n">
        <v>3.2</v>
      </c>
      <c r="C276" s="50" t="n">
        <v>1.12</v>
      </c>
      <c r="D276" s="49" t="n">
        <v>2.8</v>
      </c>
      <c r="E276" s="50" t="n">
        <v>0.84</v>
      </c>
      <c r="F276" s="49" t="n">
        <v>3.6</v>
      </c>
      <c r="G276" s="50" t="n">
        <v>0.72</v>
      </c>
      <c r="H276" s="49" t="n">
        <v>3</v>
      </c>
      <c r="I276" s="50" t="n">
        <v>0.45</v>
      </c>
      <c r="J276" s="50" t="n">
        <v>3.13</v>
      </c>
      <c r="K276" s="50" t="inlineStr">
        <is>
          <t>Fail</t>
        </is>
      </c>
      <c r="L276" s="51" t="n"/>
      <c r="M276" s="51" t="n"/>
      <c r="N276" s="51" t="n"/>
    </row>
    <row r="277" ht="13.5" customHeight="1" s="38">
      <c r="A277" s="73" t="inlineStr">
        <is>
          <t>R_0274</t>
        </is>
      </c>
      <c r="B277" s="49" t="n">
        <v>3.5</v>
      </c>
      <c r="C277" s="50" t="n">
        <v>1.225</v>
      </c>
      <c r="D277" s="49" t="n">
        <v>3.2</v>
      </c>
      <c r="E277" s="50" t="n">
        <v>0.96</v>
      </c>
      <c r="F277" s="49" t="n">
        <v>3.7</v>
      </c>
      <c r="G277" s="50" t="n">
        <v>0.74</v>
      </c>
      <c r="H277" s="49" t="n">
        <v>3.7</v>
      </c>
      <c r="I277" s="50" t="n">
        <v>0.555</v>
      </c>
      <c r="J277" s="50" t="n">
        <v>3.48</v>
      </c>
      <c r="K277" s="50" t="inlineStr">
        <is>
          <t>Fail</t>
        </is>
      </c>
      <c r="L277" s="51" t="n"/>
      <c r="M277" s="51" t="n"/>
      <c r="N277" s="51" t="n"/>
    </row>
    <row r="278" ht="13.5" customHeight="1" s="38">
      <c r="A278" s="73" t="inlineStr">
        <is>
          <t>R_0275</t>
        </is>
      </c>
      <c r="B278" s="49" t="n">
        <v>3.2</v>
      </c>
      <c r="C278" s="50" t="n">
        <v>1.12</v>
      </c>
      <c r="D278" s="49" t="n">
        <v>3.3</v>
      </c>
      <c r="E278" s="50" t="n">
        <v>0.99</v>
      </c>
      <c r="F278" s="49" t="n">
        <v>3.6</v>
      </c>
      <c r="G278" s="50" t="n">
        <v>0.72</v>
      </c>
      <c r="H278" s="49" t="n">
        <v>4.4</v>
      </c>
      <c r="I278" s="50" t="n">
        <v>0.66</v>
      </c>
      <c r="J278" s="50" t="n">
        <v>3.49</v>
      </c>
      <c r="K278" s="50" t="inlineStr">
        <is>
          <t>Fail</t>
        </is>
      </c>
      <c r="L278" s="51" t="n"/>
      <c r="M278" s="51" t="n"/>
      <c r="N278" s="51" t="n"/>
    </row>
    <row r="279" ht="13.5" customHeight="1" s="38">
      <c r="A279" s="73" t="inlineStr">
        <is>
          <t>R_0276</t>
        </is>
      </c>
      <c r="B279" s="49" t="n">
        <v>3.7</v>
      </c>
      <c r="C279" s="50" t="n">
        <v>1.295</v>
      </c>
      <c r="D279" s="49" t="n">
        <v>3.2</v>
      </c>
      <c r="E279" s="50" t="n">
        <v>0.96</v>
      </c>
      <c r="F279" s="49" t="n">
        <v>3.6</v>
      </c>
      <c r="G279" s="50" t="n">
        <v>0.72</v>
      </c>
      <c r="H279" s="49" t="n">
        <v>3.4</v>
      </c>
      <c r="I279" s="50" t="n">
        <v>0.51</v>
      </c>
      <c r="J279" s="50" t="n">
        <v>3.48</v>
      </c>
      <c r="K279" s="50" t="inlineStr">
        <is>
          <t>Fail</t>
        </is>
      </c>
      <c r="L279" s="51" t="n"/>
      <c r="M279" s="51" t="n"/>
      <c r="N279" s="51" t="n"/>
    </row>
    <row r="280" ht="13.5" customHeight="1" s="38">
      <c r="A280" s="73" t="inlineStr">
        <is>
          <t>R_0277</t>
        </is>
      </c>
      <c r="B280" s="49" t="n">
        <v>3.2</v>
      </c>
      <c r="C280" s="50" t="n">
        <v>1.12</v>
      </c>
      <c r="D280" s="49" t="n">
        <v>3.3</v>
      </c>
      <c r="E280" s="50" t="n">
        <v>0.99</v>
      </c>
      <c r="F280" s="49" t="n">
        <v>3.6</v>
      </c>
      <c r="G280" s="50" t="n">
        <v>0.72</v>
      </c>
      <c r="H280" s="49" t="n">
        <v>3.9</v>
      </c>
      <c r="I280" s="50" t="n">
        <v>0.585</v>
      </c>
      <c r="J280" s="50" t="n">
        <v>3.42</v>
      </c>
      <c r="K280" s="50" t="inlineStr">
        <is>
          <t>Fail</t>
        </is>
      </c>
      <c r="L280" s="51" t="n"/>
      <c r="M280" s="51" t="n"/>
      <c r="N280" s="51" t="n"/>
    </row>
    <row r="281" ht="13.5" customHeight="1" s="38">
      <c r="A281" s="73" t="inlineStr">
        <is>
          <t>R_0278</t>
        </is>
      </c>
      <c r="B281" s="49" t="n">
        <v>3.5</v>
      </c>
      <c r="C281" s="50" t="n">
        <v>1.225</v>
      </c>
      <c r="D281" s="49" t="n">
        <v>3.1</v>
      </c>
      <c r="E281" s="50" t="n">
        <v>0.93</v>
      </c>
      <c r="F281" s="49" t="n">
        <v>3.6</v>
      </c>
      <c r="G281" s="50" t="n">
        <v>0.72</v>
      </c>
      <c r="H281" s="49" t="n">
        <v>3</v>
      </c>
      <c r="I281" s="50" t="n">
        <v>0.45</v>
      </c>
      <c r="J281" s="50" t="n">
        <v>3.33</v>
      </c>
      <c r="K281" s="50" t="inlineStr">
        <is>
          <t>Fail</t>
        </is>
      </c>
      <c r="L281" s="51" t="n"/>
      <c r="M281" s="51" t="n"/>
      <c r="N281" s="51" t="n"/>
    </row>
    <row r="282" ht="13.5" customHeight="1" s="38">
      <c r="A282" s="73" t="inlineStr">
        <is>
          <t>R_0279</t>
        </is>
      </c>
      <c r="B282" s="49" t="n">
        <v>3.1</v>
      </c>
      <c r="C282" s="50" t="n">
        <v>1.085</v>
      </c>
      <c r="D282" s="49" t="n">
        <v>4</v>
      </c>
      <c r="E282" s="50" t="n">
        <v>1.2</v>
      </c>
      <c r="F282" s="49" t="n">
        <v>3.7</v>
      </c>
      <c r="G282" s="50" t="n">
        <v>0.74</v>
      </c>
      <c r="H282" s="49" t="n">
        <v>3.9</v>
      </c>
      <c r="I282" s="50" t="n">
        <v>0.585</v>
      </c>
      <c r="J282" s="50" t="n">
        <v>3.61</v>
      </c>
      <c r="K282" s="50" t="inlineStr">
        <is>
          <t>Pass</t>
        </is>
      </c>
      <c r="L282" s="51" t="n"/>
      <c r="M282" s="51" t="n"/>
      <c r="N282" s="51" t="n"/>
    </row>
    <row r="283" ht="13.5" customHeight="1" s="38">
      <c r="A283" s="73" t="inlineStr">
        <is>
          <t>R_0280</t>
        </is>
      </c>
      <c r="B283" s="49" t="n">
        <v>2.7</v>
      </c>
      <c r="C283" s="50" t="n">
        <v>0.945</v>
      </c>
      <c r="D283" s="49" t="n">
        <v>3.4</v>
      </c>
      <c r="E283" s="50" t="n">
        <v>1.02</v>
      </c>
      <c r="F283" s="49" t="n">
        <v>3.3</v>
      </c>
      <c r="G283" s="50" t="n">
        <v>0.66</v>
      </c>
      <c r="H283" s="49" t="n">
        <v>2.8</v>
      </c>
      <c r="I283" s="50" t="n">
        <v>0.42</v>
      </c>
      <c r="J283" s="50" t="n">
        <v>3.04</v>
      </c>
      <c r="K283" s="50" t="inlineStr">
        <is>
          <t>Fail</t>
        </is>
      </c>
      <c r="L283" s="51" t="n"/>
      <c r="M283" s="51" t="n"/>
      <c r="N283" s="51" t="n"/>
    </row>
    <row r="284" ht="13.5" customHeight="1" s="38">
      <c r="A284" s="73" t="inlineStr">
        <is>
          <t>R_0281</t>
        </is>
      </c>
      <c r="B284" s="49" t="n">
        <v>3.1</v>
      </c>
      <c r="C284" s="50" t="n">
        <v>1.085</v>
      </c>
      <c r="D284" s="49" t="n">
        <v>3.6</v>
      </c>
      <c r="E284" s="50" t="n">
        <v>1.08</v>
      </c>
      <c r="F284" s="49" t="n">
        <v>3.6</v>
      </c>
      <c r="G284" s="50" t="n">
        <v>0.72</v>
      </c>
      <c r="H284" s="49" t="n">
        <v>3.9</v>
      </c>
      <c r="I284" s="50" t="n">
        <v>0.585</v>
      </c>
      <c r="J284" s="50" t="n">
        <v>3.47</v>
      </c>
      <c r="K284" s="50" t="inlineStr">
        <is>
          <t>Fail</t>
        </is>
      </c>
      <c r="L284" s="51" t="n"/>
      <c r="M284" s="51" t="n"/>
      <c r="N284" s="51" t="n"/>
    </row>
    <row r="285" ht="13.5" customHeight="1" s="38">
      <c r="A285" s="73" t="inlineStr">
        <is>
          <t>R_0282</t>
        </is>
      </c>
      <c r="B285" s="49" t="n">
        <v>3.6</v>
      </c>
      <c r="C285" s="50" t="n">
        <v>1.26</v>
      </c>
      <c r="D285" s="49" t="n">
        <v>4</v>
      </c>
      <c r="E285" s="50" t="n">
        <v>1.2</v>
      </c>
      <c r="F285" s="49" t="n">
        <v>3.5</v>
      </c>
      <c r="G285" s="50" t="n">
        <v>0.7</v>
      </c>
      <c r="H285" s="49" t="n">
        <v>3</v>
      </c>
      <c r="I285" s="50" t="n">
        <v>0.45</v>
      </c>
      <c r="J285" s="50" t="n">
        <v>3.61</v>
      </c>
      <c r="K285" s="50" t="inlineStr">
        <is>
          <t>Pass</t>
        </is>
      </c>
      <c r="L285" s="51" t="n"/>
      <c r="M285" s="51" t="n"/>
      <c r="N285" s="51" t="n"/>
    </row>
    <row r="286" ht="13.5" customHeight="1" s="38">
      <c r="A286" s="73" t="inlineStr">
        <is>
          <t>R_0283</t>
        </is>
      </c>
      <c r="B286" s="49" t="n">
        <v>3.1</v>
      </c>
      <c r="C286" s="50" t="n">
        <v>1.085</v>
      </c>
      <c r="D286" s="49" t="n">
        <v>3.6</v>
      </c>
      <c r="E286" s="50" t="n">
        <v>1.08</v>
      </c>
      <c r="F286" s="49" t="n">
        <v>3.6</v>
      </c>
      <c r="G286" s="50" t="n">
        <v>0.72</v>
      </c>
      <c r="H286" s="49" t="n">
        <v>2.8</v>
      </c>
      <c r="I286" s="50" t="n">
        <v>0.42</v>
      </c>
      <c r="J286" s="50" t="n">
        <v>3.31</v>
      </c>
      <c r="K286" s="50" t="inlineStr">
        <is>
          <t>Fail</t>
        </is>
      </c>
      <c r="L286" s="51" t="n"/>
      <c r="M286" s="51" t="n"/>
      <c r="N286" s="51" t="n"/>
    </row>
    <row r="287" ht="13.5" customHeight="1" s="38">
      <c r="A287" s="73" t="inlineStr">
        <is>
          <t>R_0284</t>
        </is>
      </c>
      <c r="B287" s="49" t="n">
        <v>3.5</v>
      </c>
      <c r="C287" s="50" t="n">
        <v>1.225</v>
      </c>
      <c r="D287" s="49" t="n">
        <v>3.1</v>
      </c>
      <c r="E287" s="50" t="n">
        <v>0.93</v>
      </c>
      <c r="F287" s="49" t="n">
        <v>3.6</v>
      </c>
      <c r="G287" s="50" t="n">
        <v>0.72</v>
      </c>
      <c r="H287" s="49" t="n">
        <v>3.4</v>
      </c>
      <c r="I287" s="50" t="n">
        <v>0.51</v>
      </c>
      <c r="J287" s="50" t="n">
        <v>3.38</v>
      </c>
      <c r="K287" s="50" t="inlineStr">
        <is>
          <t>Fail</t>
        </is>
      </c>
      <c r="L287" s="51" t="n"/>
      <c r="M287" s="51" t="n"/>
      <c r="N287" s="51" t="n"/>
    </row>
    <row r="288" ht="13.5" customHeight="1" s="38">
      <c r="A288" s="73" t="inlineStr">
        <is>
          <t>R_0285</t>
        </is>
      </c>
      <c r="B288" s="49" t="inlineStr">
        <is>
          <t>3.9 | 2.8</t>
        </is>
      </c>
      <c r="C288" s="50" t="inlineStr">
        <is>
          <t>1.365 | 0.98</t>
        </is>
      </c>
      <c r="D288" s="49" t="inlineStr">
        <is>
          <t>3.3 | 3.1</t>
        </is>
      </c>
      <c r="E288" s="50" t="inlineStr">
        <is>
          <t>0.99 | 0.93</t>
        </is>
      </c>
      <c r="F288" s="49" t="inlineStr">
        <is>
          <t>3.6 | 3.9</t>
        </is>
      </c>
      <c r="G288" s="50" t="inlineStr">
        <is>
          <t>0.72 | 0.78</t>
        </is>
      </c>
      <c r="H288" s="49" t="inlineStr">
        <is>
          <t>3.8 | 4.0</t>
        </is>
      </c>
      <c r="I288" s="50" t="inlineStr">
        <is>
          <t>0.57 | 0.6</t>
        </is>
      </c>
      <c r="J288" s="50" t="inlineStr">
        <is>
          <t>3.65 | 3.29</t>
        </is>
      </c>
      <c r="K288" s="50" t="inlineStr">
        <is>
          <t>Pass | Fail</t>
        </is>
      </c>
      <c r="L288" s="51" t="n"/>
      <c r="M288" s="51" t="n"/>
      <c r="N288" s="51" t="n"/>
    </row>
    <row r="289" ht="13.5" customHeight="1" s="38">
      <c r="A289" s="73" t="inlineStr">
        <is>
          <t>R_0286</t>
        </is>
      </c>
      <c r="B289" s="49" t="n">
        <v>3.2</v>
      </c>
      <c r="C289" s="50" t="n">
        <v>1.12</v>
      </c>
      <c r="D289" s="49" t="n">
        <v>3.6</v>
      </c>
      <c r="E289" s="50" t="n">
        <v>1.08</v>
      </c>
      <c r="F289" s="49" t="n">
        <v>3.7</v>
      </c>
      <c r="G289" s="50" t="n">
        <v>0.74</v>
      </c>
      <c r="H289" s="49" t="n">
        <v>3.2</v>
      </c>
      <c r="I289" s="50" t="n">
        <v>0.48</v>
      </c>
      <c r="J289" s="50" t="n">
        <v>3.42</v>
      </c>
      <c r="K289" s="50" t="inlineStr">
        <is>
          <t>Fail</t>
        </is>
      </c>
      <c r="L289" s="51" t="n"/>
      <c r="M289" s="51" t="n"/>
      <c r="N289" s="51" t="n"/>
    </row>
    <row r="290" ht="13.5" customHeight="1" s="38">
      <c r="A290" s="73" t="inlineStr">
        <is>
          <t>R_0287</t>
        </is>
      </c>
      <c r="B290" s="49" t="n">
        <v>3.5</v>
      </c>
      <c r="C290" s="50" t="n">
        <v>1.225</v>
      </c>
      <c r="D290" s="49" t="n">
        <v>3</v>
      </c>
      <c r="E290" s="50" t="n">
        <v>0.9</v>
      </c>
      <c r="F290" s="49" t="n">
        <v>3.8</v>
      </c>
      <c r="G290" s="50" t="n">
        <v>0.76</v>
      </c>
      <c r="H290" s="49" t="n">
        <v>2.6</v>
      </c>
      <c r="I290" s="50" t="n">
        <v>0.39</v>
      </c>
      <c r="J290" s="50" t="n">
        <v>3.27</v>
      </c>
      <c r="K290" s="50" t="inlineStr">
        <is>
          <t>Fail</t>
        </is>
      </c>
      <c r="L290" s="51" t="n"/>
      <c r="M290" s="51" t="n"/>
      <c r="N290" s="51" t="n"/>
    </row>
    <row r="291" ht="13.5" customHeight="1" s="38">
      <c r="A291" s="73" t="inlineStr">
        <is>
          <t>R_0288</t>
        </is>
      </c>
      <c r="B291" s="49" t="n">
        <v>3.7</v>
      </c>
      <c r="C291" s="50" t="n">
        <v>1.295</v>
      </c>
      <c r="D291" s="49" t="n">
        <v>4</v>
      </c>
      <c r="E291" s="50" t="n">
        <v>1.2</v>
      </c>
      <c r="F291" s="49" t="n">
        <v>3.4</v>
      </c>
      <c r="G291" s="50" t="n">
        <v>0.68</v>
      </c>
      <c r="H291" s="49" t="n">
        <v>3</v>
      </c>
      <c r="I291" s="50" t="n">
        <v>0.45</v>
      </c>
      <c r="J291" s="50" t="n">
        <v>3.63</v>
      </c>
      <c r="K291" s="50" t="inlineStr">
        <is>
          <t>Pass</t>
        </is>
      </c>
      <c r="L291" s="51" t="n"/>
      <c r="M291" s="51" t="n"/>
      <c r="N291" s="51" t="n"/>
    </row>
    <row r="292" ht="13.5" customHeight="1" s="38">
      <c r="A292" s="73" t="inlineStr">
        <is>
          <t>R_0289</t>
        </is>
      </c>
      <c r="B292" s="49" t="n">
        <v>3.2</v>
      </c>
      <c r="C292" s="50" t="n">
        <v>1.12</v>
      </c>
      <c r="D292" s="49" t="n">
        <v>3.7</v>
      </c>
      <c r="E292" s="50" t="n">
        <v>1.11</v>
      </c>
      <c r="F292" s="49" t="n">
        <v>3.7</v>
      </c>
      <c r="G292" s="50" t="n">
        <v>0.74</v>
      </c>
      <c r="H292" s="49" t="n">
        <v>3.9</v>
      </c>
      <c r="I292" s="50" t="n">
        <v>0.585</v>
      </c>
      <c r="J292" s="50" t="n">
        <v>3.56</v>
      </c>
      <c r="K292" s="50" t="inlineStr">
        <is>
          <t>Pass</t>
        </is>
      </c>
      <c r="L292" s="51" t="n"/>
      <c r="M292" s="51" t="n"/>
      <c r="N292" s="51" t="n"/>
    </row>
    <row r="293" ht="13.5" customHeight="1" s="38">
      <c r="A293" s="73" t="inlineStr">
        <is>
          <t>R_0290</t>
        </is>
      </c>
      <c r="B293" s="49" t="n">
        <v>3.4</v>
      </c>
      <c r="C293" s="50" t="n">
        <v>1.19</v>
      </c>
      <c r="D293" s="49" t="n">
        <v>3</v>
      </c>
      <c r="E293" s="50" t="n">
        <v>0.9</v>
      </c>
      <c r="F293" s="49" t="n">
        <v>3.6</v>
      </c>
      <c r="G293" s="50" t="n">
        <v>0.72</v>
      </c>
      <c r="H293" s="49" t="n">
        <v>3</v>
      </c>
      <c r="I293" s="50" t="n">
        <v>0.45</v>
      </c>
      <c r="J293" s="50" t="n">
        <v>3.26</v>
      </c>
      <c r="K293" s="50" t="inlineStr">
        <is>
          <t>Fail</t>
        </is>
      </c>
      <c r="L293" s="51" t="n"/>
      <c r="M293" s="51" t="n"/>
      <c r="N293" s="51" t="n"/>
    </row>
    <row r="294" ht="13.5" customHeight="1" s="38">
      <c r="A294" s="73" t="inlineStr">
        <is>
          <t>R_0291</t>
        </is>
      </c>
      <c r="B294" s="49" t="n">
        <v>3.8</v>
      </c>
      <c r="C294" s="50" t="n">
        <v>1.33</v>
      </c>
      <c r="D294" s="49" t="n">
        <v>3.7</v>
      </c>
      <c r="E294" s="50" t="n">
        <v>1.11</v>
      </c>
      <c r="F294" s="49" t="n">
        <v>3.3</v>
      </c>
      <c r="G294" s="50" t="n">
        <v>0.66</v>
      </c>
      <c r="H294" s="49" t="n">
        <v>3</v>
      </c>
      <c r="I294" s="50" t="n">
        <v>0.45</v>
      </c>
      <c r="J294" s="50" t="n">
        <v>3.55</v>
      </c>
      <c r="K294" s="50" t="inlineStr">
        <is>
          <t>Pass</t>
        </is>
      </c>
      <c r="L294" s="51" t="n"/>
      <c r="M294" s="51" t="n"/>
      <c r="N294" s="51" t="n"/>
    </row>
    <row r="295" ht="13.5" customHeight="1" s="38">
      <c r="A295" s="73" t="inlineStr">
        <is>
          <t>R_0292</t>
        </is>
      </c>
      <c r="B295" s="49" t="n">
        <v>3</v>
      </c>
      <c r="C295" s="50" t="n">
        <v>1.05</v>
      </c>
      <c r="D295" s="49" t="n">
        <v>3.5</v>
      </c>
      <c r="E295" s="50" t="n">
        <v>1.05</v>
      </c>
      <c r="F295" s="49" t="n">
        <v>3.6</v>
      </c>
      <c r="G295" s="50" t="n">
        <v>0.72</v>
      </c>
      <c r="H295" s="49" t="n">
        <v>4.3</v>
      </c>
      <c r="I295" s="50" t="n">
        <v>0.645</v>
      </c>
      <c r="J295" s="50" t="n">
        <v>3.46</v>
      </c>
      <c r="K295" s="50" t="inlineStr">
        <is>
          <t>Fail</t>
        </is>
      </c>
      <c r="L295" s="51" t="n"/>
      <c r="M295" s="51" t="n"/>
      <c r="N295" s="51" t="n"/>
    </row>
    <row r="296" ht="13.5" customHeight="1" s="38">
      <c r="A296" s="73" t="inlineStr">
        <is>
          <t>R_0293</t>
        </is>
      </c>
      <c r="B296" s="49" t="n">
        <v>4</v>
      </c>
      <c r="C296" s="50" t="n">
        <v>1.4</v>
      </c>
      <c r="D296" s="49" t="n">
        <v>3.5</v>
      </c>
      <c r="E296" s="50" t="n">
        <v>1.05</v>
      </c>
      <c r="F296" s="49" t="n">
        <v>3.7</v>
      </c>
      <c r="G296" s="50" t="n">
        <v>0.74</v>
      </c>
      <c r="H296" s="49" t="n">
        <v>3.8</v>
      </c>
      <c r="I296" s="50" t="n">
        <v>0.57</v>
      </c>
      <c r="J296" s="50" t="n">
        <v>3.76</v>
      </c>
      <c r="K296" s="50" t="inlineStr">
        <is>
          <t>Pass</t>
        </is>
      </c>
      <c r="L296" s="51" t="n"/>
      <c r="M296" s="51" t="n"/>
      <c r="N296" s="51" t="n"/>
    </row>
    <row r="297" ht="13.5" customHeight="1" s="38">
      <c r="A297" s="73" t="inlineStr">
        <is>
          <t>R_0294</t>
        </is>
      </c>
      <c r="B297" s="49" t="inlineStr">
        <is>
          <t>3.6 | 3.9</t>
        </is>
      </c>
      <c r="C297" s="50" t="inlineStr">
        <is>
          <t>1.26 | 1.365</t>
        </is>
      </c>
      <c r="D297" s="49" t="inlineStr">
        <is>
          <t>3.9 | 3.7</t>
        </is>
      </c>
      <c r="E297" s="50" t="inlineStr">
        <is>
          <t>1.17 | 1.11</t>
        </is>
      </c>
      <c r="F297" s="49" t="inlineStr">
        <is>
          <t>3.1 | 2.8</t>
        </is>
      </c>
      <c r="G297" s="50" t="inlineStr">
        <is>
          <t>0.62 | 0.5</t>
        </is>
      </c>
      <c r="H297" s="49" t="inlineStr">
        <is>
          <t>3.0 | 3.7</t>
        </is>
      </c>
      <c r="I297" s="50" t="inlineStr">
        <is>
          <t>0.45 | 0.555</t>
        </is>
      </c>
      <c r="J297" s="50" t="inlineStr">
        <is>
          <t>3.5 | 3.53</t>
        </is>
      </c>
      <c r="K297" s="50" t="inlineStr">
        <is>
          <t>Pass | Pass</t>
        </is>
      </c>
      <c r="L297" s="51" t="n"/>
      <c r="M297" s="51" t="n"/>
      <c r="N297" s="51" t="n"/>
    </row>
    <row r="298" ht="13.5" customHeight="1" s="38">
      <c r="A298" s="73" t="inlineStr">
        <is>
          <t>R_0295</t>
        </is>
      </c>
      <c r="B298" s="49" t="n">
        <v>2.7</v>
      </c>
      <c r="C298" s="50" t="n">
        <v>0.945</v>
      </c>
      <c r="D298" s="49" t="n">
        <v>3.3</v>
      </c>
      <c r="E298" s="50" t="n">
        <v>0.99</v>
      </c>
      <c r="F298" s="49" t="n">
        <v>3.5</v>
      </c>
      <c r="G298" s="50" t="n">
        <v>0.7</v>
      </c>
      <c r="H298" s="49" t="n">
        <v>2.8</v>
      </c>
      <c r="I298" s="50" t="n">
        <v>0.42</v>
      </c>
      <c r="J298" s="50" t="n">
        <v>3.05</v>
      </c>
      <c r="K298" s="50" t="inlineStr">
        <is>
          <t>Fail</t>
        </is>
      </c>
      <c r="L298" s="51" t="n"/>
      <c r="M298" s="51" t="n"/>
      <c r="N298" s="51" t="n"/>
    </row>
    <row r="299" ht="13.5" customHeight="1" s="38">
      <c r="A299" s="73" t="inlineStr">
        <is>
          <t>R_0296</t>
        </is>
      </c>
      <c r="B299" s="49" t="n">
        <v>2.8</v>
      </c>
      <c r="C299" s="50" t="n">
        <v>0.98</v>
      </c>
      <c r="D299" s="49" t="n">
        <v>3.1</v>
      </c>
      <c r="E299" s="50" t="n">
        <v>0.93</v>
      </c>
      <c r="F299" s="49" t="n">
        <v>3.5</v>
      </c>
      <c r="G299" s="50" t="n">
        <v>0.7</v>
      </c>
      <c r="H299" s="49" t="n">
        <v>3.7</v>
      </c>
      <c r="I299" s="50" t="n">
        <v>0.555</v>
      </c>
      <c r="J299" s="50" t="n">
        <v>3.17</v>
      </c>
      <c r="K299" s="50" t="inlineStr">
        <is>
          <t>Fail</t>
        </is>
      </c>
      <c r="L299" s="51" t="n"/>
      <c r="M299" s="51" t="n"/>
      <c r="N299" s="51" t="n"/>
    </row>
    <row r="300" ht="13.5" customHeight="1" s="38">
      <c r="A300" s="73" t="inlineStr">
        <is>
          <t>R_0297</t>
        </is>
      </c>
      <c r="B300" s="49" t="n">
        <v>3.3</v>
      </c>
      <c r="C300" s="50" t="n">
        <v>1.155</v>
      </c>
      <c r="D300" s="49" t="n">
        <v>4</v>
      </c>
      <c r="E300" s="50" t="n">
        <v>1.2</v>
      </c>
      <c r="F300" s="49" t="n">
        <v>3.7</v>
      </c>
      <c r="G300" s="50" t="n">
        <v>0.74</v>
      </c>
      <c r="H300" s="49" t="n">
        <v>4</v>
      </c>
      <c r="I300" s="50" t="n">
        <v>0.6</v>
      </c>
      <c r="J300" s="50" t="n">
        <v>3.69</v>
      </c>
      <c r="K300" s="50" t="inlineStr">
        <is>
          <t>Pass</t>
        </is>
      </c>
      <c r="L300" s="51" t="n"/>
      <c r="M300" s="51" t="n"/>
      <c r="N300" s="51" t="n"/>
    </row>
    <row r="301" ht="13.5" customHeight="1" s="38">
      <c r="A301" s="73" t="inlineStr">
        <is>
          <t>R_0298</t>
        </is>
      </c>
      <c r="B301" s="49" t="n">
        <v>3</v>
      </c>
      <c r="C301" s="50" t="n">
        <v>1.05</v>
      </c>
      <c r="D301" s="49" t="n">
        <v>3.4</v>
      </c>
      <c r="E301" s="50" t="n">
        <v>1.02</v>
      </c>
      <c r="F301" s="49" t="n">
        <v>3.5</v>
      </c>
      <c r="G301" s="50" t="n">
        <v>0.7</v>
      </c>
      <c r="H301" s="49" t="n">
        <v>3.9</v>
      </c>
      <c r="I301" s="50" t="n">
        <v>0.585</v>
      </c>
      <c r="J301" s="50" t="n">
        <v>3.35</v>
      </c>
      <c r="K301" s="50" t="inlineStr">
        <is>
          <t>Fail</t>
        </is>
      </c>
      <c r="L301" s="51" t="n"/>
      <c r="M301" s="51" t="n"/>
      <c r="N301" s="51" t="n"/>
    </row>
    <row r="302" ht="13.5" customHeight="1" s="38">
      <c r="A302" s="73" t="inlineStr">
        <is>
          <t>R_0299</t>
        </is>
      </c>
      <c r="B302" s="49" t="n">
        <v>3.7</v>
      </c>
      <c r="C302" s="50" t="n">
        <v>1.295</v>
      </c>
      <c r="D302" s="49" t="n">
        <v>3.4</v>
      </c>
      <c r="E302" s="50" t="n">
        <v>1.02</v>
      </c>
      <c r="F302" s="49" t="n">
        <v>3.3</v>
      </c>
      <c r="G302" s="50" t="n">
        <v>0.66</v>
      </c>
      <c r="H302" s="49" t="n">
        <v>3</v>
      </c>
      <c r="I302" s="50" t="n">
        <v>0.45</v>
      </c>
      <c r="J302" s="50" t="n">
        <v>3.43</v>
      </c>
      <c r="K302" s="50" t="inlineStr">
        <is>
          <t>Fail</t>
        </is>
      </c>
      <c r="L302" s="51" t="n"/>
      <c r="M302" s="51" t="n"/>
      <c r="N302" s="51" t="n"/>
    </row>
    <row r="303" ht="13.5" customHeight="1" s="38">
      <c r="A303" s="73" t="inlineStr">
        <is>
          <t>R_0300</t>
        </is>
      </c>
      <c r="B303" s="49" t="n">
        <v>3.3</v>
      </c>
      <c r="C303" s="50" t="n">
        <v>1.155</v>
      </c>
      <c r="D303" s="49" t="n">
        <v>2.9</v>
      </c>
      <c r="E303" s="50" t="n">
        <v>0.87</v>
      </c>
      <c r="F303" s="49" t="n">
        <v>3.6</v>
      </c>
      <c r="G303" s="50" t="n">
        <v>0.72</v>
      </c>
      <c r="H303" s="49" t="n">
        <v>3</v>
      </c>
      <c r="I303" s="50" t="n">
        <v>0.45</v>
      </c>
      <c r="J303" s="50" t="n">
        <v>3.2</v>
      </c>
      <c r="K303" s="50" t="inlineStr">
        <is>
          <t>Fail</t>
        </is>
      </c>
      <c r="L303" s="51" t="n"/>
      <c r="M303" s="51" t="n"/>
      <c r="N303" s="51" t="n"/>
    </row>
    <row r="304" ht="13.5" customHeight="1" s="38">
      <c r="A304" s="73" t="inlineStr">
        <is>
          <t>R_0301</t>
        </is>
      </c>
      <c r="B304" s="49" t="n">
        <v>3.5</v>
      </c>
      <c r="C304" s="50" t="n">
        <v>1.225</v>
      </c>
      <c r="D304" s="49" t="n">
        <v>3.6</v>
      </c>
      <c r="E304" s="50" t="n">
        <v>1.08</v>
      </c>
      <c r="F304" s="49" t="n">
        <v>3.8</v>
      </c>
      <c r="G304" s="50" t="n">
        <v>0.76</v>
      </c>
      <c r="H304" s="49" t="n">
        <v>4.7</v>
      </c>
      <c r="I304" s="50" t="n">
        <v>0.705</v>
      </c>
      <c r="J304" s="50" t="n">
        <v>3.77</v>
      </c>
      <c r="K304" s="50" t="inlineStr">
        <is>
          <t>Pass</t>
        </is>
      </c>
      <c r="L304" s="51" t="n"/>
      <c r="M304" s="51" t="n"/>
      <c r="N304" s="51" t="n"/>
    </row>
    <row r="305" ht="13.5" customHeight="1" s="38">
      <c r="A305" s="73" t="inlineStr">
        <is>
          <t>R_0302</t>
        </is>
      </c>
      <c r="B305" s="49" t="n">
        <v>3.6</v>
      </c>
      <c r="C305" s="50" t="n">
        <v>1.26</v>
      </c>
      <c r="D305" s="49" t="n">
        <v>3.7</v>
      </c>
      <c r="E305" s="50" t="n">
        <v>1.11</v>
      </c>
      <c r="F305" s="49" t="n">
        <v>3.3</v>
      </c>
      <c r="G305" s="50" t="n">
        <v>0.66</v>
      </c>
      <c r="H305" s="49" t="n">
        <v>3</v>
      </c>
      <c r="I305" s="50" t="n">
        <v>0.45</v>
      </c>
      <c r="J305" s="50" t="n">
        <v>3.48</v>
      </c>
      <c r="K305" s="50" t="inlineStr">
        <is>
          <t>Fail</t>
        </is>
      </c>
      <c r="L305" s="51" t="n"/>
      <c r="M305" s="51" t="n"/>
      <c r="N305" s="51" t="n"/>
    </row>
    <row r="306" ht="13.5" customHeight="1" s="38">
      <c r="A306" s="73" t="inlineStr">
        <is>
          <t>R_0303</t>
        </is>
      </c>
      <c r="B306" s="49" t="n">
        <v>3.6</v>
      </c>
      <c r="C306" s="50" t="n">
        <v>1.26</v>
      </c>
      <c r="D306" s="49" t="n">
        <v>3.8</v>
      </c>
      <c r="E306" s="50" t="n">
        <v>1.14</v>
      </c>
      <c r="F306" s="49" t="n">
        <v>3.4</v>
      </c>
      <c r="G306" s="50" t="n">
        <v>0.68</v>
      </c>
      <c r="H306" s="49" t="n">
        <v>3</v>
      </c>
      <c r="I306" s="50" t="n">
        <v>0.45</v>
      </c>
      <c r="J306" s="50" t="n">
        <v>3.53</v>
      </c>
      <c r="K306" s="50" t="inlineStr">
        <is>
          <t>Pass</t>
        </is>
      </c>
      <c r="L306" s="51" t="n"/>
      <c r="M306" s="51" t="n"/>
      <c r="N306" s="51" t="n"/>
    </row>
    <row r="307" ht="13.5" customHeight="1" s="38">
      <c r="A307" s="73" t="inlineStr">
        <is>
          <t>R_0304</t>
        </is>
      </c>
      <c r="B307" s="49" t="n">
        <v>3.4</v>
      </c>
      <c r="C307" s="50" t="n">
        <v>1.19</v>
      </c>
      <c r="D307" s="49" t="n">
        <v>2.9</v>
      </c>
      <c r="E307" s="50" t="n">
        <v>0.87</v>
      </c>
      <c r="F307" s="49" t="n">
        <v>3.6</v>
      </c>
      <c r="G307" s="50" t="n">
        <v>0.72</v>
      </c>
      <c r="H307" s="49" t="n">
        <v>3</v>
      </c>
      <c r="I307" s="50" t="n">
        <v>0.45</v>
      </c>
      <c r="J307" s="50" t="n">
        <v>3.23</v>
      </c>
      <c r="K307" s="50" t="inlineStr">
        <is>
          <t>Fail</t>
        </is>
      </c>
      <c r="L307" s="51" t="n"/>
      <c r="M307" s="51" t="n"/>
      <c r="N307" s="51" t="n"/>
    </row>
    <row r="308" ht="13.5" customHeight="1" s="38">
      <c r="A308" s="73" t="inlineStr">
        <is>
          <t>R_0305</t>
        </is>
      </c>
      <c r="B308" s="49" t="n">
        <v>3.5</v>
      </c>
      <c r="C308" s="50" t="n">
        <v>1.225</v>
      </c>
      <c r="D308" s="49" t="n">
        <v>3</v>
      </c>
      <c r="E308" s="50" t="n">
        <v>0.9</v>
      </c>
      <c r="F308" s="49" t="n">
        <v>3.8</v>
      </c>
      <c r="G308" s="50" t="n">
        <v>0.76</v>
      </c>
      <c r="H308" s="49" t="n">
        <v>2.6</v>
      </c>
      <c r="I308" s="50" t="n">
        <v>0.39</v>
      </c>
      <c r="J308" s="50" t="n">
        <v>3.27</v>
      </c>
      <c r="K308" s="50" t="inlineStr">
        <is>
          <t>Fail</t>
        </is>
      </c>
      <c r="L308" s="51" t="n"/>
      <c r="M308" s="51" t="n"/>
      <c r="N308" s="51" t="n"/>
    </row>
    <row r="309" ht="13.5" customHeight="1" s="38">
      <c r="A309" s="73" t="inlineStr">
        <is>
          <t>R_0306</t>
        </is>
      </c>
      <c r="B309" s="49" t="n">
        <v>3.5</v>
      </c>
      <c r="C309" s="50" t="n">
        <v>1.225</v>
      </c>
      <c r="D309" s="49" t="n">
        <v>3.4</v>
      </c>
      <c r="E309" s="50" t="n">
        <v>1.02</v>
      </c>
      <c r="F309" s="49" t="n">
        <v>3.6</v>
      </c>
      <c r="G309" s="50" t="n">
        <v>0.72</v>
      </c>
      <c r="H309" s="49" t="n">
        <v>3.6</v>
      </c>
      <c r="I309" s="50" t="n">
        <v>0.54</v>
      </c>
      <c r="J309" s="50" t="n">
        <v>3.5</v>
      </c>
      <c r="K309" s="50" t="inlineStr">
        <is>
          <t>Pass</t>
        </is>
      </c>
      <c r="L309" s="51" t="n"/>
      <c r="M309" s="51" t="n"/>
      <c r="N309" s="51" t="n"/>
    </row>
    <row r="310" ht="13.5" customHeight="1" s="38">
      <c r="A310" s="73" t="inlineStr">
        <is>
          <t>R_0307</t>
        </is>
      </c>
      <c r="B310" s="49" t="n">
        <v>2.8</v>
      </c>
      <c r="C310" s="50" t="n">
        <v>0.98</v>
      </c>
      <c r="D310" s="49" t="n">
        <v>3.3</v>
      </c>
      <c r="E310" s="50" t="n">
        <v>0.99</v>
      </c>
      <c r="F310" s="49" t="n">
        <v>3.5</v>
      </c>
      <c r="G310" s="50" t="n">
        <v>0.7</v>
      </c>
      <c r="H310" s="49" t="n">
        <v>4.3</v>
      </c>
      <c r="I310" s="50" t="n">
        <v>0.645</v>
      </c>
      <c r="J310" s="50" t="n">
        <v>3.31</v>
      </c>
      <c r="K310" s="50" t="inlineStr">
        <is>
          <t>Fail</t>
        </is>
      </c>
      <c r="L310" s="51" t="n"/>
      <c r="M310" s="51" t="n"/>
      <c r="N310" s="51" t="n"/>
    </row>
    <row r="311" ht="13.5" customHeight="1" s="38">
      <c r="A311" s="73" t="inlineStr">
        <is>
          <t>R_0308</t>
        </is>
      </c>
      <c r="B311" s="49" t="n">
        <v>3.1</v>
      </c>
      <c r="C311" s="50" t="n">
        <v>1.085</v>
      </c>
      <c r="D311" s="49" t="n">
        <v>3.2</v>
      </c>
      <c r="E311" s="50" t="n">
        <v>0.96</v>
      </c>
      <c r="F311" s="49" t="n">
        <v>3.5</v>
      </c>
      <c r="G311" s="50" t="n">
        <v>0.7</v>
      </c>
      <c r="H311" s="49" t="n">
        <v>2.6</v>
      </c>
      <c r="I311" s="50" t="n">
        <v>0.39</v>
      </c>
      <c r="J311" s="50" t="n">
        <v>3.14</v>
      </c>
      <c r="K311" s="50" t="inlineStr">
        <is>
          <t>Fail</t>
        </is>
      </c>
      <c r="L311" s="51" t="n"/>
      <c r="M311" s="51" t="n"/>
      <c r="N311" s="51" t="n"/>
    </row>
    <row r="312" ht="13.5" customHeight="1" s="38">
      <c r="A312" s="73" t="inlineStr">
        <is>
          <t>R_0309</t>
        </is>
      </c>
      <c r="B312" s="49" t="n">
        <v>3.4</v>
      </c>
      <c r="C312" s="50" t="n">
        <v>1.19</v>
      </c>
      <c r="D312" s="49" t="n">
        <v>3.2</v>
      </c>
      <c r="E312" s="50" t="n">
        <v>0.96</v>
      </c>
      <c r="F312" s="49" t="n">
        <v>3.6</v>
      </c>
      <c r="G312" s="50" t="n">
        <v>0.72</v>
      </c>
      <c r="H312" s="49" t="n">
        <v>2.8</v>
      </c>
      <c r="I312" s="50" t="n">
        <v>0.42</v>
      </c>
      <c r="J312" s="50" t="n">
        <v>3.29</v>
      </c>
      <c r="K312" s="50" t="inlineStr">
        <is>
          <t>Fail</t>
        </is>
      </c>
      <c r="L312" s="51" t="n"/>
      <c r="M312" s="51" t="n"/>
      <c r="N312" s="51" t="n"/>
    </row>
    <row r="313" ht="13.5" customHeight="1" s="38">
      <c r="A313" s="73" t="inlineStr">
        <is>
          <t>R_0310</t>
        </is>
      </c>
      <c r="B313" s="49" t="n">
        <v>2.9</v>
      </c>
      <c r="C313" s="50" t="n">
        <v>1.015</v>
      </c>
      <c r="D313" s="49" t="n">
        <v>3.5</v>
      </c>
      <c r="E313" s="50" t="n">
        <v>1.05</v>
      </c>
      <c r="F313" s="49" t="n">
        <v>3.6</v>
      </c>
      <c r="G313" s="50" t="n">
        <v>0.72</v>
      </c>
      <c r="H313" s="49" t="n">
        <v>4.3</v>
      </c>
      <c r="I313" s="50" t="n">
        <v>0.645</v>
      </c>
      <c r="J313" s="50" t="n">
        <v>3.43</v>
      </c>
      <c r="K313" s="50" t="inlineStr">
        <is>
          <t>Fail</t>
        </is>
      </c>
      <c r="L313" s="51" t="n"/>
      <c r="M313" s="51" t="n"/>
      <c r="N313" s="51" t="n"/>
    </row>
    <row r="314" ht="13.5" customHeight="1" s="38">
      <c r="A314" s="73" t="inlineStr">
        <is>
          <t>R_0311</t>
        </is>
      </c>
      <c r="B314" s="49" t="n">
        <v>2.5</v>
      </c>
      <c r="C314" s="50" t="n">
        <v>0.875</v>
      </c>
      <c r="D314" s="49" t="n">
        <v>2.9</v>
      </c>
      <c r="E314" s="50" t="n">
        <v>0.87</v>
      </c>
      <c r="F314" s="49" t="n">
        <v>3.3</v>
      </c>
      <c r="G314" s="50" t="n">
        <v>0.66</v>
      </c>
      <c r="H314" s="49" t="n">
        <v>3.6</v>
      </c>
      <c r="I314" s="50" t="n">
        <v>0.54</v>
      </c>
      <c r="J314" s="50" t="n">
        <v>2.95</v>
      </c>
      <c r="K314" s="50" t="inlineStr">
        <is>
          <t>Fail</t>
        </is>
      </c>
      <c r="L314" s="51" t="n"/>
      <c r="M314" s="51" t="n"/>
      <c r="N314" s="51" t="n"/>
    </row>
    <row r="315" ht="13.5" customHeight="1" s="38">
      <c r="A315" s="73" t="inlineStr">
        <is>
          <t>R_0312</t>
        </is>
      </c>
      <c r="B315" s="49" t="n">
        <v>3.5</v>
      </c>
      <c r="C315" s="50" t="n">
        <v>1.225</v>
      </c>
      <c r="D315" s="49" t="n">
        <v>4.1</v>
      </c>
      <c r="E315" s="50" t="n">
        <v>1.23</v>
      </c>
      <c r="F315" s="49" t="n">
        <v>3.2</v>
      </c>
      <c r="G315" s="50" t="n">
        <v>0.64</v>
      </c>
      <c r="H315" s="49" t="n">
        <v>3</v>
      </c>
      <c r="I315" s="50" t="n">
        <v>0.45</v>
      </c>
      <c r="J315" s="50" t="n">
        <v>3.55</v>
      </c>
      <c r="K315" s="50" t="inlineStr">
        <is>
          <t>Pass</t>
        </is>
      </c>
      <c r="L315" s="51" t="n"/>
      <c r="M315" s="51" t="n"/>
      <c r="N315" s="51" t="n"/>
    </row>
    <row r="316" ht="13.5" customHeight="1" s="38">
      <c r="A316" s="73" t="inlineStr">
        <is>
          <t>R_0313</t>
        </is>
      </c>
      <c r="B316" s="49" t="n">
        <v>3.5</v>
      </c>
      <c r="C316" s="50" t="n">
        <v>1.225</v>
      </c>
      <c r="D316" s="49" t="n">
        <v>3</v>
      </c>
      <c r="E316" s="50" t="n">
        <v>0.9</v>
      </c>
      <c r="F316" s="49" t="n">
        <v>3.7</v>
      </c>
      <c r="G316" s="50" t="n">
        <v>0.74</v>
      </c>
      <c r="H316" s="49" t="n">
        <v>3.3</v>
      </c>
      <c r="I316" s="50" t="n">
        <v>0.495</v>
      </c>
      <c r="J316" s="50" t="n">
        <v>3.36</v>
      </c>
      <c r="K316" s="50" t="inlineStr">
        <is>
          <t>Fail</t>
        </is>
      </c>
      <c r="L316" s="51" t="n"/>
      <c r="M316" s="51" t="n"/>
      <c r="N316" s="51" t="n"/>
    </row>
    <row r="317" ht="13.5" customHeight="1" s="38">
      <c r="A317" s="73" t="inlineStr">
        <is>
          <t>R_0314</t>
        </is>
      </c>
      <c r="B317" s="49" t="n">
        <v>3.7</v>
      </c>
      <c r="C317" s="50" t="n">
        <v>1.295</v>
      </c>
      <c r="D317" s="49" t="n">
        <v>3</v>
      </c>
      <c r="E317" s="50" t="n">
        <v>0.9</v>
      </c>
      <c r="F317" s="49" t="n">
        <v>3.8</v>
      </c>
      <c r="G317" s="50" t="n">
        <v>0.76</v>
      </c>
      <c r="H317" s="49" t="n">
        <v>3</v>
      </c>
      <c r="I317" s="50" t="n">
        <v>0.45</v>
      </c>
      <c r="J317" s="50" t="n">
        <v>3.41</v>
      </c>
      <c r="K317" s="50" t="inlineStr">
        <is>
          <t>Fail</t>
        </is>
      </c>
      <c r="L317" s="51" t="n"/>
      <c r="M317" s="51" t="n"/>
      <c r="N317" s="51" t="n"/>
    </row>
    <row r="318" ht="13.5" customHeight="1" s="38">
      <c r="A318" s="73" t="inlineStr">
        <is>
          <t>R_0315</t>
        </is>
      </c>
      <c r="B318" s="49" t="n">
        <v>3.2</v>
      </c>
      <c r="C318" s="50" t="n">
        <v>1.12</v>
      </c>
      <c r="D318" s="49" t="n">
        <v>3.6</v>
      </c>
      <c r="E318" s="50" t="n">
        <v>1.08</v>
      </c>
      <c r="F318" s="49" t="n">
        <v>3.7</v>
      </c>
      <c r="G318" s="50" t="n">
        <v>0.74</v>
      </c>
      <c r="H318" s="49" t="n">
        <v>3.3</v>
      </c>
      <c r="I318" s="50" t="n">
        <v>0.495</v>
      </c>
      <c r="J318" s="50" t="n">
        <v>3.44</v>
      </c>
      <c r="K318" s="50" t="inlineStr">
        <is>
          <t>Fail</t>
        </is>
      </c>
      <c r="L318" s="51" t="n"/>
      <c r="M318" s="51" t="n"/>
      <c r="N318" s="51" t="n"/>
    </row>
    <row r="319" ht="13.5" customHeight="1" s="38">
      <c r="A319" s="73" t="inlineStr">
        <is>
          <t>R_0316</t>
        </is>
      </c>
      <c r="B319" s="49" t="n">
        <v>3.6</v>
      </c>
      <c r="C319" s="50" t="n">
        <v>1.26</v>
      </c>
      <c r="D319" s="49" t="n">
        <v>3.1</v>
      </c>
      <c r="E319" s="50" t="n">
        <v>0.93</v>
      </c>
      <c r="F319" s="49" t="n">
        <v>3.8</v>
      </c>
      <c r="G319" s="50" t="n">
        <v>0.76</v>
      </c>
      <c r="H319" s="49" t="n">
        <v>3.6</v>
      </c>
      <c r="I319" s="50" t="n">
        <v>0.54</v>
      </c>
      <c r="J319" s="50" t="n">
        <v>3.49</v>
      </c>
      <c r="K319" s="50" t="inlineStr">
        <is>
          <t>Fail</t>
        </is>
      </c>
      <c r="L319" s="51" t="n"/>
      <c r="M319" s="51" t="n"/>
      <c r="N319" s="51" t="n"/>
    </row>
    <row r="320" ht="13.5" customHeight="1" s="38">
      <c r="A320" s="73" t="inlineStr">
        <is>
          <t>R_0317</t>
        </is>
      </c>
      <c r="B320" s="49" t="n">
        <v>3.6</v>
      </c>
      <c r="C320" s="50" t="n">
        <v>1.26</v>
      </c>
      <c r="D320" s="49" t="n">
        <v>3.9</v>
      </c>
      <c r="E320" s="50" t="n">
        <v>1.17</v>
      </c>
      <c r="F320" s="49" t="n">
        <v>3.3</v>
      </c>
      <c r="G320" s="50" t="n">
        <v>0.66</v>
      </c>
      <c r="H320" s="49" t="n">
        <v>3</v>
      </c>
      <c r="I320" s="50" t="n">
        <v>0.45</v>
      </c>
      <c r="J320" s="50" t="n">
        <v>3.54</v>
      </c>
      <c r="K320" s="50" t="inlineStr">
        <is>
          <t>Pass</t>
        </is>
      </c>
      <c r="L320" s="51" t="n"/>
      <c r="M320" s="51" t="n"/>
      <c r="N320" s="51" t="n"/>
    </row>
    <row r="321" ht="13.5" customHeight="1" s="38">
      <c r="A321" s="73" t="inlineStr">
        <is>
          <t>R_0318</t>
        </is>
      </c>
      <c r="B321" s="49" t="n">
        <v>3.5</v>
      </c>
      <c r="C321" s="50" t="n">
        <v>1.225</v>
      </c>
      <c r="D321" s="49" t="n">
        <v>3.3</v>
      </c>
      <c r="E321" s="50" t="n">
        <v>0.99</v>
      </c>
      <c r="F321" s="49" t="n">
        <v>3.7</v>
      </c>
      <c r="G321" s="50" t="n">
        <v>0.74</v>
      </c>
      <c r="H321" s="49" t="n">
        <v>3.6</v>
      </c>
      <c r="I321" s="50" t="n">
        <v>0.54</v>
      </c>
      <c r="J321" s="50" t="n">
        <v>3.5</v>
      </c>
      <c r="K321" s="50" t="inlineStr">
        <is>
          <t>Pass</t>
        </is>
      </c>
      <c r="L321" s="51" t="n"/>
      <c r="M321" s="51" t="n"/>
      <c r="N321" s="51" t="n"/>
    </row>
    <row r="322" ht="13.5" customHeight="1" s="38">
      <c r="A322" s="73" t="inlineStr">
        <is>
          <t>R_0319</t>
        </is>
      </c>
      <c r="B322" s="49" t="n">
        <v>3.5</v>
      </c>
      <c r="C322" s="50" t="n">
        <v>1.225</v>
      </c>
      <c r="D322" s="49" t="n">
        <v>3.1</v>
      </c>
      <c r="E322" s="50" t="n">
        <v>0.93</v>
      </c>
      <c r="F322" s="49" t="n">
        <v>3.6</v>
      </c>
      <c r="G322" s="50" t="n">
        <v>0.72</v>
      </c>
      <c r="H322" s="49" t="n">
        <v>3</v>
      </c>
      <c r="I322" s="50" t="n">
        <v>0.45</v>
      </c>
      <c r="J322" s="50" t="n">
        <v>3.33</v>
      </c>
      <c r="K322" s="50" t="inlineStr">
        <is>
          <t>Fail</t>
        </is>
      </c>
      <c r="L322" s="51" t="n"/>
      <c r="M322" s="51" t="n"/>
      <c r="N322" s="51" t="n"/>
    </row>
    <row r="323" ht="13.5" customHeight="1" s="38">
      <c r="A323" s="73" t="inlineStr">
        <is>
          <t>R_0320</t>
        </is>
      </c>
      <c r="B323" s="49" t="n">
        <v>3.5</v>
      </c>
      <c r="C323" s="50" t="n">
        <v>1.225</v>
      </c>
      <c r="D323" s="49" t="n">
        <v>3.9</v>
      </c>
      <c r="E323" s="50" t="n">
        <v>1.17</v>
      </c>
      <c r="F323" s="49" t="n">
        <v>3.7</v>
      </c>
      <c r="G323" s="50" t="n">
        <v>0.74</v>
      </c>
      <c r="H323" s="49" t="n">
        <v>3.2</v>
      </c>
      <c r="I323" s="50" t="n">
        <v>0.48</v>
      </c>
      <c r="J323" s="50" t="n">
        <v>3.61</v>
      </c>
      <c r="K323" s="50" t="inlineStr">
        <is>
          <t>Pass</t>
        </is>
      </c>
      <c r="L323" s="51" t="n"/>
      <c r="M323" s="51" t="n"/>
      <c r="N323" s="51" t="n"/>
    </row>
    <row r="324" ht="13.5" customHeight="1" s="38">
      <c r="A324" s="73" t="inlineStr">
        <is>
          <t>R_0321</t>
        </is>
      </c>
      <c r="B324" s="49" t="n">
        <v>3.2</v>
      </c>
      <c r="C324" s="50" t="n">
        <v>1.12</v>
      </c>
      <c r="D324" s="49" t="n">
        <v>3.1</v>
      </c>
      <c r="E324" s="50" t="n">
        <v>0.93</v>
      </c>
      <c r="F324" s="49" t="n">
        <v>3.4</v>
      </c>
      <c r="G324" s="50" t="n">
        <v>0.68</v>
      </c>
      <c r="H324" s="49" t="n">
        <v>2.8</v>
      </c>
      <c r="I324" s="50" t="n">
        <v>0.42</v>
      </c>
      <c r="J324" s="50" t="n">
        <v>3.15</v>
      </c>
      <c r="K324" s="50" t="inlineStr">
        <is>
          <t>Fail</t>
        </is>
      </c>
      <c r="L324" s="51" t="n"/>
      <c r="M324" s="51" t="n"/>
      <c r="N324" s="51" t="n"/>
    </row>
    <row r="325" ht="13.5" customHeight="1" s="38">
      <c r="A325" s="73" t="inlineStr">
        <is>
          <t>R_0322</t>
        </is>
      </c>
      <c r="B325" s="49" t="n">
        <v>3.6</v>
      </c>
      <c r="C325" s="50" t="n">
        <v>1.26</v>
      </c>
      <c r="D325" s="49" t="n">
        <v>2.9</v>
      </c>
      <c r="E325" s="50" t="n">
        <v>0.87</v>
      </c>
      <c r="F325" s="49" t="n">
        <v>3.7</v>
      </c>
      <c r="G325" s="50" t="n">
        <v>0.74</v>
      </c>
      <c r="H325" s="49" t="n">
        <v>3.4</v>
      </c>
      <c r="I325" s="50" t="n">
        <v>0.51</v>
      </c>
      <c r="J325" s="50" t="n">
        <v>3.38</v>
      </c>
      <c r="K325" s="50" t="inlineStr">
        <is>
          <t>Fail</t>
        </is>
      </c>
      <c r="L325" s="51" t="n"/>
      <c r="M325" s="51" t="n"/>
      <c r="N325" s="51" t="n"/>
    </row>
    <row r="326" ht="13.5" customHeight="1" s="38">
      <c r="A326" s="73" t="inlineStr">
        <is>
          <t>R_0323</t>
        </is>
      </c>
      <c r="B326" s="49" t="n">
        <v>3.8</v>
      </c>
      <c r="C326" s="50" t="n">
        <v>1.33</v>
      </c>
      <c r="D326" s="49" t="n">
        <v>3.2</v>
      </c>
      <c r="E326" s="50" t="n">
        <v>0.96</v>
      </c>
      <c r="F326" s="49" t="n">
        <v>3.7</v>
      </c>
      <c r="G326" s="50" t="n">
        <v>0.74</v>
      </c>
      <c r="H326" s="49" t="n">
        <v>3.8</v>
      </c>
      <c r="I326" s="50" t="n">
        <v>0.57</v>
      </c>
      <c r="J326" s="50" t="n">
        <v>3.6</v>
      </c>
      <c r="K326" s="50" t="inlineStr">
        <is>
          <t>Pass</t>
        </is>
      </c>
      <c r="L326" s="51" t="n"/>
      <c r="M326" s="51" t="n"/>
      <c r="N326" s="51" t="n"/>
    </row>
    <row r="327" ht="13.5" customHeight="1" s="38">
      <c r="A327" s="73" t="inlineStr">
        <is>
          <t>R_0324</t>
        </is>
      </c>
      <c r="B327" s="49" t="n">
        <v>3.2</v>
      </c>
      <c r="C327" s="50" t="n">
        <v>1.12</v>
      </c>
      <c r="D327" s="49" t="n">
        <v>3.4</v>
      </c>
      <c r="E327" s="50" t="n">
        <v>1.02</v>
      </c>
      <c r="F327" s="49" t="n">
        <v>3.6</v>
      </c>
      <c r="G327" s="50" t="n">
        <v>0.72</v>
      </c>
      <c r="H327" s="49" t="n">
        <v>4.4</v>
      </c>
      <c r="I327" s="50" t="n">
        <v>0.66</v>
      </c>
      <c r="J327" s="50" t="n">
        <v>3.52</v>
      </c>
      <c r="K327" s="50" t="inlineStr">
        <is>
          <t>Pass</t>
        </is>
      </c>
      <c r="L327" s="51" t="n"/>
      <c r="M327" s="51" t="n"/>
      <c r="N327" s="51" t="n"/>
    </row>
    <row r="328" ht="13.5" customHeight="1" s="38">
      <c r="A328" s="73" t="inlineStr">
        <is>
          <t>R_0325</t>
        </is>
      </c>
      <c r="B328" s="49" t="n">
        <v>3.6</v>
      </c>
      <c r="C328" s="50" t="n">
        <v>1.26</v>
      </c>
      <c r="D328" s="49" t="n">
        <v>3.3</v>
      </c>
      <c r="E328" s="50" t="n">
        <v>0.99</v>
      </c>
      <c r="F328" s="49" t="n">
        <v>3.7</v>
      </c>
      <c r="G328" s="50" t="n">
        <v>0.74</v>
      </c>
      <c r="H328" s="49" t="n">
        <v>3.6</v>
      </c>
      <c r="I328" s="50" t="n">
        <v>0.54</v>
      </c>
      <c r="J328" s="50" t="n">
        <v>3.53</v>
      </c>
      <c r="K328" s="50" t="inlineStr">
        <is>
          <t>Pass</t>
        </is>
      </c>
      <c r="L328" s="51" t="n"/>
      <c r="M328" s="51" t="n"/>
      <c r="N328" s="51" t="n"/>
    </row>
    <row r="329" ht="13.5" customHeight="1" s="38">
      <c r="A329" s="73" t="inlineStr">
        <is>
          <t>R_0326</t>
        </is>
      </c>
      <c r="B329" s="49" t="n">
        <v>3.9</v>
      </c>
      <c r="C329" s="50" t="n">
        <v>1.365</v>
      </c>
      <c r="D329" s="49" t="n">
        <v>4.1</v>
      </c>
      <c r="E329" s="50" t="n">
        <v>1.23</v>
      </c>
      <c r="F329" s="49" t="n">
        <v>2.8</v>
      </c>
      <c r="G329" s="50" t="n">
        <v>0.5600000000000001</v>
      </c>
      <c r="H329" s="49" t="n">
        <v>2.8</v>
      </c>
      <c r="I329" s="50" t="n">
        <v>0.42</v>
      </c>
      <c r="J329" s="50" t="n">
        <v>3.57</v>
      </c>
      <c r="K329" s="50" t="inlineStr">
        <is>
          <t>Pass</t>
        </is>
      </c>
      <c r="L329" s="51" t="n"/>
      <c r="M329" s="51" t="n"/>
      <c r="N329" s="51" t="n"/>
    </row>
    <row r="330" ht="13.5" customHeight="1" s="38">
      <c r="A330" s="73" t="inlineStr">
        <is>
          <t>R_0327</t>
        </is>
      </c>
      <c r="B330" s="49" t="n">
        <v>3.2</v>
      </c>
      <c r="C330" s="50" t="n">
        <v>1.12</v>
      </c>
      <c r="D330" s="49" t="n">
        <v>3.9</v>
      </c>
      <c r="E330" s="50" t="n">
        <v>1.17</v>
      </c>
      <c r="F330" s="49" t="n">
        <v>3.2</v>
      </c>
      <c r="G330" s="50" t="n">
        <v>0.64</v>
      </c>
      <c r="H330" s="49" t="n">
        <v>2.8</v>
      </c>
      <c r="I330" s="50" t="n">
        <v>0.42</v>
      </c>
      <c r="J330" s="50" t="n">
        <v>3.35</v>
      </c>
      <c r="K330" s="50" t="inlineStr">
        <is>
          <t>Fail</t>
        </is>
      </c>
      <c r="L330" s="51" t="n"/>
      <c r="M330" s="51" t="n"/>
      <c r="N330" s="51" t="n"/>
    </row>
    <row r="331" ht="13.5" customHeight="1" s="38">
      <c r="A331" s="73" t="inlineStr">
        <is>
          <t>R_0328</t>
        </is>
      </c>
      <c r="B331" s="49" t="n">
        <v>3.5</v>
      </c>
      <c r="C331" s="50" t="n">
        <v>1.225</v>
      </c>
      <c r="D331" s="49" t="n">
        <v>4.1</v>
      </c>
      <c r="E331" s="50" t="n">
        <v>1.23</v>
      </c>
      <c r="F331" s="49" t="n">
        <v>3.2</v>
      </c>
      <c r="G331" s="50" t="n">
        <v>0.64</v>
      </c>
      <c r="H331" s="49" t="n">
        <v>3</v>
      </c>
      <c r="I331" s="50" t="n">
        <v>0.45</v>
      </c>
      <c r="J331" s="50" t="n">
        <v>3.55</v>
      </c>
      <c r="K331" s="50" t="inlineStr">
        <is>
          <t>Pass</t>
        </is>
      </c>
      <c r="L331" s="51" t="n"/>
      <c r="M331" s="51" t="n"/>
      <c r="N331" s="51" t="n"/>
    </row>
    <row r="332" ht="13.5" customHeight="1" s="38">
      <c r="A332" s="73" t="inlineStr">
        <is>
          <t>R_0329</t>
        </is>
      </c>
      <c r="B332" s="49" t="n">
        <v>3.6</v>
      </c>
      <c r="C332" s="50" t="n">
        <v>1.26</v>
      </c>
      <c r="D332" s="49" t="n">
        <v>3.5</v>
      </c>
      <c r="E332" s="50" t="n">
        <v>1.05</v>
      </c>
      <c r="F332" s="49" t="n">
        <v>3.4</v>
      </c>
      <c r="G332" s="50" t="n">
        <v>0.68</v>
      </c>
      <c r="H332" s="49" t="n">
        <v>2.8</v>
      </c>
      <c r="I332" s="50" t="n">
        <v>0.42</v>
      </c>
      <c r="J332" s="50" t="n">
        <v>3.41</v>
      </c>
      <c r="K332" s="50" t="inlineStr">
        <is>
          <t>Fail</t>
        </is>
      </c>
      <c r="L332" s="51" t="n"/>
      <c r="M332" s="51" t="n"/>
      <c r="N332" s="51" t="n"/>
    </row>
    <row r="333" ht="13.5" customHeight="1" s="38">
      <c r="A333" s="73" t="inlineStr">
        <is>
          <t>R_0330</t>
        </is>
      </c>
      <c r="B333" s="49" t="n">
        <v>3.3</v>
      </c>
      <c r="C333" s="50" t="n">
        <v>1.155</v>
      </c>
      <c r="D333" s="49" t="n">
        <v>3.3</v>
      </c>
      <c r="E333" s="50" t="n">
        <v>0.99</v>
      </c>
      <c r="F333" s="49" t="n">
        <v>3.5</v>
      </c>
      <c r="G333" s="50" t="n">
        <v>0.7</v>
      </c>
      <c r="H333" s="49" t="n">
        <v>2.8</v>
      </c>
      <c r="I333" s="50" t="n">
        <v>0.42</v>
      </c>
      <c r="J333" s="50" t="n">
        <v>3.26</v>
      </c>
      <c r="K333" s="50" t="inlineStr">
        <is>
          <t>Fail</t>
        </is>
      </c>
      <c r="L333" s="51" t="n"/>
      <c r="M333" s="51" t="n"/>
      <c r="N333" s="51" t="n"/>
    </row>
    <row r="334" ht="13.5" customHeight="1" s="38">
      <c r="A334" s="73" t="inlineStr">
        <is>
          <t>R_0331</t>
        </is>
      </c>
      <c r="B334" s="49" t="n">
        <v>2.7</v>
      </c>
      <c r="C334" s="50" t="n">
        <v>0.945</v>
      </c>
      <c r="D334" s="49" t="n">
        <v>3.4</v>
      </c>
      <c r="E334" s="50" t="n">
        <v>1.02</v>
      </c>
      <c r="F334" s="49" t="n">
        <v>3.4</v>
      </c>
      <c r="G334" s="50" t="n">
        <v>0.68</v>
      </c>
      <c r="H334" s="49" t="n">
        <v>2.8</v>
      </c>
      <c r="I334" s="50" t="n">
        <v>0.42</v>
      </c>
      <c r="J334" s="50" t="n">
        <v>3.06</v>
      </c>
      <c r="K334" s="50" t="inlineStr">
        <is>
          <t>Fail</t>
        </is>
      </c>
      <c r="L334" s="51" t="n"/>
      <c r="M334" s="51" t="n"/>
      <c r="N334" s="51" t="n"/>
    </row>
    <row r="335" ht="13.5" customHeight="1" s="38">
      <c r="A335" s="73" t="inlineStr">
        <is>
          <t>R_0332</t>
        </is>
      </c>
      <c r="B335" s="49" t="n">
        <v>3.2</v>
      </c>
      <c r="C335" s="50" t="n">
        <v>1.12</v>
      </c>
      <c r="D335" s="49" t="n">
        <v>3.4</v>
      </c>
      <c r="E335" s="50" t="n">
        <v>1.02</v>
      </c>
      <c r="F335" s="49" t="n">
        <v>3.8</v>
      </c>
      <c r="G335" s="50" t="n">
        <v>0.76</v>
      </c>
      <c r="H335" s="49" t="n">
        <v>3.3</v>
      </c>
      <c r="I335" s="50" t="n">
        <v>0.495</v>
      </c>
      <c r="J335" s="50" t="n">
        <v>3.39</v>
      </c>
      <c r="K335" s="50" t="inlineStr">
        <is>
          <t>Fail</t>
        </is>
      </c>
      <c r="L335" s="51" t="n"/>
      <c r="M335" s="51" t="n"/>
      <c r="N335" s="51" t="n"/>
    </row>
    <row r="336" ht="13.5" customHeight="1" s="38">
      <c r="A336" s="73" t="inlineStr">
        <is>
          <t>R_0333</t>
        </is>
      </c>
      <c r="B336" s="49" t="n">
        <v>3.2</v>
      </c>
      <c r="C336" s="50" t="n">
        <v>1.12</v>
      </c>
      <c r="D336" s="49" t="n">
        <v>3.3</v>
      </c>
      <c r="E336" s="50" t="n">
        <v>0.99</v>
      </c>
      <c r="F336" s="49" t="n">
        <v>3.7</v>
      </c>
      <c r="G336" s="50" t="n">
        <v>0.74</v>
      </c>
      <c r="H336" s="49" t="n">
        <v>3.9</v>
      </c>
      <c r="I336" s="50" t="n">
        <v>0.585</v>
      </c>
      <c r="J336" s="50" t="n">
        <v>3.44</v>
      </c>
      <c r="K336" s="50" t="inlineStr">
        <is>
          <t>Fail</t>
        </is>
      </c>
      <c r="L336" s="51" t="n"/>
      <c r="M336" s="51" t="n"/>
      <c r="N336" s="51" t="n"/>
    </row>
    <row r="337" ht="13.5" customHeight="1" s="38">
      <c r="A337" s="73" t="inlineStr">
        <is>
          <t>R_0334</t>
        </is>
      </c>
      <c r="B337" s="49" t="n">
        <v>3.4</v>
      </c>
      <c r="C337" s="50" t="n">
        <v>1.19</v>
      </c>
      <c r="D337" s="49" t="n">
        <v>3.5</v>
      </c>
      <c r="E337" s="50" t="n">
        <v>1.05</v>
      </c>
      <c r="F337" s="49" t="n">
        <v>3.6</v>
      </c>
      <c r="G337" s="50" t="n">
        <v>0.72</v>
      </c>
      <c r="H337" s="49" t="n">
        <v>2.8</v>
      </c>
      <c r="I337" s="50" t="n">
        <v>0.42</v>
      </c>
      <c r="J337" s="50" t="n">
        <v>3.38</v>
      </c>
      <c r="K337" s="50" t="inlineStr">
        <is>
          <t>Fail</t>
        </is>
      </c>
      <c r="L337" s="51" t="n"/>
      <c r="M337" s="51" t="n"/>
      <c r="N337" s="51" t="n"/>
    </row>
    <row r="338" ht="13.5" customHeight="1" s="38">
      <c r="A338" s="73" t="inlineStr">
        <is>
          <t>R_0335</t>
        </is>
      </c>
      <c r="B338" s="49" t="n">
        <v>3.7</v>
      </c>
      <c r="C338" s="50" t="n">
        <v>1.295</v>
      </c>
      <c r="D338" s="49" t="n">
        <v>4</v>
      </c>
      <c r="E338" s="50" t="n">
        <v>1.2</v>
      </c>
      <c r="F338" s="49" t="n">
        <v>3.3</v>
      </c>
      <c r="G338" s="50" t="n">
        <v>0.66</v>
      </c>
      <c r="H338" s="49" t="n">
        <v>3</v>
      </c>
      <c r="I338" s="50" t="n">
        <v>0.45</v>
      </c>
      <c r="J338" s="50" t="n">
        <v>3.61</v>
      </c>
      <c r="K338" s="50" t="inlineStr">
        <is>
          <t>Pass</t>
        </is>
      </c>
      <c r="L338" s="51" t="n"/>
      <c r="M338" s="51" t="n"/>
      <c r="N338" s="51" t="n"/>
    </row>
    <row r="339" ht="13.5" customHeight="1" s="38">
      <c r="A339" s="73" t="inlineStr">
        <is>
          <t>R_0336</t>
        </is>
      </c>
      <c r="B339" s="49" t="n">
        <v>3.3</v>
      </c>
      <c r="C339" s="50" t="n">
        <v>1.155</v>
      </c>
      <c r="D339" s="49" t="n">
        <v>3</v>
      </c>
      <c r="E339" s="50" t="n">
        <v>0.9</v>
      </c>
      <c r="F339" s="49" t="n">
        <v>3.6</v>
      </c>
      <c r="G339" s="50" t="n">
        <v>0.72</v>
      </c>
      <c r="H339" s="49" t="n">
        <v>3.3</v>
      </c>
      <c r="I339" s="50" t="n">
        <v>0.495</v>
      </c>
      <c r="J339" s="50" t="n">
        <v>3.27</v>
      </c>
      <c r="K339" s="50" t="inlineStr">
        <is>
          <t>Fail</t>
        </is>
      </c>
      <c r="L339" s="51" t="n"/>
      <c r="M339" s="51" t="n"/>
      <c r="N339" s="51" t="n"/>
    </row>
    <row r="340" ht="13.5" customHeight="1" s="38">
      <c r="A340" s="73" t="inlineStr">
        <is>
          <t>R_0337</t>
        </is>
      </c>
      <c r="B340" s="49" t="n">
        <v>3.5</v>
      </c>
      <c r="C340" s="50" t="n">
        <v>1.225</v>
      </c>
      <c r="D340" s="49" t="n">
        <v>3.1</v>
      </c>
      <c r="E340" s="50" t="n">
        <v>0.93</v>
      </c>
      <c r="F340" s="49" t="n">
        <v>3.6</v>
      </c>
      <c r="G340" s="50" t="n">
        <v>0.72</v>
      </c>
      <c r="H340" s="49" t="n">
        <v>3.6</v>
      </c>
      <c r="I340" s="50" t="n">
        <v>0.54</v>
      </c>
      <c r="J340" s="50" t="n">
        <v>3.42</v>
      </c>
      <c r="K340" s="50" t="inlineStr">
        <is>
          <t>Fail</t>
        </is>
      </c>
      <c r="L340" s="51" t="n"/>
      <c r="M340" s="51" t="n"/>
      <c r="N340" s="51" t="n"/>
    </row>
    <row r="341" ht="13.5" customHeight="1" s="38">
      <c r="A341" s="73" t="inlineStr">
        <is>
          <t>R_0338</t>
        </is>
      </c>
      <c r="B341" s="49" t="n">
        <v>3.5</v>
      </c>
      <c r="C341" s="50" t="n">
        <v>1.225</v>
      </c>
      <c r="D341" s="49" t="n">
        <v>3.3</v>
      </c>
      <c r="E341" s="50" t="n">
        <v>0.99</v>
      </c>
      <c r="F341" s="49" t="n">
        <v>3.7</v>
      </c>
      <c r="G341" s="50" t="n">
        <v>0.74</v>
      </c>
      <c r="H341" s="49" t="n">
        <v>3.6</v>
      </c>
      <c r="I341" s="50" t="n">
        <v>0.54</v>
      </c>
      <c r="J341" s="50" t="n">
        <v>3.5</v>
      </c>
      <c r="K341" s="50" t="inlineStr">
        <is>
          <t>Pass</t>
        </is>
      </c>
      <c r="L341" s="51" t="n"/>
      <c r="M341" s="51" t="n"/>
      <c r="N341" s="51" t="n"/>
    </row>
    <row r="342" ht="13.5" customHeight="1" s="38">
      <c r="A342" s="73" t="inlineStr">
        <is>
          <t>R_0339</t>
        </is>
      </c>
      <c r="B342" s="49" t="n">
        <v>3.7</v>
      </c>
      <c r="C342" s="50" t="n">
        <v>1.295</v>
      </c>
      <c r="D342" s="49" t="n">
        <v>3.9</v>
      </c>
      <c r="E342" s="50" t="n">
        <v>1.17</v>
      </c>
      <c r="F342" s="49" t="n">
        <v>3.7</v>
      </c>
      <c r="G342" s="50" t="n">
        <v>0.74</v>
      </c>
      <c r="H342" s="49" t="n">
        <v>3.3</v>
      </c>
      <c r="I342" s="50" t="n">
        <v>0.495</v>
      </c>
      <c r="J342" s="50" t="n">
        <v>3.7</v>
      </c>
      <c r="K342" s="50" t="inlineStr">
        <is>
          <t>Pass</t>
        </is>
      </c>
      <c r="L342" s="51" t="n"/>
      <c r="M342" s="51" t="n"/>
      <c r="N342" s="51" t="n"/>
    </row>
    <row r="343" ht="13.5" customHeight="1" s="38">
      <c r="A343" s="73" t="inlineStr">
        <is>
          <t>R_0340</t>
        </is>
      </c>
      <c r="B343" s="49" t="n">
        <v>3.4</v>
      </c>
      <c r="C343" s="50" t="n">
        <v>1.19</v>
      </c>
      <c r="D343" s="49" t="n">
        <v>2.8</v>
      </c>
      <c r="E343" s="50" t="n">
        <v>0.84</v>
      </c>
      <c r="F343" s="49" t="n">
        <v>3.6</v>
      </c>
      <c r="G343" s="50" t="n">
        <v>0.72</v>
      </c>
      <c r="H343" s="49" t="n">
        <v>3.6</v>
      </c>
      <c r="I343" s="50" t="n">
        <v>0.54</v>
      </c>
      <c r="J343" s="50" t="n">
        <v>3.29</v>
      </c>
      <c r="K343" s="50" t="inlineStr">
        <is>
          <t>Fail</t>
        </is>
      </c>
      <c r="L343" s="51" t="n"/>
      <c r="M343" s="51" t="n"/>
      <c r="N343" s="51" t="n"/>
    </row>
    <row r="344" ht="13.5" customHeight="1" s="38">
      <c r="A344" s="73" t="inlineStr">
        <is>
          <t>R_0341</t>
        </is>
      </c>
      <c r="B344" s="49" t="n">
        <v>3</v>
      </c>
      <c r="C344" s="50" t="n">
        <v>1.05</v>
      </c>
      <c r="D344" s="49" t="n">
        <v>3.1</v>
      </c>
      <c r="E344" s="50" t="n">
        <v>0.93</v>
      </c>
      <c r="F344" s="49" t="n">
        <v>3.5</v>
      </c>
      <c r="G344" s="50" t="n">
        <v>0.7</v>
      </c>
      <c r="H344" s="49" t="n">
        <v>4.3</v>
      </c>
      <c r="I344" s="50" t="n">
        <v>0.645</v>
      </c>
      <c r="J344" s="50" t="n">
        <v>3.32</v>
      </c>
      <c r="K344" s="50" t="inlineStr">
        <is>
          <t>Fail</t>
        </is>
      </c>
      <c r="L344" s="51" t="n"/>
      <c r="M344" s="51" t="n"/>
      <c r="N344" s="51" t="n"/>
    </row>
    <row r="345" ht="13.5" customHeight="1" s="38">
      <c r="A345" s="73" t="inlineStr">
        <is>
          <t>R_0342</t>
        </is>
      </c>
      <c r="B345" s="49" t="n">
        <v>3.5</v>
      </c>
      <c r="C345" s="50" t="n">
        <v>1.225</v>
      </c>
      <c r="D345" s="49" t="n">
        <v>3.2</v>
      </c>
      <c r="E345" s="50" t="n">
        <v>0.96</v>
      </c>
      <c r="F345" s="49" t="n">
        <v>3.6</v>
      </c>
      <c r="G345" s="50" t="n">
        <v>0.72</v>
      </c>
      <c r="H345" s="49" t="n">
        <v>3.5</v>
      </c>
      <c r="I345" s="50" t="n">
        <v>0.525</v>
      </c>
      <c r="J345" s="50" t="n">
        <v>3.43</v>
      </c>
      <c r="K345" s="50" t="inlineStr">
        <is>
          <t>Fail</t>
        </is>
      </c>
      <c r="L345" s="51" t="n"/>
      <c r="M345" s="51" t="n"/>
      <c r="N345" s="51" t="n"/>
    </row>
    <row r="346" ht="13.5" customHeight="1" s="38">
      <c r="A346" s="73" t="inlineStr">
        <is>
          <t>R_0343</t>
        </is>
      </c>
      <c r="B346" s="49" t="n">
        <v>3.9</v>
      </c>
      <c r="C346" s="50" t="n">
        <v>1.365</v>
      </c>
      <c r="D346" s="49" t="n">
        <v>3.3</v>
      </c>
      <c r="E346" s="50" t="n">
        <v>0.99</v>
      </c>
      <c r="F346" s="49" t="n">
        <v>3.4</v>
      </c>
      <c r="G346" s="50" t="n">
        <v>0.68</v>
      </c>
      <c r="H346" s="49" t="n">
        <v>3</v>
      </c>
      <c r="I346" s="50" t="n">
        <v>0.45</v>
      </c>
      <c r="J346" s="50" t="n">
        <v>3.49</v>
      </c>
      <c r="K346" s="50" t="inlineStr">
        <is>
          <t>Fail</t>
        </is>
      </c>
      <c r="L346" s="51" t="n"/>
      <c r="M346" s="51" t="n"/>
      <c r="N346" s="51" t="n"/>
    </row>
    <row r="347" ht="13.5" customHeight="1" s="38">
      <c r="A347" s="73" t="inlineStr">
        <is>
          <t>R_0344</t>
        </is>
      </c>
      <c r="B347" s="49" t="n">
        <v>3.2</v>
      </c>
      <c r="C347" s="50" t="n">
        <v>1.12</v>
      </c>
      <c r="D347" s="49" t="n">
        <v>2.7</v>
      </c>
      <c r="E347" s="50" t="n">
        <v>0.8100000000000001</v>
      </c>
      <c r="F347" s="49" t="n">
        <v>3.5</v>
      </c>
      <c r="G347" s="50" t="n">
        <v>0.7</v>
      </c>
      <c r="H347" s="49" t="n">
        <v>3.3</v>
      </c>
      <c r="I347" s="50" t="n">
        <v>0.495</v>
      </c>
      <c r="J347" s="50" t="n">
        <v>3.12</v>
      </c>
      <c r="K347" s="50" t="inlineStr">
        <is>
          <t>Fail</t>
        </is>
      </c>
      <c r="L347" s="51" t="n"/>
      <c r="M347" s="51" t="n"/>
      <c r="N347" s="51" t="n"/>
    </row>
    <row r="348" ht="13.5" customHeight="1" s="38">
      <c r="A348" s="73" t="inlineStr">
        <is>
          <t>R_0345</t>
        </is>
      </c>
      <c r="B348" s="49" t="n">
        <v>3.9</v>
      </c>
      <c r="C348" s="50" t="n">
        <v>1.365</v>
      </c>
      <c r="D348" s="49" t="n">
        <v>3.3</v>
      </c>
      <c r="E348" s="50" t="n">
        <v>0.99</v>
      </c>
      <c r="F348" s="49" t="n">
        <v>3.7</v>
      </c>
      <c r="G348" s="50" t="n">
        <v>0.74</v>
      </c>
      <c r="H348" s="49" t="n">
        <v>4</v>
      </c>
      <c r="I348" s="50" t="n">
        <v>0.6</v>
      </c>
      <c r="J348" s="50" t="n">
        <v>3.69</v>
      </c>
      <c r="K348" s="50" t="inlineStr">
        <is>
          <t>Pass</t>
        </is>
      </c>
      <c r="L348" s="51" t="n"/>
      <c r="M348" s="51" t="n"/>
      <c r="N348" s="51" t="n"/>
    </row>
    <row r="349" ht="13.5" customHeight="1" s="38">
      <c r="A349" s="73" t="inlineStr">
        <is>
          <t>R_0346</t>
        </is>
      </c>
      <c r="B349" s="49" t="n">
        <v>3.5</v>
      </c>
      <c r="C349" s="50" t="n">
        <v>1.225</v>
      </c>
      <c r="D349" s="49" t="n">
        <v>3.2</v>
      </c>
      <c r="E349" s="50" t="n">
        <v>0.96</v>
      </c>
      <c r="F349" s="49" t="n">
        <v>3.7</v>
      </c>
      <c r="G349" s="50" t="n">
        <v>0.74</v>
      </c>
      <c r="H349" s="49" t="n">
        <v>3.4</v>
      </c>
      <c r="I349" s="50" t="n">
        <v>0.51</v>
      </c>
      <c r="J349" s="50" t="n">
        <v>3.43</v>
      </c>
      <c r="K349" s="50" t="inlineStr">
        <is>
          <t>Fail</t>
        </is>
      </c>
      <c r="L349" s="51" t="n"/>
      <c r="M349" s="51" t="n"/>
      <c r="N349" s="51" t="n"/>
    </row>
    <row r="350" ht="13.5" customHeight="1" s="38">
      <c r="A350" s="73" t="inlineStr">
        <is>
          <t>R_0347</t>
        </is>
      </c>
      <c r="B350" s="49" t="n">
        <v>3.2</v>
      </c>
      <c r="C350" s="50" t="n">
        <v>1.12</v>
      </c>
      <c r="D350" s="49" t="n">
        <v>3.9</v>
      </c>
      <c r="E350" s="50" t="n">
        <v>1.17</v>
      </c>
      <c r="F350" s="49" t="n">
        <v>3.7</v>
      </c>
      <c r="G350" s="50" t="n">
        <v>0.74</v>
      </c>
      <c r="H350" s="49" t="n">
        <v>3.3</v>
      </c>
      <c r="I350" s="50" t="n">
        <v>0.495</v>
      </c>
      <c r="J350" s="50" t="n">
        <v>3.53</v>
      </c>
      <c r="K350" s="50" t="inlineStr">
        <is>
          <t>Pass</t>
        </is>
      </c>
      <c r="L350" s="51" t="n"/>
      <c r="M350" s="51" t="n"/>
      <c r="N350" s="51" t="n"/>
    </row>
    <row r="351" ht="13.5" customHeight="1" s="38">
      <c r="A351" s="73" t="inlineStr">
        <is>
          <t>R_0348</t>
        </is>
      </c>
      <c r="B351" s="49" t="n">
        <v>3.3</v>
      </c>
      <c r="C351" s="50" t="n">
        <v>1.155</v>
      </c>
      <c r="D351" s="49" t="n">
        <v>3.4</v>
      </c>
      <c r="E351" s="50" t="n">
        <v>1.02</v>
      </c>
      <c r="F351" s="49" t="n">
        <v>3.7</v>
      </c>
      <c r="G351" s="50" t="n">
        <v>0.74</v>
      </c>
      <c r="H351" s="49" t="n">
        <v>3.2</v>
      </c>
      <c r="I351" s="50" t="n">
        <v>0.48</v>
      </c>
      <c r="J351" s="50" t="n">
        <v>3.4</v>
      </c>
      <c r="K351" s="50" t="inlineStr">
        <is>
          <t>Fail</t>
        </is>
      </c>
      <c r="L351" s="51" t="n"/>
      <c r="M351" s="51" t="n"/>
      <c r="N351" s="51" t="n"/>
    </row>
    <row r="352" ht="13.5" customHeight="1" s="38">
      <c r="A352" s="73" t="inlineStr">
        <is>
          <t>R_0349</t>
        </is>
      </c>
      <c r="B352" s="49" t="n">
        <v>3.6</v>
      </c>
      <c r="C352" s="50" t="n">
        <v>1.26</v>
      </c>
      <c r="D352" s="49" t="n">
        <v>3.2</v>
      </c>
      <c r="E352" s="50" t="n">
        <v>0.96</v>
      </c>
      <c r="F352" s="49" t="n">
        <v>3.7</v>
      </c>
      <c r="G352" s="50" t="n">
        <v>0.74</v>
      </c>
      <c r="H352" s="49" t="n">
        <v>3.8</v>
      </c>
      <c r="I352" s="50" t="n">
        <v>0.57</v>
      </c>
      <c r="J352" s="50" t="n">
        <v>3.53</v>
      </c>
      <c r="K352" s="50" t="inlineStr">
        <is>
          <t>Pass</t>
        </is>
      </c>
      <c r="L352" s="51" t="n"/>
      <c r="M352" s="51" t="n"/>
      <c r="N352" s="51" t="n"/>
    </row>
    <row r="353" ht="13.5" customHeight="1" s="38">
      <c r="A353" s="73" t="inlineStr">
        <is>
          <t>R_0350</t>
        </is>
      </c>
      <c r="B353" s="49" t="n">
        <v>3.6</v>
      </c>
      <c r="C353" s="50" t="n">
        <v>1.26</v>
      </c>
      <c r="D353" s="49" t="n">
        <v>3.9</v>
      </c>
      <c r="E353" s="50" t="n">
        <v>1.17</v>
      </c>
      <c r="F353" s="49" t="n">
        <v>3</v>
      </c>
      <c r="G353" s="50" t="n">
        <v>0.6</v>
      </c>
      <c r="H353" s="49" t="n">
        <v>3</v>
      </c>
      <c r="I353" s="50" t="n">
        <v>0.45</v>
      </c>
      <c r="J353" s="50" t="n">
        <v>3.48</v>
      </c>
      <c r="K353" s="50" t="inlineStr">
        <is>
          <t>Fail</t>
        </is>
      </c>
      <c r="L353" s="51" t="n"/>
      <c r="M353" s="51" t="n"/>
      <c r="N353" s="51" t="n"/>
    </row>
    <row r="354" ht="13.5" customHeight="1" s="38">
      <c r="A354" s="73" t="inlineStr">
        <is>
          <t>R_0351</t>
        </is>
      </c>
      <c r="B354" s="49" t="n">
        <v>3.4</v>
      </c>
      <c r="C354" s="50" t="n">
        <v>1.19</v>
      </c>
      <c r="D354" s="49" t="n">
        <v>3.3</v>
      </c>
      <c r="E354" s="50" t="n">
        <v>0.99</v>
      </c>
      <c r="F354" s="49" t="n">
        <v>3.6</v>
      </c>
      <c r="G354" s="50" t="n">
        <v>0.72</v>
      </c>
      <c r="H354" s="49" t="n">
        <v>2.8</v>
      </c>
      <c r="I354" s="50" t="n">
        <v>0.42</v>
      </c>
      <c r="J354" s="50" t="n">
        <v>3.32</v>
      </c>
      <c r="K354" s="50" t="inlineStr">
        <is>
          <t>Fail</t>
        </is>
      </c>
      <c r="L354" s="51" t="n"/>
      <c r="M354" s="51" t="n"/>
      <c r="N354" s="51" t="n"/>
    </row>
    <row r="355" ht="13.5" customHeight="1" s="38">
      <c r="A355" s="73" t="inlineStr">
        <is>
          <t>R_0352</t>
        </is>
      </c>
      <c r="B355" s="49" t="n">
        <v>3.2</v>
      </c>
      <c r="C355" s="50" t="n">
        <v>1.12</v>
      </c>
      <c r="D355" s="49" t="n">
        <v>3.8</v>
      </c>
      <c r="E355" s="50" t="n">
        <v>1.14</v>
      </c>
      <c r="F355" s="49" t="n">
        <v>3.6</v>
      </c>
      <c r="G355" s="50" t="n">
        <v>0.72</v>
      </c>
      <c r="H355" s="49" t="n">
        <v>3.9</v>
      </c>
      <c r="I355" s="50" t="n">
        <v>0.585</v>
      </c>
      <c r="J355" s="50" t="n">
        <v>3.56</v>
      </c>
      <c r="K355" s="50" t="inlineStr">
        <is>
          <t>Pass</t>
        </is>
      </c>
      <c r="L355" s="51" t="n"/>
      <c r="M355" s="51" t="n"/>
      <c r="N355" s="51" t="n"/>
    </row>
    <row r="356" ht="13.5" customHeight="1" s="38">
      <c r="A356" s="73" t="inlineStr">
        <is>
          <t>R_0353</t>
        </is>
      </c>
      <c r="B356" s="49" t="inlineStr">
        <is>
          <t>3.9 | 3.8</t>
        </is>
      </c>
      <c r="C356" s="50" t="inlineStr">
        <is>
          <t>1.365 | 1.33</t>
        </is>
      </c>
      <c r="D356" s="49" t="inlineStr">
        <is>
          <t>2.9 | 3.6</t>
        </is>
      </c>
      <c r="E356" s="50" t="inlineStr">
        <is>
          <t>0.87 | 1.08</t>
        </is>
      </c>
      <c r="F356" s="49" t="inlineStr">
        <is>
          <t>3.8 | 4.1</t>
        </is>
      </c>
      <c r="G356" s="50" t="inlineStr">
        <is>
          <t>0.76 | 0.82</t>
        </is>
      </c>
      <c r="H356" s="49" t="inlineStr">
        <is>
          <t>4.0 | 4.2</t>
        </is>
      </c>
      <c r="I356" s="50" t="inlineStr">
        <is>
          <t>0.6 | 0.63</t>
        </is>
      </c>
      <c r="J356" s="50" t="inlineStr">
        <is>
          <t>3.6 | 3.86</t>
        </is>
      </c>
      <c r="K356" s="50" t="inlineStr">
        <is>
          <t>Pass | Pass</t>
        </is>
      </c>
      <c r="L356" s="51" t="n"/>
      <c r="M356" s="51" t="n"/>
      <c r="N356" s="51" t="n"/>
    </row>
    <row r="357" ht="13.5" customHeight="1" s="38">
      <c r="A357" s="73" t="inlineStr">
        <is>
          <t>R_0354</t>
        </is>
      </c>
      <c r="B357" s="49" t="n">
        <v>3.6</v>
      </c>
      <c r="C357" s="50" t="n">
        <v>1.26</v>
      </c>
      <c r="D357" s="49" t="n">
        <v>3.9</v>
      </c>
      <c r="E357" s="50" t="n">
        <v>1.17</v>
      </c>
      <c r="F357" s="49" t="n">
        <v>3.4</v>
      </c>
      <c r="G357" s="50" t="n">
        <v>0.68</v>
      </c>
      <c r="H357" s="49" t="n">
        <v>3</v>
      </c>
      <c r="I357" s="50" t="n">
        <v>0.45</v>
      </c>
      <c r="J357" s="50" t="n">
        <v>3.56</v>
      </c>
      <c r="K357" s="50" t="inlineStr">
        <is>
          <t>Pass</t>
        </is>
      </c>
      <c r="L357" s="51" t="n"/>
      <c r="M357" s="51" t="n"/>
      <c r="N357" s="51" t="n"/>
    </row>
    <row r="358" ht="13.5" customHeight="1" s="38">
      <c r="A358" s="73" t="inlineStr">
        <is>
          <t>R_0355</t>
        </is>
      </c>
      <c r="B358" s="49" t="n">
        <v>3.7</v>
      </c>
      <c r="C358" s="50" t="n">
        <v>1.295</v>
      </c>
      <c r="D358" s="49" t="n">
        <v>4.1</v>
      </c>
      <c r="E358" s="50" t="n">
        <v>1.23</v>
      </c>
      <c r="F358" s="49" t="n">
        <v>3.3</v>
      </c>
      <c r="G358" s="50" t="n">
        <v>0.66</v>
      </c>
      <c r="H358" s="49" t="n">
        <v>3</v>
      </c>
      <c r="I358" s="50" t="n">
        <v>0.45</v>
      </c>
      <c r="J358" s="50" t="n">
        <v>3.64</v>
      </c>
      <c r="K358" s="50" t="inlineStr">
        <is>
          <t>Pass</t>
        </is>
      </c>
      <c r="L358" s="51" t="n"/>
      <c r="M358" s="51" t="n"/>
      <c r="N358" s="51" t="n"/>
    </row>
    <row r="359" ht="13.5" customHeight="1" s="38">
      <c r="A359" s="73" t="inlineStr">
        <is>
          <t>R_0356</t>
        </is>
      </c>
      <c r="B359" s="49" t="n">
        <v>3.7</v>
      </c>
      <c r="C359" s="50" t="n">
        <v>1.295</v>
      </c>
      <c r="D359" s="49" t="n">
        <v>4</v>
      </c>
      <c r="E359" s="50" t="n">
        <v>1.2</v>
      </c>
      <c r="F359" s="49" t="n">
        <v>3.3</v>
      </c>
      <c r="G359" s="50" t="n">
        <v>0.66</v>
      </c>
      <c r="H359" s="49" t="n">
        <v>3</v>
      </c>
      <c r="I359" s="50" t="n">
        <v>0.45</v>
      </c>
      <c r="J359" s="50" t="n">
        <v>3.61</v>
      </c>
      <c r="K359" s="50" t="inlineStr">
        <is>
          <t>Pass</t>
        </is>
      </c>
      <c r="L359" s="51" t="n"/>
      <c r="M359" s="51" t="n"/>
      <c r="N359" s="51" t="n"/>
    </row>
    <row r="360" ht="13.5" customHeight="1" s="38">
      <c r="A360" s="73" t="inlineStr">
        <is>
          <t>R_0357</t>
        </is>
      </c>
      <c r="B360" s="49" t="n">
        <v>3</v>
      </c>
      <c r="C360" s="50" t="n">
        <v>1.05</v>
      </c>
      <c r="D360" s="49" t="n">
        <v>3.7</v>
      </c>
      <c r="E360" s="50" t="n">
        <v>1.11</v>
      </c>
      <c r="F360" s="49" t="n">
        <v>3.5</v>
      </c>
      <c r="G360" s="50" t="n">
        <v>0.7</v>
      </c>
      <c r="H360" s="49" t="n">
        <v>3.9</v>
      </c>
      <c r="I360" s="50" t="n">
        <v>0.585</v>
      </c>
      <c r="J360" s="50" t="n">
        <v>3.45</v>
      </c>
      <c r="K360" s="50" t="inlineStr">
        <is>
          <t>Fail</t>
        </is>
      </c>
      <c r="L360" s="51" t="n"/>
      <c r="M360" s="51" t="n"/>
      <c r="N360" s="51" t="n"/>
    </row>
    <row r="361" ht="13.5" customHeight="1" s="38">
      <c r="A361" s="73" t="inlineStr">
        <is>
          <t>R_0358</t>
        </is>
      </c>
      <c r="B361" s="49" t="n">
        <v>3.5</v>
      </c>
      <c r="C361" s="50" t="n">
        <v>1.225</v>
      </c>
      <c r="D361" s="49" t="n">
        <v>3.6</v>
      </c>
      <c r="E361" s="50" t="n">
        <v>1.08</v>
      </c>
      <c r="F361" s="49" t="n">
        <v>3.6</v>
      </c>
      <c r="G361" s="50" t="n">
        <v>0.72</v>
      </c>
      <c r="H361" s="49" t="n">
        <v>3</v>
      </c>
      <c r="I361" s="50" t="n">
        <v>0.45</v>
      </c>
      <c r="J361" s="50" t="n">
        <v>3.48</v>
      </c>
      <c r="K361" s="50" t="inlineStr">
        <is>
          <t>Fail</t>
        </is>
      </c>
      <c r="L361" s="51" t="n"/>
      <c r="M361" s="51" t="n"/>
      <c r="N361" s="51" t="n"/>
    </row>
    <row r="362" ht="13.5" customHeight="1" s="38">
      <c r="A362" s="73" t="inlineStr">
        <is>
          <t>R_0359</t>
        </is>
      </c>
      <c r="B362" s="49" t="n">
        <v>3.5</v>
      </c>
      <c r="C362" s="50" t="n">
        <v>1.225</v>
      </c>
      <c r="D362" s="49" t="n">
        <v>2.8</v>
      </c>
      <c r="E362" s="50" t="n">
        <v>0.84</v>
      </c>
      <c r="F362" s="49" t="n">
        <v>3.7</v>
      </c>
      <c r="G362" s="50" t="n">
        <v>0.74</v>
      </c>
      <c r="H362" s="49" t="n">
        <v>3.6</v>
      </c>
      <c r="I362" s="50" t="n">
        <v>0.54</v>
      </c>
      <c r="J362" s="50" t="n">
        <v>3.34</v>
      </c>
      <c r="K362" s="50" t="inlineStr">
        <is>
          <t>Fail</t>
        </is>
      </c>
      <c r="L362" s="51" t="n"/>
      <c r="M362" s="51" t="n"/>
      <c r="N362" s="51" t="n"/>
    </row>
    <row r="363" ht="13.5" customHeight="1" s="38">
      <c r="A363" s="73" t="inlineStr">
        <is>
          <t>R_0360</t>
        </is>
      </c>
      <c r="B363" s="49" t="n">
        <v>3.4</v>
      </c>
      <c r="C363" s="50" t="n">
        <v>1.19</v>
      </c>
      <c r="D363" s="49" t="n">
        <v>3</v>
      </c>
      <c r="E363" s="50" t="n">
        <v>0.9</v>
      </c>
      <c r="F363" s="49" t="n">
        <v>3.6</v>
      </c>
      <c r="G363" s="50" t="n">
        <v>0.72</v>
      </c>
      <c r="H363" s="49" t="n">
        <v>3.5</v>
      </c>
      <c r="I363" s="50" t="n">
        <v>0.525</v>
      </c>
      <c r="J363" s="50" t="n">
        <v>3.33</v>
      </c>
      <c r="K363" s="50" t="inlineStr">
        <is>
          <t>Fail</t>
        </is>
      </c>
      <c r="L363" s="51" t="n"/>
      <c r="M363" s="51" t="n"/>
      <c r="N363" s="51" t="n"/>
    </row>
    <row r="364" ht="13.5" customHeight="1" s="38">
      <c r="A364" s="73" t="inlineStr">
        <is>
          <t>R_0361</t>
        </is>
      </c>
      <c r="B364" s="49" t="n">
        <v>3.6</v>
      </c>
      <c r="C364" s="50" t="n">
        <v>1.26</v>
      </c>
      <c r="D364" s="49" t="n">
        <v>3.8</v>
      </c>
      <c r="E364" s="50" t="n">
        <v>1.14</v>
      </c>
      <c r="F364" s="49" t="n">
        <v>3.5</v>
      </c>
      <c r="G364" s="50" t="n">
        <v>0.7</v>
      </c>
      <c r="H364" s="49" t="n">
        <v>3</v>
      </c>
      <c r="I364" s="50" t="n">
        <v>0.45</v>
      </c>
      <c r="J364" s="50" t="n">
        <v>3.55</v>
      </c>
      <c r="K364" s="50" t="inlineStr">
        <is>
          <t>Pass</t>
        </is>
      </c>
      <c r="L364" s="51" t="n"/>
      <c r="M364" s="51" t="n"/>
      <c r="N364" s="51" t="n"/>
    </row>
    <row r="365" ht="13.5" customHeight="1" s="38">
      <c r="A365" s="73" t="inlineStr">
        <is>
          <t>R_0362</t>
        </is>
      </c>
      <c r="B365" s="49" t="n">
        <v>3.4</v>
      </c>
      <c r="C365" s="50" t="n">
        <v>1.19</v>
      </c>
      <c r="D365" s="49" t="n">
        <v>3.4</v>
      </c>
      <c r="E365" s="50" t="n">
        <v>1.02</v>
      </c>
      <c r="F365" s="49" t="n">
        <v>3.6</v>
      </c>
      <c r="G365" s="50" t="n">
        <v>0.72</v>
      </c>
      <c r="H365" s="49" t="n">
        <v>2.8</v>
      </c>
      <c r="I365" s="50" t="n">
        <v>0.42</v>
      </c>
      <c r="J365" s="50" t="n">
        <v>3.35</v>
      </c>
      <c r="K365" s="50" t="inlineStr">
        <is>
          <t>Fail</t>
        </is>
      </c>
      <c r="L365" s="51" t="n"/>
      <c r="M365" s="51" t="n"/>
      <c r="N365" s="51" t="n"/>
    </row>
    <row r="366" ht="13.5" customHeight="1" s="38">
      <c r="A366" s="73" t="inlineStr">
        <is>
          <t>R_0363</t>
        </is>
      </c>
      <c r="B366" s="49" t="n">
        <v>3.2</v>
      </c>
      <c r="C366" s="50" t="n">
        <v>1.12</v>
      </c>
      <c r="D366" s="49" t="n">
        <v>3.7</v>
      </c>
      <c r="E366" s="50" t="n">
        <v>1.11</v>
      </c>
      <c r="F366" s="49" t="n">
        <v>3.8</v>
      </c>
      <c r="G366" s="50" t="n">
        <v>0.76</v>
      </c>
      <c r="H366" s="49" t="n">
        <v>3.2</v>
      </c>
      <c r="I366" s="50" t="n">
        <v>0.48</v>
      </c>
      <c r="J366" s="50" t="n">
        <v>3.47</v>
      </c>
      <c r="K366" s="50" t="inlineStr">
        <is>
          <t>Fail</t>
        </is>
      </c>
      <c r="L366" s="51" t="n"/>
      <c r="M366" s="51" t="n"/>
      <c r="N366" s="51" t="n"/>
    </row>
    <row r="367" ht="13.5" customHeight="1" s="38">
      <c r="A367" s="73" t="inlineStr">
        <is>
          <t>R_0364</t>
        </is>
      </c>
      <c r="B367" s="49" t="n">
        <v>3.5</v>
      </c>
      <c r="C367" s="50" t="n">
        <v>1.225</v>
      </c>
      <c r="D367" s="49" t="n">
        <v>3.2</v>
      </c>
      <c r="E367" s="50" t="n">
        <v>0.96</v>
      </c>
      <c r="F367" s="49" t="n">
        <v>3.7</v>
      </c>
      <c r="G367" s="50" t="n">
        <v>0.74</v>
      </c>
      <c r="H367" s="49" t="n">
        <v>3.8</v>
      </c>
      <c r="I367" s="50" t="n">
        <v>0.57</v>
      </c>
      <c r="J367" s="50" t="n">
        <v>3.49</v>
      </c>
      <c r="K367" s="50" t="inlineStr">
        <is>
          <t>Fail</t>
        </is>
      </c>
      <c r="L367" s="51" t="n"/>
      <c r="M367" s="51" t="n"/>
      <c r="N367" s="51" t="n"/>
    </row>
    <row r="368" ht="13.5" customHeight="1" s="38">
      <c r="A368" s="73" t="inlineStr">
        <is>
          <t>R_0365</t>
        </is>
      </c>
      <c r="B368" s="49" t="n">
        <v>3.4</v>
      </c>
      <c r="C368" s="50" t="n">
        <v>1.19</v>
      </c>
      <c r="D368" s="49" t="n">
        <v>2.9</v>
      </c>
      <c r="E368" s="50" t="n">
        <v>0.87</v>
      </c>
      <c r="F368" s="49" t="n">
        <v>3.5</v>
      </c>
      <c r="G368" s="50" t="n">
        <v>0.7</v>
      </c>
      <c r="H368" s="49" t="n">
        <v>3</v>
      </c>
      <c r="I368" s="50" t="n">
        <v>0.45</v>
      </c>
      <c r="J368" s="50" t="n">
        <v>3.21</v>
      </c>
      <c r="K368" s="50" t="inlineStr">
        <is>
          <t>Fail</t>
        </is>
      </c>
      <c r="L368" s="51" t="n"/>
      <c r="M368" s="51" t="n"/>
      <c r="N368" s="51" t="n"/>
    </row>
    <row r="369" ht="13.5" customHeight="1" s="38">
      <c r="A369" s="73" t="inlineStr">
        <is>
          <t>R_0366</t>
        </is>
      </c>
      <c r="B369" s="49" t="inlineStr">
        <is>
          <t>3.4 | 3.8</t>
        </is>
      </c>
      <c r="C369" s="50" t="inlineStr">
        <is>
          <t>1.19 | 1.33</t>
        </is>
      </c>
      <c r="D369" s="49" t="inlineStr">
        <is>
          <t>3.1 | 3.6</t>
        </is>
      </c>
      <c r="E369" s="50" t="inlineStr">
        <is>
          <t>0.93 | 1.08</t>
        </is>
      </c>
      <c r="F369" s="49" t="inlineStr">
        <is>
          <t>3.8 | 3.7</t>
        </is>
      </c>
      <c r="G369" s="50" t="inlineStr">
        <is>
          <t>0.76 | 0.74</t>
        </is>
      </c>
      <c r="H369" s="49" t="inlineStr">
        <is>
          <t>2.6 | 3.2</t>
        </is>
      </c>
      <c r="I369" s="50" t="inlineStr">
        <is>
          <t>0.39 | 0.48</t>
        </is>
      </c>
      <c r="J369" s="50" t="inlineStr">
        <is>
          <t>3.27 | 3.63</t>
        </is>
      </c>
      <c r="K369" s="50" t="inlineStr">
        <is>
          <t>Fail | Pass</t>
        </is>
      </c>
      <c r="L369" s="51" t="n"/>
      <c r="M369" s="51" t="n"/>
      <c r="N369" s="51" t="n"/>
    </row>
    <row r="370" ht="13.5" customHeight="1" s="38">
      <c r="A370" s="73" t="inlineStr">
        <is>
          <t>R_0367</t>
        </is>
      </c>
      <c r="B370" s="49" t="n">
        <v>3.3</v>
      </c>
      <c r="C370" s="50" t="n">
        <v>1.155</v>
      </c>
      <c r="D370" s="49" t="n">
        <v>3.3</v>
      </c>
      <c r="E370" s="50" t="n">
        <v>0.99</v>
      </c>
      <c r="F370" s="49" t="n">
        <v>3.5</v>
      </c>
      <c r="G370" s="50" t="n">
        <v>0.7</v>
      </c>
      <c r="H370" s="49" t="n">
        <v>4.3</v>
      </c>
      <c r="I370" s="50" t="n">
        <v>0.645</v>
      </c>
      <c r="J370" s="50" t="n">
        <v>3.49</v>
      </c>
      <c r="K370" s="50" t="inlineStr">
        <is>
          <t>Fail</t>
        </is>
      </c>
      <c r="L370" s="51" t="n"/>
      <c r="M370" s="51" t="n"/>
      <c r="N370" s="51" t="n"/>
    </row>
    <row r="371" ht="13.5" customHeight="1" s="38">
      <c r="A371" s="73" t="inlineStr">
        <is>
          <t>R_0368</t>
        </is>
      </c>
      <c r="B371" s="49" t="n">
        <v>3.8</v>
      </c>
      <c r="C371" s="50" t="n">
        <v>1.33</v>
      </c>
      <c r="D371" s="49" t="n">
        <v>3.1</v>
      </c>
      <c r="E371" s="50" t="n">
        <v>0.93</v>
      </c>
      <c r="F371" s="49" t="n">
        <v>3.7</v>
      </c>
      <c r="G371" s="50" t="n">
        <v>0.74</v>
      </c>
      <c r="H371" s="49" t="n">
        <v>4</v>
      </c>
      <c r="I371" s="50" t="n">
        <v>0.6</v>
      </c>
      <c r="J371" s="50" t="n">
        <v>3.6</v>
      </c>
      <c r="K371" s="50" t="inlineStr">
        <is>
          <t>Pass</t>
        </is>
      </c>
      <c r="L371" s="51" t="n"/>
      <c r="M371" s="51" t="n"/>
      <c r="N371" s="51" t="n"/>
    </row>
    <row r="372" ht="13.5" customHeight="1" s="38">
      <c r="A372" s="73" t="inlineStr">
        <is>
          <t>R_0369</t>
        </is>
      </c>
      <c r="B372" s="49" t="n">
        <v>3.3</v>
      </c>
      <c r="C372" s="50" t="n">
        <v>1.155</v>
      </c>
      <c r="D372" s="49" t="n">
        <v>2.8</v>
      </c>
      <c r="E372" s="50" t="n">
        <v>0.84</v>
      </c>
      <c r="F372" s="49" t="n">
        <v>3.6</v>
      </c>
      <c r="G372" s="50" t="n">
        <v>0.72</v>
      </c>
      <c r="H372" s="49" t="n">
        <v>3.3</v>
      </c>
      <c r="I372" s="50" t="n">
        <v>0.495</v>
      </c>
      <c r="J372" s="50" t="n">
        <v>3.21</v>
      </c>
      <c r="K372" s="50" t="inlineStr">
        <is>
          <t>Fail</t>
        </is>
      </c>
      <c r="L372" s="51" t="n"/>
      <c r="M372" s="51" t="n"/>
      <c r="N372" s="51" t="n"/>
    </row>
    <row r="373" ht="13.5" customHeight="1" s="38">
      <c r="A373" s="73" t="inlineStr">
        <is>
          <t>R_0370</t>
        </is>
      </c>
      <c r="B373" s="49" t="n">
        <v>2.6</v>
      </c>
      <c r="C373" s="50" t="n">
        <v>0.91</v>
      </c>
      <c r="D373" s="49" t="n">
        <v>3.5</v>
      </c>
      <c r="E373" s="50" t="n">
        <v>1.05</v>
      </c>
      <c r="F373" s="49" t="n">
        <v>3.3</v>
      </c>
      <c r="G373" s="50" t="n">
        <v>0.66</v>
      </c>
      <c r="H373" s="49" t="n">
        <v>2.5</v>
      </c>
      <c r="I373" s="50" t="n">
        <v>0.375</v>
      </c>
      <c r="J373" s="50" t="n">
        <v>3</v>
      </c>
      <c r="K373" s="50" t="inlineStr">
        <is>
          <t>Fail</t>
        </is>
      </c>
      <c r="L373" s="51" t="n"/>
      <c r="M373" s="51" t="n"/>
      <c r="N373" s="51" t="n"/>
    </row>
    <row r="374" ht="13.5" customHeight="1" s="38">
      <c r="A374" s="73" t="inlineStr">
        <is>
          <t>R_0371</t>
        </is>
      </c>
      <c r="B374" s="49" t="n">
        <v>3.5</v>
      </c>
      <c r="C374" s="50" t="n">
        <v>1.225</v>
      </c>
      <c r="D374" s="49" t="n">
        <v>3.9</v>
      </c>
      <c r="E374" s="50" t="n">
        <v>1.17</v>
      </c>
      <c r="F374" s="49" t="n">
        <v>3.8</v>
      </c>
      <c r="G374" s="50" t="n">
        <v>0.76</v>
      </c>
      <c r="H374" s="49" t="n">
        <v>4.7</v>
      </c>
      <c r="I374" s="50" t="n">
        <v>0.705</v>
      </c>
      <c r="J374" s="50" t="n">
        <v>3.86</v>
      </c>
      <c r="K374" s="50" t="inlineStr">
        <is>
          <t>Pass</t>
        </is>
      </c>
      <c r="L374" s="51" t="n"/>
      <c r="M374" s="51" t="n"/>
      <c r="N374" s="51" t="n"/>
    </row>
    <row r="375" ht="13.5" customHeight="1" s="38">
      <c r="A375" s="73" t="inlineStr">
        <is>
          <t>R_0372</t>
        </is>
      </c>
      <c r="B375" s="49" t="n">
        <v>3.1</v>
      </c>
      <c r="C375" s="50" t="n">
        <v>1.085</v>
      </c>
      <c r="D375" s="49" t="n">
        <v>3.3</v>
      </c>
      <c r="E375" s="50" t="n">
        <v>0.99</v>
      </c>
      <c r="F375" s="49" t="n">
        <v>3.7</v>
      </c>
      <c r="G375" s="50" t="n">
        <v>0.74</v>
      </c>
      <c r="H375" s="49" t="n">
        <v>3.3</v>
      </c>
      <c r="I375" s="50" t="n">
        <v>0.495</v>
      </c>
      <c r="J375" s="50" t="n">
        <v>3.31</v>
      </c>
      <c r="K375" s="50" t="inlineStr">
        <is>
          <t>Fail</t>
        </is>
      </c>
      <c r="L375" s="51" t="n"/>
      <c r="M375" s="51" t="n"/>
      <c r="N375" s="51" t="n"/>
    </row>
    <row r="376" ht="13.5" customHeight="1" s="38">
      <c r="A376" s="73" t="inlineStr">
        <is>
          <t>R_0373</t>
        </is>
      </c>
      <c r="B376" s="49" t="n">
        <v>3.8</v>
      </c>
      <c r="C376" s="50" t="n">
        <v>1.33</v>
      </c>
      <c r="D376" s="49" t="n">
        <v>3.9</v>
      </c>
      <c r="E376" s="50" t="n">
        <v>1.17</v>
      </c>
      <c r="F376" s="49" t="n">
        <v>3.1</v>
      </c>
      <c r="G376" s="50" t="n">
        <v>0.62</v>
      </c>
      <c r="H376" s="49" t="n">
        <v>3</v>
      </c>
      <c r="I376" s="50" t="n">
        <v>0.45</v>
      </c>
      <c r="J376" s="50" t="n">
        <v>3.57</v>
      </c>
      <c r="K376" s="50" t="inlineStr">
        <is>
          <t>Pass</t>
        </is>
      </c>
      <c r="L376" s="51" t="n"/>
      <c r="M376" s="51" t="n"/>
      <c r="N376" s="51" t="n"/>
    </row>
    <row r="377" ht="13.5" customHeight="1" s="38">
      <c r="A377" s="73" t="inlineStr">
        <is>
          <t>R_0374</t>
        </is>
      </c>
      <c r="B377" s="49" t="n">
        <v>3.4</v>
      </c>
      <c r="C377" s="50" t="n">
        <v>1.19</v>
      </c>
      <c r="D377" s="49" t="n">
        <v>2.9</v>
      </c>
      <c r="E377" s="50" t="n">
        <v>0.87</v>
      </c>
      <c r="F377" s="49" t="n">
        <v>3.7</v>
      </c>
      <c r="G377" s="50" t="n">
        <v>0.74</v>
      </c>
      <c r="H377" s="49" t="n">
        <v>3.8</v>
      </c>
      <c r="I377" s="50" t="n">
        <v>0.57</v>
      </c>
      <c r="J377" s="50" t="n">
        <v>3.37</v>
      </c>
      <c r="K377" s="50" t="inlineStr">
        <is>
          <t>Fail</t>
        </is>
      </c>
      <c r="L377" s="51" t="n"/>
      <c r="M377" s="51" t="n"/>
      <c r="N377" s="51" t="n"/>
    </row>
    <row r="378" ht="13.5" customHeight="1" s="38">
      <c r="A378" s="73" t="inlineStr">
        <is>
          <t>R_0375</t>
        </is>
      </c>
      <c r="B378" s="49" t="n">
        <v>3.6</v>
      </c>
      <c r="C378" s="50" t="n">
        <v>1.26</v>
      </c>
      <c r="D378" s="49" t="n">
        <v>3.6</v>
      </c>
      <c r="E378" s="50" t="n">
        <v>1.08</v>
      </c>
      <c r="F378" s="49" t="n">
        <v>3.3</v>
      </c>
      <c r="G378" s="50" t="n">
        <v>0.66</v>
      </c>
      <c r="H378" s="49" t="n">
        <v>2.8</v>
      </c>
      <c r="I378" s="50" t="n">
        <v>0.42</v>
      </c>
      <c r="J378" s="50" t="n">
        <v>3.42</v>
      </c>
      <c r="K378" s="50" t="inlineStr">
        <is>
          <t>Fail</t>
        </is>
      </c>
      <c r="L378" s="51" t="n"/>
      <c r="M378" s="51" t="n"/>
      <c r="N378" s="51" t="n"/>
    </row>
    <row r="379" ht="13.5" customHeight="1" s="38">
      <c r="A379" s="73" t="inlineStr">
        <is>
          <t>R_0376</t>
        </is>
      </c>
      <c r="B379" s="49" t="n">
        <v>3.7</v>
      </c>
      <c r="C379" s="50" t="n">
        <v>1.295</v>
      </c>
      <c r="D379" s="49" t="n">
        <v>3.8</v>
      </c>
      <c r="E379" s="50" t="n">
        <v>1.14</v>
      </c>
      <c r="F379" s="49" t="n">
        <v>3.2</v>
      </c>
      <c r="G379" s="50" t="n">
        <v>0.64</v>
      </c>
      <c r="H379" s="49" t="n">
        <v>3</v>
      </c>
      <c r="I379" s="50" t="n">
        <v>0.45</v>
      </c>
      <c r="J379" s="50" t="n">
        <v>3.52</v>
      </c>
      <c r="K379" s="50" t="inlineStr">
        <is>
          <t>Pass</t>
        </is>
      </c>
      <c r="L379" s="51" t="n"/>
      <c r="M379" s="51" t="n"/>
      <c r="N379" s="51" t="n"/>
    </row>
    <row r="380" ht="13.5" customHeight="1" s="38">
      <c r="A380" s="73" t="inlineStr">
        <is>
          <t>R_0377</t>
        </is>
      </c>
      <c r="B380" s="49" t="n">
        <v>3.5</v>
      </c>
      <c r="C380" s="50" t="n">
        <v>1.225</v>
      </c>
      <c r="D380" s="49" t="n">
        <v>3</v>
      </c>
      <c r="E380" s="50" t="n">
        <v>0.9</v>
      </c>
      <c r="F380" s="49" t="n">
        <v>3.7</v>
      </c>
      <c r="G380" s="50" t="n">
        <v>0.74</v>
      </c>
      <c r="H380" s="49" t="n">
        <v>3.4</v>
      </c>
      <c r="I380" s="50" t="n">
        <v>0.51</v>
      </c>
      <c r="J380" s="50" t="n">
        <v>3.38</v>
      </c>
      <c r="K380" s="50" t="inlineStr">
        <is>
          <t>Fail</t>
        </is>
      </c>
      <c r="L380" s="51" t="n"/>
      <c r="M380" s="51" t="n"/>
      <c r="N380" s="51" t="n"/>
    </row>
    <row r="381" ht="13.5" customHeight="1" s="38">
      <c r="A381" s="73" t="inlineStr">
        <is>
          <t>R_0378</t>
        </is>
      </c>
      <c r="B381" s="49" t="n">
        <v>3.2</v>
      </c>
      <c r="C381" s="50" t="n">
        <v>1.12</v>
      </c>
      <c r="D381" s="49" t="n">
        <v>2.7</v>
      </c>
      <c r="E381" s="50" t="n">
        <v>0.8100000000000001</v>
      </c>
      <c r="F381" s="49" t="n">
        <v>3.5</v>
      </c>
      <c r="G381" s="50" t="n">
        <v>0.7</v>
      </c>
      <c r="H381" s="49" t="n">
        <v>3.3</v>
      </c>
      <c r="I381" s="50" t="n">
        <v>0.495</v>
      </c>
      <c r="J381" s="50" t="n">
        <v>3.12</v>
      </c>
      <c r="K381" s="50" t="inlineStr">
        <is>
          <t>Fail</t>
        </is>
      </c>
      <c r="L381" s="51" t="n"/>
      <c r="M381" s="51" t="n"/>
      <c r="N381" s="51" t="n"/>
    </row>
    <row r="382" ht="13.5" customHeight="1" s="38">
      <c r="A382" s="73" t="inlineStr">
        <is>
          <t>R_0379</t>
        </is>
      </c>
      <c r="B382" s="49" t="n">
        <v>3.6</v>
      </c>
      <c r="C382" s="50" t="n">
        <v>1.26</v>
      </c>
      <c r="D382" s="49" t="n">
        <v>3.4</v>
      </c>
      <c r="E382" s="50" t="n">
        <v>1.02</v>
      </c>
      <c r="F382" s="49" t="n">
        <v>3.7</v>
      </c>
      <c r="G382" s="50" t="n">
        <v>0.74</v>
      </c>
      <c r="H382" s="49" t="n">
        <v>3</v>
      </c>
      <c r="I382" s="50" t="n">
        <v>0.45</v>
      </c>
      <c r="J382" s="50" t="n">
        <v>3.47</v>
      </c>
      <c r="K382" s="50" t="inlineStr">
        <is>
          <t>Fail</t>
        </is>
      </c>
      <c r="L382" s="51" t="n"/>
      <c r="M382" s="51" t="n"/>
      <c r="N382" s="51" t="n"/>
    </row>
    <row r="383" ht="13.5" customHeight="1" s="38">
      <c r="A383" s="73" t="inlineStr">
        <is>
          <t>R_0380</t>
        </is>
      </c>
      <c r="B383" s="49" t="n">
        <v>3.4</v>
      </c>
      <c r="C383" s="50" t="n">
        <v>1.19</v>
      </c>
      <c r="D383" s="49" t="n">
        <v>3.1</v>
      </c>
      <c r="E383" s="50" t="n">
        <v>0.93</v>
      </c>
      <c r="F383" s="49" t="n">
        <v>3.5</v>
      </c>
      <c r="G383" s="50" t="n">
        <v>0.7</v>
      </c>
      <c r="H383" s="49" t="n">
        <v>3.6</v>
      </c>
      <c r="I383" s="50" t="n">
        <v>0.54</v>
      </c>
      <c r="J383" s="50" t="n">
        <v>3.36</v>
      </c>
      <c r="K383" s="50" t="inlineStr">
        <is>
          <t>Fail</t>
        </is>
      </c>
      <c r="L383" s="51" t="n"/>
      <c r="M383" s="51" t="n"/>
      <c r="N383" s="51" t="n"/>
    </row>
    <row r="384" ht="13.5" customHeight="1" s="38">
      <c r="A384" s="73" t="inlineStr">
        <is>
          <t>R_0381</t>
        </is>
      </c>
      <c r="B384" s="49" t="n">
        <v>3.4</v>
      </c>
      <c r="C384" s="50" t="n">
        <v>1.19</v>
      </c>
      <c r="D384" s="49" t="n">
        <v>3</v>
      </c>
      <c r="E384" s="50" t="n">
        <v>0.9</v>
      </c>
      <c r="F384" s="49" t="n">
        <v>3.4</v>
      </c>
      <c r="G384" s="50" t="n">
        <v>0.68</v>
      </c>
      <c r="H384" s="49" t="n">
        <v>3</v>
      </c>
      <c r="I384" s="50" t="n">
        <v>0.45</v>
      </c>
      <c r="J384" s="50" t="n">
        <v>3.22</v>
      </c>
      <c r="K384" s="50" t="inlineStr">
        <is>
          <t>Fail</t>
        </is>
      </c>
      <c r="L384" s="51" t="n"/>
      <c r="M384" s="51" t="n"/>
      <c r="N384" s="51" t="n"/>
    </row>
    <row r="385" ht="13.5" customHeight="1" s="38">
      <c r="A385" s="73" t="inlineStr">
        <is>
          <t>R_0382</t>
        </is>
      </c>
      <c r="B385" s="49" t="n">
        <v>3.2</v>
      </c>
      <c r="C385" s="50" t="n">
        <v>1.12</v>
      </c>
      <c r="D385" s="49" t="n">
        <v>2.8</v>
      </c>
      <c r="E385" s="50" t="n">
        <v>0.84</v>
      </c>
      <c r="F385" s="49" t="n">
        <v>3.5</v>
      </c>
      <c r="G385" s="50" t="n">
        <v>0.7</v>
      </c>
      <c r="H385" s="49" t="n">
        <v>3</v>
      </c>
      <c r="I385" s="50" t="n">
        <v>0.45</v>
      </c>
      <c r="J385" s="50" t="n">
        <v>3.11</v>
      </c>
      <c r="K385" s="50" t="inlineStr">
        <is>
          <t>Fail</t>
        </is>
      </c>
      <c r="L385" s="51" t="n"/>
      <c r="M385" s="51" t="n"/>
      <c r="N385" s="51" t="n"/>
    </row>
    <row r="386" ht="13.5" customHeight="1" s="38">
      <c r="A386" s="73" t="inlineStr">
        <is>
          <t>R_0383</t>
        </is>
      </c>
      <c r="B386" s="49" t="n">
        <v>3.5</v>
      </c>
      <c r="C386" s="50" t="n">
        <v>1.225</v>
      </c>
      <c r="D386" s="49" t="n">
        <v>3.4</v>
      </c>
      <c r="E386" s="50" t="n">
        <v>1.02</v>
      </c>
      <c r="F386" s="49" t="n">
        <v>3.5</v>
      </c>
      <c r="G386" s="50" t="n">
        <v>0.7</v>
      </c>
      <c r="H386" s="49" t="n">
        <v>3.6</v>
      </c>
      <c r="I386" s="50" t="n">
        <v>0.54</v>
      </c>
      <c r="J386" s="50" t="n">
        <v>3.49</v>
      </c>
      <c r="K386" s="50" t="inlineStr">
        <is>
          <t>Fail</t>
        </is>
      </c>
      <c r="L386" s="51" t="n"/>
      <c r="M386" s="51" t="n"/>
      <c r="N386" s="51" t="n"/>
    </row>
    <row r="387" ht="13.5" customHeight="1" s="38">
      <c r="A387" s="73" t="inlineStr">
        <is>
          <t>R_0384</t>
        </is>
      </c>
      <c r="B387" s="49" t="n">
        <v>3.2</v>
      </c>
      <c r="C387" s="50" t="n">
        <v>1.12</v>
      </c>
      <c r="D387" s="49" t="n">
        <v>3.8</v>
      </c>
      <c r="E387" s="50" t="n">
        <v>1.14</v>
      </c>
      <c r="F387" s="49" t="n">
        <v>3.5</v>
      </c>
      <c r="G387" s="50" t="n">
        <v>0.7</v>
      </c>
      <c r="H387" s="49" t="n">
        <v>3.9</v>
      </c>
      <c r="I387" s="50" t="n">
        <v>0.585</v>
      </c>
      <c r="J387" s="50" t="n">
        <v>3.54</v>
      </c>
      <c r="K387" s="50" t="inlineStr">
        <is>
          <t>Pass</t>
        </is>
      </c>
      <c r="L387" s="51" t="n"/>
      <c r="M387" s="51" t="n"/>
      <c r="N387" s="51" t="n"/>
    </row>
    <row r="388" ht="13.5" customHeight="1" s="38">
      <c r="A388" s="73" t="inlineStr">
        <is>
          <t>R_0385</t>
        </is>
      </c>
      <c r="B388" s="49" t="n">
        <v>2.7</v>
      </c>
      <c r="C388" s="50" t="n">
        <v>0.945</v>
      </c>
      <c r="D388" s="49" t="n">
        <v>3.4</v>
      </c>
      <c r="E388" s="50" t="n">
        <v>1.02</v>
      </c>
      <c r="F388" s="49" t="n">
        <v>3.4</v>
      </c>
      <c r="G388" s="50" t="n">
        <v>0.68</v>
      </c>
      <c r="H388" s="49" t="n">
        <v>3</v>
      </c>
      <c r="I388" s="50" t="n">
        <v>0.45</v>
      </c>
      <c r="J388" s="50" t="n">
        <v>3.09</v>
      </c>
      <c r="K388" s="50" t="inlineStr">
        <is>
          <t>Fail</t>
        </is>
      </c>
      <c r="L388" s="51" t="n"/>
      <c r="M388" s="51" t="n"/>
      <c r="N388" s="51" t="n"/>
    </row>
    <row r="389" ht="13.5" customHeight="1" s="38">
      <c r="A389" s="73" t="inlineStr">
        <is>
          <t>R_0386</t>
        </is>
      </c>
      <c r="B389" s="49" t="n">
        <v>3.4</v>
      </c>
      <c r="C389" s="50" t="n">
        <v>1.19</v>
      </c>
      <c r="D389" s="49" t="n">
        <v>3.2</v>
      </c>
      <c r="E389" s="50" t="n">
        <v>0.96</v>
      </c>
      <c r="F389" s="49" t="n">
        <v>3.6</v>
      </c>
      <c r="G389" s="50" t="n">
        <v>0.72</v>
      </c>
      <c r="H389" s="49" t="n">
        <v>3</v>
      </c>
      <c r="I389" s="50" t="n">
        <v>0.45</v>
      </c>
      <c r="J389" s="50" t="n">
        <v>3.32</v>
      </c>
      <c r="K389" s="50" t="inlineStr">
        <is>
          <t>Fail</t>
        </is>
      </c>
      <c r="L389" s="51" t="n"/>
      <c r="M389" s="51" t="n"/>
      <c r="N389" s="51" t="n"/>
    </row>
    <row r="390" ht="13.5" customHeight="1" s="38">
      <c r="A390" s="73" t="inlineStr">
        <is>
          <t>R_0387</t>
        </is>
      </c>
      <c r="B390" s="49" t="n">
        <v>3.5</v>
      </c>
      <c r="C390" s="50" t="n">
        <v>1.225</v>
      </c>
      <c r="D390" s="49" t="n">
        <v>3.1</v>
      </c>
      <c r="E390" s="50" t="n">
        <v>0.93</v>
      </c>
      <c r="F390" s="49" t="n">
        <v>3.5</v>
      </c>
      <c r="G390" s="50" t="n">
        <v>0.7</v>
      </c>
      <c r="H390" s="49" t="n">
        <v>3</v>
      </c>
      <c r="I390" s="50" t="n">
        <v>0.45</v>
      </c>
      <c r="J390" s="50" t="n">
        <v>3.31</v>
      </c>
      <c r="K390" s="50" t="inlineStr">
        <is>
          <t>Fail</t>
        </is>
      </c>
      <c r="L390" s="51" t="n"/>
      <c r="M390" s="51" t="n"/>
      <c r="N390" s="51" t="n"/>
    </row>
    <row r="391" ht="13.5" customHeight="1" s="38">
      <c r="A391" s="73" t="inlineStr">
        <is>
          <t>R_0388</t>
        </is>
      </c>
      <c r="B391" s="49" t="n">
        <v>3.4</v>
      </c>
      <c r="C391" s="50" t="n">
        <v>1.19</v>
      </c>
      <c r="D391" s="49" t="n">
        <v>3.6</v>
      </c>
      <c r="E391" s="50" t="n">
        <v>1.08</v>
      </c>
      <c r="F391" s="49" t="n">
        <v>3.8</v>
      </c>
      <c r="G391" s="50" t="n">
        <v>0.76</v>
      </c>
      <c r="H391" s="49" t="n">
        <v>4.7</v>
      </c>
      <c r="I391" s="50" t="n">
        <v>0.705</v>
      </c>
      <c r="J391" s="50" t="n">
        <v>3.74</v>
      </c>
      <c r="K391" s="50" t="inlineStr">
        <is>
          <t>Pass</t>
        </is>
      </c>
      <c r="L391" s="51" t="n"/>
      <c r="M391" s="51" t="n"/>
      <c r="N391" s="51" t="n"/>
    </row>
    <row r="392" ht="13.5" customHeight="1" s="38">
      <c r="A392" s="73" t="inlineStr">
        <is>
          <t>R_0389</t>
        </is>
      </c>
      <c r="B392" s="49" t="n">
        <v>3.7</v>
      </c>
      <c r="C392" s="50" t="n">
        <v>1.295</v>
      </c>
      <c r="D392" s="49" t="n">
        <v>3</v>
      </c>
      <c r="E392" s="50" t="n">
        <v>0.9</v>
      </c>
      <c r="F392" s="49" t="n">
        <v>3.7</v>
      </c>
      <c r="G392" s="50" t="n">
        <v>0.74</v>
      </c>
      <c r="H392" s="49" t="n">
        <v>3.6</v>
      </c>
      <c r="I392" s="50" t="n">
        <v>0.54</v>
      </c>
      <c r="J392" s="50" t="n">
        <v>3.47</v>
      </c>
      <c r="K392" s="50" t="inlineStr">
        <is>
          <t>Fail</t>
        </is>
      </c>
      <c r="L392" s="51" t="n"/>
      <c r="M392" s="51" t="n"/>
      <c r="N392" s="51" t="n"/>
    </row>
    <row r="393" ht="13.5" customHeight="1" s="38">
      <c r="A393" s="73" t="inlineStr">
        <is>
          <t>R_0390</t>
        </is>
      </c>
      <c r="B393" s="49" t="inlineStr">
        <is>
          <t>3.9 | 3.9</t>
        </is>
      </c>
      <c r="C393" s="50" t="inlineStr">
        <is>
          <t>1.365 | 1.365</t>
        </is>
      </c>
      <c r="D393" s="49" t="inlineStr">
        <is>
          <t>3.1 | 3.8</t>
        </is>
      </c>
      <c r="E393" s="50" t="inlineStr">
        <is>
          <t>0.93 | 1.14</t>
        </is>
      </c>
      <c r="F393" s="49" t="inlineStr">
        <is>
          <t>3.7 | 4.0</t>
        </is>
      </c>
      <c r="G393" s="50" t="inlineStr">
        <is>
          <t>0.74 | 0.8</t>
        </is>
      </c>
      <c r="H393" s="49" t="inlineStr">
        <is>
          <t>4.0 | 4.1</t>
        </is>
      </c>
      <c r="I393" s="50" t="inlineStr">
        <is>
          <t>0.6 | 0.615</t>
        </is>
      </c>
      <c r="J393" s="50" t="inlineStr">
        <is>
          <t>3.64 | 3.92</t>
        </is>
      </c>
      <c r="K393" s="50" t="inlineStr">
        <is>
          <t>Pass | Pass</t>
        </is>
      </c>
      <c r="L393" s="51" t="n"/>
      <c r="M393" s="51" t="n"/>
      <c r="N393" s="51" t="n"/>
    </row>
    <row r="394" ht="13.5" customHeight="1" s="38">
      <c r="A394" s="73" t="inlineStr">
        <is>
          <t>R_0391</t>
        </is>
      </c>
      <c r="B394" s="49" t="n">
        <v>3.3</v>
      </c>
      <c r="C394" s="50" t="n">
        <v>1.155</v>
      </c>
      <c r="D394" s="49" t="n">
        <v>3.8</v>
      </c>
      <c r="E394" s="50" t="n">
        <v>1.14</v>
      </c>
      <c r="F394" s="49" t="n">
        <v>3.8</v>
      </c>
      <c r="G394" s="50" t="n">
        <v>0.76</v>
      </c>
      <c r="H394" s="49" t="n">
        <v>4.7</v>
      </c>
      <c r="I394" s="50" t="n">
        <v>0.705</v>
      </c>
      <c r="J394" s="50" t="n">
        <v>3.76</v>
      </c>
      <c r="K394" s="50" t="inlineStr">
        <is>
          <t>Pass</t>
        </is>
      </c>
      <c r="L394" s="51" t="n"/>
      <c r="M394" s="51" t="n"/>
      <c r="N394" s="51" t="n"/>
    </row>
    <row r="395" ht="13.5" customHeight="1" s="38">
      <c r="A395" s="73" t="inlineStr">
        <is>
          <t>R_0392</t>
        </is>
      </c>
      <c r="B395" s="49" t="n">
        <v>3.4</v>
      </c>
      <c r="C395" s="50" t="n">
        <v>1.19</v>
      </c>
      <c r="D395" s="49" t="n">
        <v>2.9</v>
      </c>
      <c r="E395" s="50" t="n">
        <v>0.87</v>
      </c>
      <c r="F395" s="49" t="n">
        <v>3.6</v>
      </c>
      <c r="G395" s="50" t="n">
        <v>0.72</v>
      </c>
      <c r="H395" s="49" t="n">
        <v>3.4</v>
      </c>
      <c r="I395" s="50" t="n">
        <v>0.51</v>
      </c>
      <c r="J395" s="50" t="n">
        <v>3.29</v>
      </c>
      <c r="K395" s="50" t="inlineStr">
        <is>
          <t>Fail</t>
        </is>
      </c>
      <c r="L395" s="51" t="n"/>
      <c r="M395" s="51" t="n"/>
      <c r="N395" s="51" t="n"/>
    </row>
    <row r="396" ht="13.5" customHeight="1" s="38">
      <c r="A396" s="73" t="inlineStr">
        <is>
          <t>R_0393</t>
        </is>
      </c>
      <c r="B396" s="49" t="inlineStr">
        <is>
          <t>3.3 | 2.9</t>
        </is>
      </c>
      <c r="C396" s="50" t="inlineStr">
        <is>
          <t>1.155 | 1.015</t>
        </is>
      </c>
      <c r="D396" s="49" t="inlineStr">
        <is>
          <t>3.2 | 3.2</t>
        </is>
      </c>
      <c r="E396" s="50" t="inlineStr">
        <is>
          <t>0.96 | 0.96</t>
        </is>
      </c>
      <c r="F396" s="49" t="inlineStr">
        <is>
          <t>3.6 | 2.7</t>
        </is>
      </c>
      <c r="G396" s="50" t="inlineStr">
        <is>
          <t>0.72 | 0.54</t>
        </is>
      </c>
      <c r="H396" s="49" t="inlineStr">
        <is>
          <t>2.8 | 2.8</t>
        </is>
      </c>
      <c r="I396" s="50" t="inlineStr">
        <is>
          <t>0.42 | 0.42</t>
        </is>
      </c>
      <c r="J396" s="50" t="inlineStr">
        <is>
          <t>3.25 | 2.935</t>
        </is>
      </c>
      <c r="K396" s="50" t="inlineStr">
        <is>
          <t>Fail | Fail</t>
        </is>
      </c>
      <c r="L396" s="51" t="n"/>
      <c r="M396" s="51" t="n"/>
      <c r="N396" s="51" t="n"/>
    </row>
    <row r="397" ht="13.5" customHeight="1" s="38">
      <c r="A397" s="73" t="inlineStr">
        <is>
          <t>R_0394</t>
        </is>
      </c>
      <c r="B397" s="49" t="n">
        <v>3.4</v>
      </c>
      <c r="C397" s="50" t="n">
        <v>1.19</v>
      </c>
      <c r="D397" s="49" t="n">
        <v>3.3</v>
      </c>
      <c r="E397" s="50" t="n">
        <v>0.99</v>
      </c>
      <c r="F397" s="49" t="n">
        <v>3.6</v>
      </c>
      <c r="G397" s="50" t="n">
        <v>0.72</v>
      </c>
      <c r="H397" s="49" t="n">
        <v>2.8</v>
      </c>
      <c r="I397" s="50" t="n">
        <v>0.42</v>
      </c>
      <c r="J397" s="50" t="n">
        <v>3.32</v>
      </c>
      <c r="K397" s="50" t="inlineStr">
        <is>
          <t>Fail</t>
        </is>
      </c>
      <c r="L397" s="51" t="n"/>
      <c r="M397" s="51" t="n"/>
      <c r="N397" s="51" t="n"/>
    </row>
    <row r="398" ht="13.5" customHeight="1" s="38">
      <c r="A398" s="73" t="inlineStr">
        <is>
          <t>R_0395</t>
        </is>
      </c>
      <c r="B398" s="49" t="n">
        <v>3.4</v>
      </c>
      <c r="C398" s="50" t="n">
        <v>1.19</v>
      </c>
      <c r="D398" s="49" t="n">
        <v>3.9</v>
      </c>
      <c r="E398" s="50" t="n">
        <v>1.17</v>
      </c>
      <c r="F398" s="49" t="n">
        <v>3.8</v>
      </c>
      <c r="G398" s="50" t="n">
        <v>0.76</v>
      </c>
      <c r="H398" s="49" t="n">
        <v>4.7</v>
      </c>
      <c r="I398" s="50" t="n">
        <v>0.705</v>
      </c>
      <c r="J398" s="50" t="n">
        <v>3.83</v>
      </c>
      <c r="K398" s="50" t="inlineStr">
        <is>
          <t>Pass</t>
        </is>
      </c>
      <c r="L398" s="51" t="n"/>
      <c r="M398" s="51" t="n"/>
      <c r="N398" s="51" t="n"/>
    </row>
    <row r="399" ht="13.5" customHeight="1" s="38">
      <c r="A399" s="73" t="inlineStr">
        <is>
          <t>R_0396</t>
        </is>
      </c>
      <c r="B399" s="49" t="n">
        <v>3.5</v>
      </c>
      <c r="C399" s="50" t="n">
        <v>1.225</v>
      </c>
      <c r="D399" s="49" t="n">
        <v>3.2</v>
      </c>
      <c r="E399" s="50" t="n">
        <v>0.96</v>
      </c>
      <c r="F399" s="49" t="n">
        <v>3.6</v>
      </c>
      <c r="G399" s="50" t="n">
        <v>0.72</v>
      </c>
      <c r="H399" s="49" t="n">
        <v>3</v>
      </c>
      <c r="I399" s="50" t="n">
        <v>0.45</v>
      </c>
      <c r="J399" s="50" t="n">
        <v>3.36</v>
      </c>
      <c r="K399" s="50" t="inlineStr">
        <is>
          <t>Fail</t>
        </is>
      </c>
      <c r="L399" s="51" t="n"/>
      <c r="M399" s="51" t="n"/>
      <c r="N399" s="51" t="n"/>
    </row>
    <row r="400" ht="13.5" customHeight="1" s="38">
      <c r="A400" s="73" t="inlineStr">
        <is>
          <t>R_0397</t>
        </is>
      </c>
      <c r="B400" s="49" t="inlineStr">
        <is>
          <t>3.7 | 4.0</t>
        </is>
      </c>
      <c r="C400" s="50" t="inlineStr">
        <is>
          <t>1.295 | 1.4</t>
        </is>
      </c>
      <c r="D400" s="49" t="inlineStr">
        <is>
          <t>4.2 | 3.8</t>
        </is>
      </c>
      <c r="E400" s="50" t="inlineStr">
        <is>
          <t>1.26 | 1.14</t>
        </is>
      </c>
      <c r="F400" s="49" t="inlineStr">
        <is>
          <t>3.2 | 2.0</t>
        </is>
      </c>
      <c r="G400" s="50" t="inlineStr">
        <is>
          <t>0.64 | 0.4</t>
        </is>
      </c>
      <c r="H400" s="49" t="inlineStr">
        <is>
          <t>3.0 | 2.9</t>
        </is>
      </c>
      <c r="I400" s="50" t="inlineStr">
        <is>
          <t>0.45 | 0.435</t>
        </is>
      </c>
      <c r="J400" s="50" t="inlineStr">
        <is>
          <t>3.65 | 3.375</t>
        </is>
      </c>
      <c r="K400" s="50" t="inlineStr">
        <is>
          <t>Pass | Fail</t>
        </is>
      </c>
      <c r="L400" s="51" t="n"/>
      <c r="M400" s="51" t="n"/>
      <c r="N400" s="51" t="n"/>
    </row>
    <row r="401" ht="13.5" customHeight="1" s="38">
      <c r="A401" s="73" t="inlineStr">
        <is>
          <t>R_0398</t>
        </is>
      </c>
      <c r="B401" s="49" t="n">
        <v>3.3</v>
      </c>
      <c r="C401" s="50" t="n">
        <v>1.155</v>
      </c>
      <c r="D401" s="49" t="n">
        <v>3.1</v>
      </c>
      <c r="E401" s="50" t="n">
        <v>0.93</v>
      </c>
      <c r="F401" s="49" t="n">
        <v>3.5</v>
      </c>
      <c r="G401" s="50" t="n">
        <v>0.7</v>
      </c>
      <c r="H401" s="49" t="n">
        <v>2.8</v>
      </c>
      <c r="I401" s="50" t="n">
        <v>0.42</v>
      </c>
      <c r="J401" s="50" t="n">
        <v>3.21</v>
      </c>
      <c r="K401" s="50" t="inlineStr">
        <is>
          <t>Fail</t>
        </is>
      </c>
      <c r="L401" s="51" t="n"/>
      <c r="M401" s="51" t="n"/>
      <c r="N401" s="51" t="n"/>
    </row>
    <row r="402" ht="13.5" customHeight="1" s="38">
      <c r="A402" s="73" t="inlineStr">
        <is>
          <t>R_0399</t>
        </is>
      </c>
      <c r="B402" s="49" t="n">
        <v>3.1</v>
      </c>
      <c r="C402" s="50" t="n">
        <v>1.085</v>
      </c>
      <c r="D402" s="49" t="n">
        <v>3.1</v>
      </c>
      <c r="E402" s="50" t="n">
        <v>0.93</v>
      </c>
      <c r="F402" s="49" t="n">
        <v>3.4</v>
      </c>
      <c r="G402" s="50" t="n">
        <v>0.68</v>
      </c>
      <c r="H402" s="49" t="n">
        <v>2.8</v>
      </c>
      <c r="I402" s="50" t="n">
        <v>0.42</v>
      </c>
      <c r="J402" s="50" t="n">
        <v>3.11</v>
      </c>
      <c r="K402" s="50" t="inlineStr">
        <is>
          <t>Fail</t>
        </is>
      </c>
      <c r="L402" s="51" t="n"/>
      <c r="M402" s="51" t="n"/>
      <c r="N402" s="51" t="n"/>
    </row>
    <row r="403" ht="13.5" customHeight="1" s="38">
      <c r="A403" s="73" t="inlineStr">
        <is>
          <t>R_0400</t>
        </is>
      </c>
      <c r="B403" s="49" t="n">
        <v>3.4</v>
      </c>
      <c r="C403" s="50" t="n">
        <v>1.19</v>
      </c>
      <c r="D403" s="49" t="n">
        <v>2.9</v>
      </c>
      <c r="E403" s="50" t="n">
        <v>0.87</v>
      </c>
      <c r="F403" s="49" t="n">
        <v>3.6</v>
      </c>
      <c r="G403" s="50" t="n">
        <v>0.72</v>
      </c>
      <c r="H403" s="49" t="n">
        <v>2.8</v>
      </c>
      <c r="I403" s="50" t="n">
        <v>0.42</v>
      </c>
      <c r="J403" s="50" t="n">
        <v>3.2</v>
      </c>
      <c r="K403" s="50" t="inlineStr">
        <is>
          <t>Fail</t>
        </is>
      </c>
      <c r="L403" s="51" t="n"/>
      <c r="M403" s="51" t="n"/>
      <c r="N403" s="51" t="n"/>
    </row>
    <row r="404" ht="13.5" customHeight="1" s="38">
      <c r="A404" s="73" t="inlineStr">
        <is>
          <t>R_0401</t>
        </is>
      </c>
      <c r="B404" s="49" t="n">
        <v>3.6</v>
      </c>
      <c r="C404" s="50" t="n">
        <v>1.26</v>
      </c>
      <c r="D404" s="49" t="n">
        <v>3.9</v>
      </c>
      <c r="E404" s="50" t="n">
        <v>1.17</v>
      </c>
      <c r="F404" s="49" t="n">
        <v>3.3</v>
      </c>
      <c r="G404" s="50" t="n">
        <v>0.66</v>
      </c>
      <c r="H404" s="49" t="n">
        <v>3</v>
      </c>
      <c r="I404" s="50" t="n">
        <v>0.45</v>
      </c>
      <c r="J404" s="50" t="n">
        <v>3.54</v>
      </c>
      <c r="K404" s="50" t="inlineStr">
        <is>
          <t>Pass</t>
        </is>
      </c>
      <c r="L404" s="51" t="n"/>
      <c r="M404" s="51" t="n"/>
      <c r="N404" s="51" t="n"/>
    </row>
    <row r="405" ht="13.5" customHeight="1" s="38">
      <c r="A405" s="73" t="inlineStr">
        <is>
          <t>R_0402</t>
        </is>
      </c>
      <c r="B405" s="49" t="n">
        <v>3.4</v>
      </c>
      <c r="C405" s="50" t="n">
        <v>1.19</v>
      </c>
      <c r="D405" s="49" t="n">
        <v>2.9</v>
      </c>
      <c r="E405" s="50" t="n">
        <v>0.87</v>
      </c>
      <c r="F405" s="49" t="n">
        <v>3.6</v>
      </c>
      <c r="G405" s="50" t="n">
        <v>0.72</v>
      </c>
      <c r="H405" s="49" t="n">
        <v>2.8</v>
      </c>
      <c r="I405" s="50" t="n">
        <v>0.42</v>
      </c>
      <c r="J405" s="50" t="n">
        <v>3.2</v>
      </c>
      <c r="K405" s="50" t="inlineStr">
        <is>
          <t>Fail</t>
        </is>
      </c>
      <c r="L405" s="51" t="n"/>
      <c r="M405" s="51" t="n"/>
      <c r="N405" s="51" t="n"/>
    </row>
    <row r="406" ht="13.5" customHeight="1" s="38">
      <c r="A406" s="73" t="inlineStr">
        <is>
          <t>R_0403</t>
        </is>
      </c>
      <c r="B406" s="49" t="n">
        <v>2.8</v>
      </c>
      <c r="C406" s="50" t="n">
        <v>0.98</v>
      </c>
      <c r="D406" s="49" t="n">
        <v>2.9</v>
      </c>
      <c r="E406" s="50" t="n">
        <v>0.87</v>
      </c>
      <c r="F406" s="49" t="n">
        <v>3.5</v>
      </c>
      <c r="G406" s="50" t="n">
        <v>0.7</v>
      </c>
      <c r="H406" s="49" t="n">
        <v>3.7</v>
      </c>
      <c r="I406" s="50" t="n">
        <v>0.555</v>
      </c>
      <c r="J406" s="50" t="n">
        <v>3.1</v>
      </c>
      <c r="K406" s="50" t="inlineStr">
        <is>
          <t>Fail</t>
        </is>
      </c>
      <c r="L406" s="51" t="n"/>
      <c r="M406" s="51" t="n"/>
      <c r="N406" s="51" t="n"/>
    </row>
    <row r="407" ht="13.5" customHeight="1" s="38">
      <c r="A407" s="73" t="inlineStr">
        <is>
          <t>R_0404</t>
        </is>
      </c>
      <c r="B407" s="49" t="n">
        <v>3.4</v>
      </c>
      <c r="C407" s="50" t="n">
        <v>1.19</v>
      </c>
      <c r="D407" s="49" t="n">
        <v>3.4</v>
      </c>
      <c r="E407" s="50" t="n">
        <v>1.02</v>
      </c>
      <c r="F407" s="49" t="n">
        <v>3.6</v>
      </c>
      <c r="G407" s="50" t="n">
        <v>0.72</v>
      </c>
      <c r="H407" s="49" t="n">
        <v>2.8</v>
      </c>
      <c r="I407" s="50" t="n">
        <v>0.42</v>
      </c>
      <c r="J407" s="50" t="n">
        <v>3.35</v>
      </c>
      <c r="K407" s="50" t="inlineStr">
        <is>
          <t>Fail</t>
        </is>
      </c>
      <c r="L407" s="51" t="n"/>
      <c r="M407" s="51" t="n"/>
      <c r="N407" s="51" t="n"/>
    </row>
    <row r="408" ht="13.5" customHeight="1" s="38">
      <c r="A408" s="73" t="inlineStr">
        <is>
          <t>R_0405</t>
        </is>
      </c>
      <c r="B408" s="49" t="n">
        <v>3.5</v>
      </c>
      <c r="C408" s="50" t="n">
        <v>1.225</v>
      </c>
      <c r="D408" s="49" t="n">
        <v>3.8</v>
      </c>
      <c r="E408" s="50" t="n">
        <v>1.14</v>
      </c>
      <c r="F408" s="49" t="n">
        <v>3.1</v>
      </c>
      <c r="G408" s="50" t="n">
        <v>0.62</v>
      </c>
      <c r="H408" s="49" t="n">
        <v>3</v>
      </c>
      <c r="I408" s="50" t="n">
        <v>0.45</v>
      </c>
      <c r="J408" s="50" t="n">
        <v>3.44</v>
      </c>
      <c r="K408" s="50" t="inlineStr">
        <is>
          <t>Fail</t>
        </is>
      </c>
      <c r="L408" s="51" t="n"/>
      <c r="M408" s="51" t="n"/>
      <c r="N408" s="51" t="n"/>
    </row>
    <row r="409" ht="13.5" customHeight="1" s="38">
      <c r="A409" s="73" t="inlineStr">
        <is>
          <t>R_0406</t>
        </is>
      </c>
      <c r="B409" s="49" t="n">
        <v>3.9</v>
      </c>
      <c r="C409" s="50" t="n">
        <v>1.365</v>
      </c>
      <c r="D409" s="49" t="n">
        <v>3.4</v>
      </c>
      <c r="E409" s="50" t="n">
        <v>1.02</v>
      </c>
      <c r="F409" s="49" t="n">
        <v>3.6</v>
      </c>
      <c r="G409" s="50" t="n">
        <v>0.72</v>
      </c>
      <c r="H409" s="49" t="n">
        <v>4</v>
      </c>
      <c r="I409" s="50" t="n">
        <v>0.6</v>
      </c>
      <c r="J409" s="50" t="n">
        <v>3.7</v>
      </c>
      <c r="K409" s="50" t="inlineStr">
        <is>
          <t>Pass</t>
        </is>
      </c>
      <c r="L409" s="51" t="n"/>
      <c r="M409" s="51" t="n"/>
      <c r="N409" s="51" t="n"/>
    </row>
    <row r="410" ht="13.5" customHeight="1" s="38">
      <c r="A410" s="73" t="inlineStr">
        <is>
          <t>R_0407</t>
        </is>
      </c>
      <c r="B410" s="49" t="n">
        <v>3.5</v>
      </c>
      <c r="C410" s="50" t="n">
        <v>1.225</v>
      </c>
      <c r="D410" s="49" t="n">
        <v>2.9</v>
      </c>
      <c r="E410" s="50" t="n">
        <v>0.87</v>
      </c>
      <c r="F410" s="49" t="n">
        <v>3.6</v>
      </c>
      <c r="G410" s="50" t="n">
        <v>0.72</v>
      </c>
      <c r="H410" s="49" t="n">
        <v>3.5</v>
      </c>
      <c r="I410" s="50" t="n">
        <v>0.525</v>
      </c>
      <c r="J410" s="50" t="n">
        <v>3.34</v>
      </c>
      <c r="K410" s="50" t="inlineStr">
        <is>
          <t>Fail</t>
        </is>
      </c>
      <c r="L410" s="51" t="n"/>
      <c r="M410" s="51" t="n"/>
      <c r="N410" s="51" t="n"/>
    </row>
    <row r="411" ht="13.5" customHeight="1" s="38">
      <c r="A411" s="73" t="inlineStr">
        <is>
          <t>R_0408</t>
        </is>
      </c>
      <c r="B411" s="49" t="n">
        <v>3.6</v>
      </c>
      <c r="C411" s="50" t="n">
        <v>1.26</v>
      </c>
      <c r="D411" s="49" t="n">
        <v>3.1</v>
      </c>
      <c r="E411" s="50" t="n">
        <v>0.93</v>
      </c>
      <c r="F411" s="49" t="n">
        <v>3.7</v>
      </c>
      <c r="G411" s="50" t="n">
        <v>0.74</v>
      </c>
      <c r="H411" s="49" t="n">
        <v>3.4</v>
      </c>
      <c r="I411" s="50" t="n">
        <v>0.51</v>
      </c>
      <c r="J411" s="50" t="n">
        <v>3.44</v>
      </c>
      <c r="K411" s="50" t="inlineStr">
        <is>
          <t>Fail</t>
        </is>
      </c>
      <c r="L411" s="51" t="n"/>
      <c r="M411" s="51" t="n"/>
      <c r="N411" s="51" t="n"/>
    </row>
    <row r="412" ht="13.5" customHeight="1" s="38">
      <c r="A412" s="73" t="inlineStr">
        <is>
          <t>R_0409</t>
        </is>
      </c>
      <c r="B412" s="49" t="n">
        <v>3.6</v>
      </c>
      <c r="C412" s="50" t="n">
        <v>1.26</v>
      </c>
      <c r="D412" s="49" t="n">
        <v>3</v>
      </c>
      <c r="E412" s="50" t="n">
        <v>0.9</v>
      </c>
      <c r="F412" s="49" t="n">
        <v>3.8</v>
      </c>
      <c r="G412" s="50" t="n">
        <v>0.76</v>
      </c>
      <c r="H412" s="49" t="n">
        <v>3.8</v>
      </c>
      <c r="I412" s="50" t="n">
        <v>0.57</v>
      </c>
      <c r="J412" s="50" t="n">
        <v>3.49</v>
      </c>
      <c r="K412" s="50" t="inlineStr">
        <is>
          <t>Fail</t>
        </is>
      </c>
      <c r="L412" s="51" t="n"/>
      <c r="M412" s="51" t="n"/>
      <c r="N412" s="51" t="n"/>
    </row>
    <row r="413" ht="13.5" customHeight="1" s="38">
      <c r="A413" s="73" t="inlineStr">
        <is>
          <t>R_0410</t>
        </is>
      </c>
      <c r="B413" s="49" t="n">
        <v>3.4</v>
      </c>
      <c r="C413" s="50" t="n">
        <v>1.19</v>
      </c>
      <c r="D413" s="49" t="n">
        <v>2.9</v>
      </c>
      <c r="E413" s="50" t="n">
        <v>0.87</v>
      </c>
      <c r="F413" s="49" t="n">
        <v>3.6</v>
      </c>
      <c r="G413" s="50" t="n">
        <v>0.72</v>
      </c>
      <c r="H413" s="49" t="n">
        <v>3.5</v>
      </c>
      <c r="I413" s="50" t="n">
        <v>0.525</v>
      </c>
      <c r="J413" s="50" t="n">
        <v>3.31</v>
      </c>
      <c r="K413" s="50" t="inlineStr">
        <is>
          <t>Fail</t>
        </is>
      </c>
      <c r="L413" s="51" t="n"/>
      <c r="M413" s="51" t="n"/>
      <c r="N413" s="51" t="n"/>
    </row>
    <row r="414" ht="13.5" customHeight="1" s="38">
      <c r="A414" s="73" t="inlineStr">
        <is>
          <t>R_0411</t>
        </is>
      </c>
      <c r="B414" s="49" t="n">
        <v>3.2</v>
      </c>
      <c r="C414" s="50" t="n">
        <v>1.12</v>
      </c>
      <c r="D414" s="49" t="n">
        <v>3.3</v>
      </c>
      <c r="E414" s="50" t="n">
        <v>0.99</v>
      </c>
      <c r="F414" s="49" t="n">
        <v>3.7</v>
      </c>
      <c r="G414" s="50" t="n">
        <v>0.74</v>
      </c>
      <c r="H414" s="49" t="n">
        <v>4.5</v>
      </c>
      <c r="I414" s="50" t="n">
        <v>0.675</v>
      </c>
      <c r="J414" s="50" t="n">
        <v>3.52</v>
      </c>
      <c r="K414" s="50" t="inlineStr">
        <is>
          <t>Pass</t>
        </is>
      </c>
      <c r="L414" s="51" t="n"/>
      <c r="M414" s="51" t="n"/>
      <c r="N414" s="51" t="n"/>
    </row>
    <row r="415" ht="13.5" customHeight="1" s="38">
      <c r="A415" s="73" t="inlineStr">
        <is>
          <t>R_0412</t>
        </is>
      </c>
      <c r="B415" s="49" t="n">
        <v>3.7</v>
      </c>
      <c r="C415" s="50" t="n">
        <v>1.295</v>
      </c>
      <c r="D415" s="49" t="n">
        <v>4.2</v>
      </c>
      <c r="E415" s="50" t="n">
        <v>1.26</v>
      </c>
      <c r="F415" s="49" t="n">
        <v>3.3</v>
      </c>
      <c r="G415" s="50" t="n">
        <v>0.66</v>
      </c>
      <c r="H415" s="49" t="n">
        <v>3</v>
      </c>
      <c r="I415" s="50" t="n">
        <v>0.45</v>
      </c>
      <c r="J415" s="50" t="n">
        <v>3.67</v>
      </c>
      <c r="K415" s="50" t="inlineStr">
        <is>
          <t>Pass</t>
        </is>
      </c>
      <c r="L415" s="51" t="n"/>
      <c r="M415" s="51" t="n"/>
      <c r="N415" s="51" t="n"/>
    </row>
    <row r="416" ht="13.5" customHeight="1" s="38">
      <c r="A416" s="73" t="inlineStr">
        <is>
          <t>R_0413</t>
        </is>
      </c>
      <c r="B416" s="49" t="n">
        <v>3.2</v>
      </c>
      <c r="C416" s="50" t="n">
        <v>1.12</v>
      </c>
      <c r="D416" s="49" t="n">
        <v>3.5</v>
      </c>
      <c r="E416" s="50" t="n">
        <v>1.05</v>
      </c>
      <c r="F416" s="49" t="n">
        <v>3.7</v>
      </c>
      <c r="G416" s="50" t="n">
        <v>0.74</v>
      </c>
      <c r="H416" s="49" t="n">
        <v>3.2</v>
      </c>
      <c r="I416" s="50" t="n">
        <v>0.48</v>
      </c>
      <c r="J416" s="50" t="n">
        <v>3.39</v>
      </c>
      <c r="K416" s="50" t="inlineStr">
        <is>
          <t>Fail</t>
        </is>
      </c>
      <c r="L416" s="51" t="n"/>
      <c r="M416" s="51" t="n"/>
      <c r="N416" s="51" t="n"/>
    </row>
    <row r="417" ht="13.5" customHeight="1" s="38">
      <c r="A417" s="73" t="inlineStr">
        <is>
          <t>R_0414</t>
        </is>
      </c>
      <c r="B417" s="49" t="n">
        <v>3.4</v>
      </c>
      <c r="C417" s="50" t="n">
        <v>1.19</v>
      </c>
      <c r="D417" s="49" t="n">
        <v>3.7</v>
      </c>
      <c r="E417" s="50" t="n">
        <v>1.11</v>
      </c>
      <c r="F417" s="49" t="n">
        <v>3.7</v>
      </c>
      <c r="G417" s="50" t="n">
        <v>0.74</v>
      </c>
      <c r="H417" s="49" t="n">
        <v>3.3</v>
      </c>
      <c r="I417" s="50" t="n">
        <v>0.495</v>
      </c>
      <c r="J417" s="50" t="n">
        <v>3.54</v>
      </c>
      <c r="K417" s="50" t="inlineStr">
        <is>
          <t>Pass</t>
        </is>
      </c>
      <c r="L417" s="51" t="n"/>
      <c r="M417" s="51" t="n"/>
      <c r="N417" s="51" t="n"/>
    </row>
    <row r="418" ht="13.5" customHeight="1" s="38">
      <c r="A418" s="73" t="inlineStr">
        <is>
          <t>R_0415</t>
        </is>
      </c>
      <c r="B418" s="49" t="n">
        <v>3.5</v>
      </c>
      <c r="C418" s="50" t="n">
        <v>1.225</v>
      </c>
      <c r="D418" s="49" t="n">
        <v>3.5</v>
      </c>
      <c r="E418" s="50" t="n">
        <v>1.05</v>
      </c>
      <c r="F418" s="49" t="n">
        <v>3.6</v>
      </c>
      <c r="G418" s="50" t="n">
        <v>0.72</v>
      </c>
      <c r="H418" s="49" t="n">
        <v>3</v>
      </c>
      <c r="I418" s="50" t="n">
        <v>0.45</v>
      </c>
      <c r="J418" s="50" t="n">
        <v>3.45</v>
      </c>
      <c r="K418" s="50" t="inlineStr">
        <is>
          <t>Fail</t>
        </is>
      </c>
      <c r="L418" s="51" t="n"/>
      <c r="M418" s="51" t="n"/>
      <c r="N418" s="51" t="n"/>
    </row>
    <row r="419" ht="13.5" customHeight="1" s="38">
      <c r="A419" s="73" t="inlineStr">
        <is>
          <t>R_0416</t>
        </is>
      </c>
      <c r="B419" s="49" t="n">
        <v>3.3</v>
      </c>
      <c r="C419" s="50" t="n">
        <v>1.155</v>
      </c>
      <c r="D419" s="49" t="n">
        <v>2.9</v>
      </c>
      <c r="E419" s="50" t="n">
        <v>0.87</v>
      </c>
      <c r="F419" s="49" t="n">
        <v>3.6</v>
      </c>
      <c r="G419" s="50" t="n">
        <v>0.72</v>
      </c>
      <c r="H419" s="49" t="n">
        <v>2.8</v>
      </c>
      <c r="I419" s="50" t="n">
        <v>0.42</v>
      </c>
      <c r="J419" s="50" t="n">
        <v>3.17</v>
      </c>
      <c r="K419" s="50" t="inlineStr">
        <is>
          <t>Fail</t>
        </is>
      </c>
      <c r="L419" s="51" t="n"/>
      <c r="M419" s="51" t="n"/>
      <c r="N419" s="51" t="n"/>
    </row>
    <row r="420" ht="13.5" customHeight="1" s="38">
      <c r="A420" s="73" t="inlineStr">
        <is>
          <t>R_0417</t>
        </is>
      </c>
      <c r="B420" s="49" t="n">
        <v>3.5</v>
      </c>
      <c r="C420" s="50" t="n">
        <v>1.225</v>
      </c>
      <c r="D420" s="49" t="n">
        <v>4</v>
      </c>
      <c r="E420" s="50" t="n">
        <v>1.2</v>
      </c>
      <c r="F420" s="49" t="n">
        <v>3.8</v>
      </c>
      <c r="G420" s="50" t="n">
        <v>0.76</v>
      </c>
      <c r="H420" s="49" t="n">
        <v>3.2</v>
      </c>
      <c r="I420" s="50" t="n">
        <v>0.48</v>
      </c>
      <c r="J420" s="50" t="n">
        <v>3.66</v>
      </c>
      <c r="K420" s="50" t="inlineStr">
        <is>
          <t>Pass</t>
        </is>
      </c>
      <c r="L420" s="51" t="n"/>
      <c r="M420" s="51" t="n"/>
      <c r="N420" s="51" t="n"/>
    </row>
    <row r="421" ht="13.5" customHeight="1" s="38">
      <c r="A421" s="73" t="inlineStr">
        <is>
          <t>R_0418</t>
        </is>
      </c>
      <c r="B421" s="49" t="n">
        <v>3.4</v>
      </c>
      <c r="C421" s="50" t="n">
        <v>1.19</v>
      </c>
      <c r="D421" s="49" t="n">
        <v>2.9</v>
      </c>
      <c r="E421" s="50" t="n">
        <v>0.87</v>
      </c>
      <c r="F421" s="49" t="n">
        <v>3.8</v>
      </c>
      <c r="G421" s="50" t="n">
        <v>0.76</v>
      </c>
      <c r="H421" s="49" t="n">
        <v>2.6</v>
      </c>
      <c r="I421" s="50" t="n">
        <v>0.39</v>
      </c>
      <c r="J421" s="50" t="n">
        <v>3.21</v>
      </c>
      <c r="K421" s="50" t="inlineStr">
        <is>
          <t>Fail</t>
        </is>
      </c>
      <c r="L421" s="51" t="n"/>
      <c r="M421" s="51" t="n"/>
      <c r="N421" s="51" t="n"/>
    </row>
    <row r="422" ht="13.5" customHeight="1" s="38">
      <c r="A422" s="73" t="inlineStr">
        <is>
          <t>R_0419</t>
        </is>
      </c>
      <c r="B422" s="49" t="n">
        <v>3.5</v>
      </c>
      <c r="C422" s="50" t="n">
        <v>1.225</v>
      </c>
      <c r="D422" s="49" t="n">
        <v>3.1</v>
      </c>
      <c r="E422" s="50" t="n">
        <v>0.93</v>
      </c>
      <c r="F422" s="49" t="n">
        <v>3.7</v>
      </c>
      <c r="G422" s="50" t="n">
        <v>0.74</v>
      </c>
      <c r="H422" s="49" t="n">
        <v>3.4</v>
      </c>
      <c r="I422" s="50" t="n">
        <v>0.51</v>
      </c>
      <c r="J422" s="50" t="n">
        <v>3.41</v>
      </c>
      <c r="K422" s="50" t="inlineStr">
        <is>
          <t>Fail</t>
        </is>
      </c>
      <c r="L422" s="51" t="n"/>
      <c r="M422" s="51" t="n"/>
      <c r="N422" s="51" t="n"/>
    </row>
    <row r="423" ht="13.5" customHeight="1" s="38">
      <c r="A423" s="73" t="inlineStr">
        <is>
          <t>R_0420</t>
        </is>
      </c>
      <c r="B423" s="49" t="n">
        <v>3.4</v>
      </c>
      <c r="C423" s="50" t="n">
        <v>1.19</v>
      </c>
      <c r="D423" s="49" t="n">
        <v>3.2</v>
      </c>
      <c r="E423" s="50" t="n">
        <v>0.96</v>
      </c>
      <c r="F423" s="49" t="n">
        <v>3.6</v>
      </c>
      <c r="G423" s="50" t="n">
        <v>0.72</v>
      </c>
      <c r="H423" s="49" t="n">
        <v>3</v>
      </c>
      <c r="I423" s="50" t="n">
        <v>0.45</v>
      </c>
      <c r="J423" s="50" t="n">
        <v>3.32</v>
      </c>
      <c r="K423" s="50" t="inlineStr">
        <is>
          <t>Fail</t>
        </is>
      </c>
      <c r="L423" s="51" t="n"/>
      <c r="M423" s="51" t="n"/>
      <c r="N423" s="51" t="n"/>
    </row>
    <row r="424" ht="13.5" customHeight="1" s="38">
      <c r="A424" s="73" t="inlineStr">
        <is>
          <t>R_0421</t>
        </is>
      </c>
      <c r="B424" s="49" t="n">
        <v>3.2</v>
      </c>
      <c r="C424" s="50" t="n">
        <v>1.12</v>
      </c>
      <c r="D424" s="49" t="n">
        <v>3.7</v>
      </c>
      <c r="E424" s="50" t="n">
        <v>1.11</v>
      </c>
      <c r="F424" s="49" t="n">
        <v>3.7</v>
      </c>
      <c r="G424" s="50" t="n">
        <v>0.74</v>
      </c>
      <c r="H424" s="49" t="n">
        <v>3.2</v>
      </c>
      <c r="I424" s="50" t="n">
        <v>0.48</v>
      </c>
      <c r="J424" s="50" t="n">
        <v>3.45</v>
      </c>
      <c r="K424" s="50" t="inlineStr">
        <is>
          <t>Fail</t>
        </is>
      </c>
      <c r="L424" s="51" t="n"/>
      <c r="M424" s="51" t="n"/>
      <c r="N424" s="51" t="n"/>
    </row>
    <row r="425" ht="13.5" customHeight="1" s="38">
      <c r="A425" s="73" t="inlineStr">
        <is>
          <t>R_0422</t>
        </is>
      </c>
      <c r="B425" s="49" t="n">
        <v>2.9</v>
      </c>
      <c r="C425" s="50" t="n">
        <v>1.015</v>
      </c>
      <c r="D425" s="49" t="n">
        <v>2.9</v>
      </c>
      <c r="E425" s="50" t="n">
        <v>0.87</v>
      </c>
      <c r="F425" s="49" t="n">
        <v>3.4</v>
      </c>
      <c r="G425" s="50" t="n">
        <v>0.68</v>
      </c>
      <c r="H425" s="49" t="n">
        <v>4.3</v>
      </c>
      <c r="I425" s="50" t="n">
        <v>0.645</v>
      </c>
      <c r="J425" s="50" t="n">
        <v>3.21</v>
      </c>
      <c r="K425" s="50" t="inlineStr">
        <is>
          <t>Fail</t>
        </is>
      </c>
      <c r="L425" s="51" t="n"/>
      <c r="M425" s="51" t="n"/>
      <c r="N425" s="51" t="n"/>
    </row>
    <row r="426" ht="13.5" customHeight="1" s="38">
      <c r="A426" s="73" t="inlineStr">
        <is>
          <t>R_0423</t>
        </is>
      </c>
      <c r="B426" s="49" t="n">
        <v>3</v>
      </c>
      <c r="C426" s="50" t="n">
        <v>1.05</v>
      </c>
      <c r="D426" s="49" t="n">
        <v>3.1</v>
      </c>
      <c r="E426" s="50" t="n">
        <v>0.93</v>
      </c>
      <c r="F426" s="49" t="n">
        <v>3.3</v>
      </c>
      <c r="G426" s="50" t="n">
        <v>0.66</v>
      </c>
      <c r="H426" s="49" t="n">
        <v>4.3</v>
      </c>
      <c r="I426" s="50" t="n">
        <v>0.645</v>
      </c>
      <c r="J426" s="50" t="n">
        <v>3.28</v>
      </c>
      <c r="K426" s="50" t="inlineStr">
        <is>
          <t>Fail</t>
        </is>
      </c>
      <c r="L426" s="51" t="n"/>
      <c r="M426" s="51" t="n"/>
      <c r="N426" s="51" t="n"/>
    </row>
    <row r="427" ht="13.5" customHeight="1" s="38">
      <c r="A427" s="73" t="inlineStr">
        <is>
          <t>R_0424</t>
        </is>
      </c>
      <c r="B427" s="49" t="n">
        <v>2.7</v>
      </c>
      <c r="C427" s="50" t="n">
        <v>0.945</v>
      </c>
      <c r="D427" s="49" t="n">
        <v>3.4</v>
      </c>
      <c r="E427" s="50" t="n">
        <v>1.02</v>
      </c>
      <c r="F427" s="49" t="n">
        <v>3.4</v>
      </c>
      <c r="G427" s="50" t="n">
        <v>0.68</v>
      </c>
      <c r="H427" s="49" t="n">
        <v>2.8</v>
      </c>
      <c r="I427" s="50" t="n">
        <v>0.42</v>
      </c>
      <c r="J427" s="50" t="n">
        <v>3.06</v>
      </c>
      <c r="K427" s="50" t="inlineStr">
        <is>
          <t>Fail</t>
        </is>
      </c>
      <c r="L427" s="51" t="n"/>
      <c r="M427" s="51" t="n"/>
      <c r="N427" s="51" t="n"/>
    </row>
    <row r="428" ht="13.5" customHeight="1" s="38">
      <c r="A428" s="73" t="inlineStr">
        <is>
          <t>R_0425</t>
        </is>
      </c>
      <c r="B428" s="49" t="n">
        <v>3.5</v>
      </c>
      <c r="C428" s="50" t="n">
        <v>1.225</v>
      </c>
      <c r="D428" s="49" t="n">
        <v>3.9</v>
      </c>
      <c r="E428" s="50" t="n">
        <v>1.17</v>
      </c>
      <c r="F428" s="49" t="n">
        <v>3.2</v>
      </c>
      <c r="G428" s="50" t="n">
        <v>0.64</v>
      </c>
      <c r="H428" s="49" t="n">
        <v>2.8</v>
      </c>
      <c r="I428" s="50" t="n">
        <v>0.42</v>
      </c>
      <c r="J428" s="50" t="n">
        <v>3.46</v>
      </c>
      <c r="K428" s="50" t="inlineStr">
        <is>
          <t>Fail</t>
        </is>
      </c>
      <c r="L428" s="51" t="n"/>
      <c r="M428" s="51" t="n"/>
      <c r="N428" s="51" t="n"/>
    </row>
    <row r="429" ht="13.5" customHeight="1" s="38">
      <c r="A429" s="73" t="inlineStr">
        <is>
          <t>R_0426</t>
        </is>
      </c>
      <c r="B429" s="49" t="n">
        <v>3.6</v>
      </c>
      <c r="C429" s="50" t="n">
        <v>1.26</v>
      </c>
      <c r="D429" s="49" t="n">
        <v>3.7</v>
      </c>
      <c r="E429" s="50" t="n">
        <v>1.11</v>
      </c>
      <c r="F429" s="49" t="n">
        <v>3.2</v>
      </c>
      <c r="G429" s="50" t="n">
        <v>0.64</v>
      </c>
      <c r="H429" s="49" t="n">
        <v>3</v>
      </c>
      <c r="I429" s="50" t="n">
        <v>0.45</v>
      </c>
      <c r="J429" s="50" t="n">
        <v>3.46</v>
      </c>
      <c r="K429" s="50" t="inlineStr">
        <is>
          <t>Fail</t>
        </is>
      </c>
      <c r="L429" s="51" t="n"/>
      <c r="M429" s="51" t="n"/>
      <c r="N429" s="51" t="n"/>
    </row>
    <row r="430" ht="13.5" customHeight="1" s="38">
      <c r="A430" s="73" t="inlineStr">
        <is>
          <t>R_0427</t>
        </is>
      </c>
      <c r="B430" s="49" t="n">
        <v>3.1</v>
      </c>
      <c r="C430" s="50" t="n">
        <v>1.085</v>
      </c>
      <c r="D430" s="49" t="n">
        <v>3.4</v>
      </c>
      <c r="E430" s="50" t="n">
        <v>1.02</v>
      </c>
      <c r="F430" s="49" t="n">
        <v>3.5</v>
      </c>
      <c r="G430" s="50" t="n">
        <v>0.7</v>
      </c>
      <c r="H430" s="49" t="n">
        <v>3.9</v>
      </c>
      <c r="I430" s="50" t="n">
        <v>0.585</v>
      </c>
      <c r="J430" s="50" t="n">
        <v>3.39</v>
      </c>
      <c r="K430" s="50" t="inlineStr">
        <is>
          <t>Fail</t>
        </is>
      </c>
      <c r="L430" s="51" t="n"/>
      <c r="M430" s="51" t="n"/>
      <c r="N430" s="51" t="n"/>
    </row>
    <row r="431" ht="13.5" customHeight="1" s="38">
      <c r="A431" s="73" t="inlineStr">
        <is>
          <t>R_0428</t>
        </is>
      </c>
      <c r="B431" s="49" t="n">
        <v>3</v>
      </c>
      <c r="C431" s="50" t="n">
        <v>1.05</v>
      </c>
      <c r="D431" s="49" t="n">
        <v>3.1</v>
      </c>
      <c r="E431" s="50" t="n">
        <v>0.93</v>
      </c>
      <c r="F431" s="49" t="n">
        <v>3.3</v>
      </c>
      <c r="G431" s="50" t="n">
        <v>0.66</v>
      </c>
      <c r="H431" s="49" t="n">
        <v>2.8</v>
      </c>
      <c r="I431" s="50" t="n">
        <v>0.42</v>
      </c>
      <c r="J431" s="50" t="n">
        <v>3.06</v>
      </c>
      <c r="K431" s="50" t="inlineStr">
        <is>
          <t>Fail</t>
        </is>
      </c>
      <c r="L431" s="51" t="n"/>
      <c r="M431" s="51" t="n"/>
      <c r="N431" s="51" t="n"/>
    </row>
    <row r="432" ht="13.5" customHeight="1" s="38">
      <c r="A432" s="73" t="inlineStr">
        <is>
          <t>R_0429</t>
        </is>
      </c>
      <c r="B432" s="49" t="n">
        <v>3.5</v>
      </c>
      <c r="C432" s="50" t="n">
        <v>1.225</v>
      </c>
      <c r="D432" s="49" t="n">
        <v>3.4</v>
      </c>
      <c r="E432" s="50" t="n">
        <v>1.02</v>
      </c>
      <c r="F432" s="49" t="n">
        <v>3.6</v>
      </c>
      <c r="G432" s="50" t="n">
        <v>0.72</v>
      </c>
      <c r="H432" s="49" t="n">
        <v>2.8</v>
      </c>
      <c r="I432" s="50" t="n">
        <v>0.42</v>
      </c>
      <c r="J432" s="50" t="n">
        <v>3.38</v>
      </c>
      <c r="K432" s="50" t="inlineStr">
        <is>
          <t>Fail</t>
        </is>
      </c>
      <c r="L432" s="51" t="n"/>
      <c r="M432" s="51" t="n"/>
      <c r="N432" s="51" t="n"/>
    </row>
    <row r="433" ht="13.5" customHeight="1" s="38">
      <c r="A433" s="73" t="inlineStr">
        <is>
          <t>R_0430</t>
        </is>
      </c>
      <c r="B433" s="49" t="n">
        <v>3.4</v>
      </c>
      <c r="C433" s="50" t="n">
        <v>1.19</v>
      </c>
      <c r="D433" s="49" t="n">
        <v>3.6</v>
      </c>
      <c r="E433" s="50" t="n">
        <v>1.08</v>
      </c>
      <c r="F433" s="49" t="n">
        <v>3.8</v>
      </c>
      <c r="G433" s="50" t="n">
        <v>0.76</v>
      </c>
      <c r="H433" s="49" t="n">
        <v>4.5</v>
      </c>
      <c r="I433" s="50" t="n">
        <v>0.675</v>
      </c>
      <c r="J433" s="50" t="n">
        <v>3.71</v>
      </c>
      <c r="K433" s="50" t="inlineStr">
        <is>
          <t>Pass</t>
        </is>
      </c>
      <c r="L433" s="51" t="n"/>
      <c r="M433" s="51" t="n"/>
      <c r="N433" s="51" t="n"/>
    </row>
    <row r="434" ht="13.5" customHeight="1" s="38">
      <c r="A434" s="73" t="inlineStr">
        <is>
          <t>R_0431</t>
        </is>
      </c>
      <c r="B434" s="49" t="n">
        <v>3.6</v>
      </c>
      <c r="C434" s="50" t="n">
        <v>1.26</v>
      </c>
      <c r="D434" s="49" t="n">
        <v>4</v>
      </c>
      <c r="E434" s="50" t="n">
        <v>1.2</v>
      </c>
      <c r="F434" s="49" t="n">
        <v>3.7</v>
      </c>
      <c r="G434" s="50" t="n">
        <v>0.74</v>
      </c>
      <c r="H434" s="49" t="n">
        <v>3</v>
      </c>
      <c r="I434" s="50" t="n">
        <v>0.45</v>
      </c>
      <c r="J434" s="50" t="n">
        <v>3.65</v>
      </c>
      <c r="K434" s="50" t="inlineStr">
        <is>
          <t>Pass</t>
        </is>
      </c>
      <c r="L434" s="51" t="n"/>
      <c r="M434" s="51" t="n"/>
      <c r="N434" s="51" t="n"/>
    </row>
    <row r="435" ht="13.5" customHeight="1" s="38">
      <c r="A435" s="73" t="inlineStr">
        <is>
          <t>R_0432</t>
        </is>
      </c>
      <c r="B435" s="49" t="n">
        <v>3.4</v>
      </c>
      <c r="C435" s="50" t="n">
        <v>1.19</v>
      </c>
      <c r="D435" s="49" t="n">
        <v>2.8</v>
      </c>
      <c r="E435" s="50" t="n">
        <v>0.84</v>
      </c>
      <c r="F435" s="49" t="n">
        <v>3.6</v>
      </c>
      <c r="G435" s="50" t="n">
        <v>0.72</v>
      </c>
      <c r="H435" s="49" t="n">
        <v>3.3</v>
      </c>
      <c r="I435" s="50" t="n">
        <v>0.495</v>
      </c>
      <c r="J435" s="50" t="n">
        <v>3.25</v>
      </c>
      <c r="K435" s="50" t="inlineStr">
        <is>
          <t>Fail</t>
        </is>
      </c>
      <c r="L435" s="51" t="n"/>
      <c r="M435" s="51" t="n"/>
      <c r="N435" s="51" t="n"/>
    </row>
    <row r="436" ht="13.5" customHeight="1" s="38">
      <c r="A436" s="73" t="inlineStr">
        <is>
          <t>R_0433</t>
        </is>
      </c>
      <c r="B436" s="49" t="n">
        <v>3.3</v>
      </c>
      <c r="C436" s="50" t="n">
        <v>1.155</v>
      </c>
      <c r="D436" s="49" t="n">
        <v>3.7</v>
      </c>
      <c r="E436" s="50" t="n">
        <v>1.11</v>
      </c>
      <c r="F436" s="49" t="n">
        <v>3.8</v>
      </c>
      <c r="G436" s="50" t="n">
        <v>0.76</v>
      </c>
      <c r="H436" s="49" t="n">
        <v>4.7</v>
      </c>
      <c r="I436" s="50" t="n">
        <v>0.705</v>
      </c>
      <c r="J436" s="50" t="n">
        <v>3.73</v>
      </c>
      <c r="K436" s="50" t="inlineStr">
        <is>
          <t>Pass</t>
        </is>
      </c>
      <c r="L436" s="51" t="n"/>
      <c r="M436" s="51" t="n"/>
      <c r="N436" s="51" t="n"/>
    </row>
    <row r="437" ht="13.5" customHeight="1" s="38">
      <c r="A437" s="73" t="inlineStr">
        <is>
          <t>R_0434</t>
        </is>
      </c>
      <c r="B437" s="49" t="n">
        <v>3.4</v>
      </c>
      <c r="C437" s="50" t="n">
        <v>1.19</v>
      </c>
      <c r="D437" s="49" t="n">
        <v>3.7</v>
      </c>
      <c r="E437" s="50" t="n">
        <v>1.11</v>
      </c>
      <c r="F437" s="49" t="n">
        <v>3.7</v>
      </c>
      <c r="G437" s="50" t="n">
        <v>0.74</v>
      </c>
      <c r="H437" s="49" t="n">
        <v>3.2</v>
      </c>
      <c r="I437" s="50" t="n">
        <v>0.48</v>
      </c>
      <c r="J437" s="50" t="n">
        <v>3.52</v>
      </c>
      <c r="K437" s="50" t="inlineStr">
        <is>
          <t>Pass</t>
        </is>
      </c>
      <c r="L437" s="51" t="n"/>
      <c r="M437" s="51" t="n"/>
      <c r="N437" s="51" t="n"/>
    </row>
    <row r="438" ht="13.5" customHeight="1" s="38">
      <c r="A438" s="73" t="inlineStr">
        <is>
          <t>R_0435</t>
        </is>
      </c>
      <c r="B438" s="49" t="inlineStr">
        <is>
          <t>3.4 | 3.9</t>
        </is>
      </c>
      <c r="C438" s="50" t="inlineStr">
        <is>
          <t>1.19 | 1.365</t>
        </is>
      </c>
      <c r="D438" s="49" t="inlineStr">
        <is>
          <t>2.8 | 3.9</t>
        </is>
      </c>
      <c r="E438" s="50" t="inlineStr">
        <is>
          <t>0.84 | 1.17</t>
        </is>
      </c>
      <c r="F438" s="49" t="inlineStr">
        <is>
          <t>3.6 | 4.1</t>
        </is>
      </c>
      <c r="G438" s="50" t="inlineStr">
        <is>
          <t>0.72 | 0.82</t>
        </is>
      </c>
      <c r="H438" s="49" t="inlineStr">
        <is>
          <t>3.4 | 4.0</t>
        </is>
      </c>
      <c r="I438" s="50" t="inlineStr">
        <is>
          <t>0.51 | 0.6</t>
        </is>
      </c>
      <c r="J438" s="50" t="inlineStr">
        <is>
          <t>3.26 | 3.955</t>
        </is>
      </c>
      <c r="K438" s="50" t="inlineStr">
        <is>
          <t>Fail | Pass</t>
        </is>
      </c>
      <c r="L438" s="51" t="n"/>
      <c r="M438" s="51" t="n"/>
      <c r="N438" s="51" t="n"/>
    </row>
    <row r="439" ht="13.5" customHeight="1" s="38">
      <c r="A439" s="73" t="inlineStr">
        <is>
          <t>R_0436</t>
        </is>
      </c>
      <c r="B439" s="49" t="n">
        <v>3.7</v>
      </c>
      <c r="C439" s="50" t="n">
        <v>1.295</v>
      </c>
      <c r="D439" s="49" t="n">
        <v>3.7</v>
      </c>
      <c r="E439" s="50" t="n">
        <v>1.11</v>
      </c>
      <c r="F439" s="49" t="n">
        <v>3.1</v>
      </c>
      <c r="G439" s="50" t="n">
        <v>0.62</v>
      </c>
      <c r="H439" s="49" t="n">
        <v>3</v>
      </c>
      <c r="I439" s="50" t="n">
        <v>0.45</v>
      </c>
      <c r="J439" s="50" t="n">
        <v>3.48</v>
      </c>
      <c r="K439" s="50" t="inlineStr">
        <is>
          <t>Fail</t>
        </is>
      </c>
      <c r="L439" s="51" t="n"/>
      <c r="M439" s="51" t="n"/>
      <c r="N439" s="51" t="n"/>
    </row>
    <row r="440" ht="13.5" customHeight="1" s="38">
      <c r="A440" s="73" t="inlineStr">
        <is>
          <t>R_0437</t>
        </is>
      </c>
      <c r="B440" s="49" t="n">
        <v>3.7</v>
      </c>
      <c r="C440" s="50" t="n">
        <v>1.295</v>
      </c>
      <c r="D440" s="49" t="n">
        <v>4.1</v>
      </c>
      <c r="E440" s="50" t="n">
        <v>1.23</v>
      </c>
      <c r="F440" s="49" t="n">
        <v>3.4</v>
      </c>
      <c r="G440" s="50" t="n">
        <v>0.68</v>
      </c>
      <c r="H440" s="49" t="n">
        <v>3</v>
      </c>
      <c r="I440" s="50" t="n">
        <v>0.45</v>
      </c>
      <c r="J440" s="50" t="n">
        <v>3.66</v>
      </c>
      <c r="K440" s="50" t="inlineStr">
        <is>
          <t>Pass</t>
        </is>
      </c>
      <c r="L440" s="51" t="n"/>
      <c r="M440" s="51" t="n"/>
      <c r="N440" s="51" t="n"/>
    </row>
    <row r="441" ht="13.5" customHeight="1" s="38">
      <c r="A441" s="73" t="inlineStr">
        <is>
          <t>R_0438</t>
        </is>
      </c>
      <c r="B441" s="49" t="n">
        <v>3.5</v>
      </c>
      <c r="C441" s="50" t="n">
        <v>1.225</v>
      </c>
      <c r="D441" s="49" t="n">
        <v>3.2</v>
      </c>
      <c r="E441" s="50" t="n">
        <v>0.96</v>
      </c>
      <c r="F441" s="49" t="n">
        <v>3.6</v>
      </c>
      <c r="G441" s="50" t="n">
        <v>0.72</v>
      </c>
      <c r="H441" s="49" t="n">
        <v>3.5</v>
      </c>
      <c r="I441" s="50" t="n">
        <v>0.525</v>
      </c>
      <c r="J441" s="50" t="n">
        <v>3.43</v>
      </c>
      <c r="K441" s="50" t="inlineStr">
        <is>
          <t>Fail</t>
        </is>
      </c>
      <c r="L441" s="51" t="n"/>
      <c r="M441" s="51" t="n"/>
      <c r="N441" s="51" t="n"/>
    </row>
    <row r="442" ht="13.5" customHeight="1" s="38">
      <c r="A442" s="73" t="inlineStr">
        <is>
          <t>R_0439</t>
        </is>
      </c>
      <c r="B442" s="49" t="inlineStr">
        <is>
          <t>3.7 | 2.3</t>
        </is>
      </c>
      <c r="C442" s="50" t="inlineStr">
        <is>
          <t>1.295 | 0.805</t>
        </is>
      </c>
      <c r="D442" s="49" t="inlineStr">
        <is>
          <t>2.8 | 2.6</t>
        </is>
      </c>
      <c r="E442" s="50" t="inlineStr">
        <is>
          <t>0.84 | 0.78</t>
        </is>
      </c>
      <c r="F442" s="49" t="inlineStr">
        <is>
          <t>3.7 | 2.2</t>
        </is>
      </c>
      <c r="G442" s="50" t="inlineStr">
        <is>
          <t>0.74 | 0.44</t>
        </is>
      </c>
      <c r="H442" s="49" t="inlineStr">
        <is>
          <t>3.8 | 4.0</t>
        </is>
      </c>
      <c r="I442" s="50" t="inlineStr">
        <is>
          <t>0.57 | 0.6</t>
        </is>
      </c>
      <c r="J442" s="50" t="inlineStr">
        <is>
          <t>3.44 | 2.625</t>
        </is>
      </c>
      <c r="K442" s="50" t="inlineStr">
        <is>
          <t>Fail | Fail</t>
        </is>
      </c>
      <c r="L442" s="51" t="n"/>
      <c r="M442" s="51" t="n"/>
      <c r="N442" s="51" t="n"/>
    </row>
    <row r="443" ht="13.5" customHeight="1" s="38">
      <c r="A443" s="73" t="inlineStr">
        <is>
          <t>R_0440</t>
        </is>
      </c>
      <c r="B443" s="49" t="n">
        <v>3.3</v>
      </c>
      <c r="C443" s="50" t="n">
        <v>1.155</v>
      </c>
      <c r="D443" s="49" t="n">
        <v>3</v>
      </c>
      <c r="E443" s="50" t="n">
        <v>0.9</v>
      </c>
      <c r="F443" s="49" t="n">
        <v>3.6</v>
      </c>
      <c r="G443" s="50" t="n">
        <v>0.72</v>
      </c>
      <c r="H443" s="49" t="n">
        <v>3</v>
      </c>
      <c r="I443" s="50" t="n">
        <v>0.45</v>
      </c>
      <c r="J443" s="50" t="n">
        <v>3.23</v>
      </c>
      <c r="K443" s="50" t="inlineStr">
        <is>
          <t>Fail</t>
        </is>
      </c>
      <c r="L443" s="51" t="n"/>
      <c r="M443" s="51" t="n"/>
      <c r="N443" s="51" t="n"/>
    </row>
    <row r="444" ht="13.5" customHeight="1" s="38">
      <c r="A444" s="73" t="inlineStr">
        <is>
          <t>R_0441</t>
        </is>
      </c>
      <c r="B444" s="49" t="n">
        <v>3.6</v>
      </c>
      <c r="C444" s="50" t="n">
        <v>1.26</v>
      </c>
      <c r="D444" s="49" t="n">
        <v>3</v>
      </c>
      <c r="E444" s="50" t="n">
        <v>0.9</v>
      </c>
      <c r="F444" s="49" t="n">
        <v>3.8</v>
      </c>
      <c r="G444" s="50" t="n">
        <v>0.76</v>
      </c>
      <c r="H444" s="49" t="n">
        <v>3.6</v>
      </c>
      <c r="I444" s="50" t="n">
        <v>0.54</v>
      </c>
      <c r="J444" s="50" t="n">
        <v>3.46</v>
      </c>
      <c r="K444" s="50" t="inlineStr">
        <is>
          <t>Fail</t>
        </is>
      </c>
      <c r="L444" s="51" t="n"/>
      <c r="M444" s="51" t="n"/>
      <c r="N444" s="51" t="n"/>
    </row>
    <row r="445" ht="13.5" customHeight="1" s="38">
      <c r="A445" s="73" t="inlineStr">
        <is>
          <t>R_0442</t>
        </is>
      </c>
      <c r="B445" s="49" t="n">
        <v>3.3</v>
      </c>
      <c r="C445" s="50" t="n">
        <v>1.155</v>
      </c>
      <c r="D445" s="49" t="n">
        <v>3.8</v>
      </c>
      <c r="E445" s="50" t="n">
        <v>1.14</v>
      </c>
      <c r="F445" s="49" t="n">
        <v>3.7</v>
      </c>
      <c r="G445" s="50" t="n">
        <v>0.74</v>
      </c>
      <c r="H445" s="49" t="n">
        <v>3.2</v>
      </c>
      <c r="I445" s="50" t="n">
        <v>0.48</v>
      </c>
      <c r="J445" s="50" t="n">
        <v>3.52</v>
      </c>
      <c r="K445" s="50" t="inlineStr">
        <is>
          <t>Pass</t>
        </is>
      </c>
      <c r="L445" s="51" t="n"/>
      <c r="M445" s="51" t="n"/>
      <c r="N445" s="51" t="n"/>
    </row>
    <row r="446" ht="13.5" customHeight="1" s="38">
      <c r="A446" s="73" t="inlineStr">
        <is>
          <t>R_0443</t>
        </is>
      </c>
      <c r="B446" s="49" t="n">
        <v>3.3</v>
      </c>
      <c r="C446" s="50" t="n">
        <v>1.155</v>
      </c>
      <c r="D446" s="49" t="n">
        <v>3.3</v>
      </c>
      <c r="E446" s="50" t="n">
        <v>0.99</v>
      </c>
      <c r="F446" s="49" t="n">
        <v>3.6</v>
      </c>
      <c r="G446" s="50" t="n">
        <v>0.72</v>
      </c>
      <c r="H446" s="49" t="n">
        <v>2.8</v>
      </c>
      <c r="I446" s="50" t="n">
        <v>0.42</v>
      </c>
      <c r="J446" s="50" t="n">
        <v>3.29</v>
      </c>
      <c r="K446" s="50" t="inlineStr">
        <is>
          <t>Fail</t>
        </is>
      </c>
      <c r="L446" s="51" t="n"/>
      <c r="M446" s="51" t="n"/>
      <c r="N446" s="51" t="n"/>
    </row>
    <row r="447" ht="13.5" customHeight="1" s="38">
      <c r="A447" s="73" t="inlineStr">
        <is>
          <t>R_0444</t>
        </is>
      </c>
      <c r="B447" s="49" t="n">
        <v>2.8</v>
      </c>
      <c r="C447" s="50" t="n">
        <v>0.98</v>
      </c>
      <c r="D447" s="49" t="n">
        <v>3.4</v>
      </c>
      <c r="E447" s="50" t="n">
        <v>1.02</v>
      </c>
      <c r="F447" s="49" t="n">
        <v>3.6</v>
      </c>
      <c r="G447" s="50" t="n">
        <v>0.72</v>
      </c>
      <c r="H447" s="49" t="n">
        <v>2.8</v>
      </c>
      <c r="I447" s="50" t="n">
        <v>0.42</v>
      </c>
      <c r="J447" s="50" t="n">
        <v>3.14</v>
      </c>
      <c r="K447" s="50" t="inlineStr">
        <is>
          <t>Fail</t>
        </is>
      </c>
      <c r="L447" s="51" t="n"/>
      <c r="M447" s="51" t="n"/>
      <c r="N447" s="51" t="n"/>
    </row>
    <row r="448" ht="13.5" customHeight="1" s="38">
      <c r="A448" s="73" t="inlineStr">
        <is>
          <t>R_0445</t>
        </is>
      </c>
      <c r="B448" s="49" t="n">
        <v>3.6</v>
      </c>
      <c r="C448" s="50" t="n">
        <v>1.26</v>
      </c>
      <c r="D448" s="49" t="n">
        <v>3.6</v>
      </c>
      <c r="E448" s="50" t="n">
        <v>1.08</v>
      </c>
      <c r="F448" s="49" t="n">
        <v>3.3</v>
      </c>
      <c r="G448" s="50" t="n">
        <v>0.66</v>
      </c>
      <c r="H448" s="49" t="n">
        <v>3</v>
      </c>
      <c r="I448" s="50" t="n">
        <v>0.45</v>
      </c>
      <c r="J448" s="50" t="n">
        <v>3.45</v>
      </c>
      <c r="K448" s="50" t="inlineStr">
        <is>
          <t>Fail</t>
        </is>
      </c>
      <c r="L448" s="51" t="n"/>
      <c r="M448" s="51" t="n"/>
      <c r="N448" s="51" t="n"/>
    </row>
    <row r="449" ht="13.5" customHeight="1" s="38">
      <c r="A449" s="73" t="inlineStr">
        <is>
          <t>R_0446</t>
        </is>
      </c>
      <c r="B449" s="49" t="n">
        <v>3.6</v>
      </c>
      <c r="C449" s="50" t="n">
        <v>1.26</v>
      </c>
      <c r="D449" s="49" t="n">
        <v>3</v>
      </c>
      <c r="E449" s="50" t="n">
        <v>0.9</v>
      </c>
      <c r="F449" s="49" t="n">
        <v>3.3</v>
      </c>
      <c r="G449" s="50" t="n">
        <v>0.66</v>
      </c>
      <c r="H449" s="49" t="n">
        <v>3.4</v>
      </c>
      <c r="I449" s="50" t="n">
        <v>0.51</v>
      </c>
      <c r="J449" s="50" t="n">
        <v>3.33</v>
      </c>
      <c r="K449" s="50" t="inlineStr">
        <is>
          <t>Fail</t>
        </is>
      </c>
      <c r="L449" s="51" t="n"/>
      <c r="M449" s="51" t="n"/>
      <c r="N449" s="51" t="n"/>
    </row>
    <row r="450" ht="13.5" customHeight="1" s="38">
      <c r="A450" s="73" t="inlineStr">
        <is>
          <t>R_0447</t>
        </is>
      </c>
      <c r="B450" s="49" t="n">
        <v>2.7</v>
      </c>
      <c r="C450" s="50" t="n">
        <v>0.945</v>
      </c>
      <c r="D450" s="49" t="n">
        <v>3.4</v>
      </c>
      <c r="E450" s="50" t="n">
        <v>1.02</v>
      </c>
      <c r="F450" s="49" t="n">
        <v>3.6</v>
      </c>
      <c r="G450" s="50" t="n">
        <v>0.72</v>
      </c>
      <c r="H450" s="49" t="n">
        <v>2.8</v>
      </c>
      <c r="I450" s="50" t="n">
        <v>0.42</v>
      </c>
      <c r="J450" s="50" t="n">
        <v>3.1</v>
      </c>
      <c r="K450" s="50" t="inlineStr">
        <is>
          <t>Fail</t>
        </is>
      </c>
      <c r="L450" s="51" t="n"/>
      <c r="M450" s="51" t="n"/>
      <c r="N450" s="51" t="n"/>
    </row>
    <row r="451" ht="13.5" customHeight="1" s="38">
      <c r="A451" s="73" t="inlineStr">
        <is>
          <t>R_0448</t>
        </is>
      </c>
      <c r="B451" s="49" t="n">
        <v>3.5</v>
      </c>
      <c r="C451" s="50" t="n">
        <v>1.225</v>
      </c>
      <c r="D451" s="49" t="n">
        <v>3.8</v>
      </c>
      <c r="E451" s="50" t="n">
        <v>1.14</v>
      </c>
      <c r="F451" s="49" t="n">
        <v>3.1</v>
      </c>
      <c r="G451" s="50" t="n">
        <v>0.62</v>
      </c>
      <c r="H451" s="49" t="n">
        <v>3</v>
      </c>
      <c r="I451" s="50" t="n">
        <v>0.45</v>
      </c>
      <c r="J451" s="50" t="n">
        <v>3.44</v>
      </c>
      <c r="K451" s="50" t="inlineStr">
        <is>
          <t>Fail</t>
        </is>
      </c>
      <c r="L451" s="51" t="n"/>
      <c r="M451" s="51" t="n"/>
      <c r="N451" s="51" t="n"/>
    </row>
    <row r="452" ht="13.5" customHeight="1" s="38">
      <c r="A452" s="73" t="inlineStr">
        <is>
          <t>R_0449</t>
        </is>
      </c>
      <c r="B452" s="49" t="n">
        <v>3.5</v>
      </c>
      <c r="C452" s="50" t="n">
        <v>1.225</v>
      </c>
      <c r="D452" s="49" t="n">
        <v>3.8</v>
      </c>
      <c r="E452" s="50" t="n">
        <v>1.14</v>
      </c>
      <c r="F452" s="49" t="n">
        <v>3.7</v>
      </c>
      <c r="G452" s="50" t="n">
        <v>0.74</v>
      </c>
      <c r="H452" s="49" t="n">
        <v>3.3</v>
      </c>
      <c r="I452" s="50" t="n">
        <v>0.495</v>
      </c>
      <c r="J452" s="50" t="n">
        <v>3.6</v>
      </c>
      <c r="K452" s="50" t="inlineStr">
        <is>
          <t>Pass</t>
        </is>
      </c>
      <c r="L452" s="51" t="n"/>
      <c r="M452" s="51" t="n"/>
      <c r="N452" s="51" t="n"/>
    </row>
    <row r="453" ht="13.5" customHeight="1" s="38">
      <c r="A453" s="73" t="inlineStr">
        <is>
          <t>R_0450</t>
        </is>
      </c>
      <c r="B453" s="49" t="n">
        <v>3.4</v>
      </c>
      <c r="C453" s="50" t="n">
        <v>1.19</v>
      </c>
      <c r="D453" s="49" t="n">
        <v>2.9</v>
      </c>
      <c r="E453" s="50" t="n">
        <v>0.87</v>
      </c>
      <c r="F453" s="49" t="n">
        <v>3.6</v>
      </c>
      <c r="G453" s="50" t="n">
        <v>0.72</v>
      </c>
      <c r="H453" s="49" t="n">
        <v>3.3</v>
      </c>
      <c r="I453" s="50" t="n">
        <v>0.495</v>
      </c>
      <c r="J453" s="50" t="n">
        <v>3.28</v>
      </c>
      <c r="K453" s="50" t="inlineStr">
        <is>
          <t>Fail</t>
        </is>
      </c>
      <c r="L453" s="51" t="n"/>
      <c r="M453" s="51" t="n"/>
      <c r="N453" s="51" t="n"/>
    </row>
    <row r="454" ht="13.5" customHeight="1" s="38">
      <c r="A454" s="73" t="inlineStr">
        <is>
          <t>R_0451</t>
        </is>
      </c>
      <c r="B454" s="49" t="n">
        <v>3.5</v>
      </c>
      <c r="C454" s="50" t="n">
        <v>1.225</v>
      </c>
      <c r="D454" s="49" t="n">
        <v>3</v>
      </c>
      <c r="E454" s="50" t="n">
        <v>0.9</v>
      </c>
      <c r="F454" s="49" t="n">
        <v>3.8</v>
      </c>
      <c r="G454" s="50" t="n">
        <v>0.76</v>
      </c>
      <c r="H454" s="49" t="n">
        <v>2.6</v>
      </c>
      <c r="I454" s="50" t="n">
        <v>0.39</v>
      </c>
      <c r="J454" s="50" t="n">
        <v>3.27</v>
      </c>
      <c r="K454" s="50" t="inlineStr">
        <is>
          <t>Fail</t>
        </is>
      </c>
      <c r="L454" s="51" t="n"/>
      <c r="M454" s="51" t="n"/>
      <c r="N454" s="51" t="n"/>
    </row>
    <row r="455" ht="13.5" customHeight="1" s="38">
      <c r="A455" s="73" t="inlineStr">
        <is>
          <t>R_0452</t>
        </is>
      </c>
      <c r="B455" s="49" t="n">
        <v>2.7</v>
      </c>
      <c r="C455" s="50" t="n">
        <v>0.945</v>
      </c>
      <c r="D455" s="49" t="n">
        <v>3.3</v>
      </c>
      <c r="E455" s="50" t="n">
        <v>0.99</v>
      </c>
      <c r="F455" s="49" t="n">
        <v>3.4</v>
      </c>
      <c r="G455" s="50" t="n">
        <v>0.68</v>
      </c>
      <c r="H455" s="49" t="n">
        <v>2.8</v>
      </c>
      <c r="I455" s="50" t="n">
        <v>0.42</v>
      </c>
      <c r="J455" s="50" t="n">
        <v>3.03</v>
      </c>
      <c r="K455" s="50" t="inlineStr">
        <is>
          <t>Fail</t>
        </is>
      </c>
      <c r="L455" s="51" t="n"/>
      <c r="M455" s="51" t="n"/>
      <c r="N455" s="51" t="n"/>
    </row>
    <row r="456" ht="13.5" customHeight="1" s="38">
      <c r="A456" s="73" t="inlineStr">
        <is>
          <t>R_0453</t>
        </is>
      </c>
      <c r="B456" s="49" t="n">
        <v>3.5</v>
      </c>
      <c r="C456" s="50" t="n">
        <v>1.225</v>
      </c>
      <c r="D456" s="49" t="n">
        <v>3</v>
      </c>
      <c r="E456" s="50" t="n">
        <v>0.9</v>
      </c>
      <c r="F456" s="49" t="n">
        <v>3.5</v>
      </c>
      <c r="G456" s="50" t="n">
        <v>0.7</v>
      </c>
      <c r="H456" s="49" t="n">
        <v>3.3</v>
      </c>
      <c r="I456" s="50" t="n">
        <v>0.495</v>
      </c>
      <c r="J456" s="50" t="n">
        <v>3.32</v>
      </c>
      <c r="K456" s="50" t="inlineStr">
        <is>
          <t>Fail</t>
        </is>
      </c>
      <c r="L456" s="51" t="n"/>
      <c r="M456" s="51" t="n"/>
      <c r="N456" s="51" t="n"/>
    </row>
    <row r="457" ht="13.5" customHeight="1" s="38">
      <c r="A457" s="73" t="inlineStr">
        <is>
          <t>R_0454</t>
        </is>
      </c>
      <c r="B457" s="49" t="n">
        <v>2.9</v>
      </c>
      <c r="C457" s="50" t="n">
        <v>1.015</v>
      </c>
      <c r="D457" s="49" t="n">
        <v>3.3</v>
      </c>
      <c r="E457" s="50" t="n">
        <v>0.99</v>
      </c>
      <c r="F457" s="49" t="n">
        <v>3.6</v>
      </c>
      <c r="G457" s="50" t="n">
        <v>0.72</v>
      </c>
      <c r="H457" s="49" t="n">
        <v>3.2</v>
      </c>
      <c r="I457" s="50" t="n">
        <v>0.48</v>
      </c>
      <c r="J457" s="50" t="n">
        <v>3.21</v>
      </c>
      <c r="K457" s="50" t="inlineStr">
        <is>
          <t>Fail</t>
        </is>
      </c>
      <c r="L457" s="51" t="n"/>
      <c r="M457" s="51" t="n"/>
      <c r="N457" s="51" t="n"/>
    </row>
    <row r="458" ht="13.5" customHeight="1" s="38">
      <c r="A458" s="73" t="inlineStr">
        <is>
          <t>R_0455</t>
        </is>
      </c>
      <c r="B458" s="49" t="n">
        <v>3.9</v>
      </c>
      <c r="C458" s="50" t="n">
        <v>1.365</v>
      </c>
      <c r="D458" s="49" t="n">
        <v>3.3</v>
      </c>
      <c r="E458" s="50" t="n">
        <v>0.99</v>
      </c>
      <c r="F458" s="49" t="n">
        <v>3.4</v>
      </c>
      <c r="G458" s="50" t="n">
        <v>0.68</v>
      </c>
      <c r="H458" s="49" t="n">
        <v>3</v>
      </c>
      <c r="I458" s="50" t="n">
        <v>0.45</v>
      </c>
      <c r="J458" s="50" t="n">
        <v>3.49</v>
      </c>
      <c r="K458" s="50" t="inlineStr">
        <is>
          <t>Fail</t>
        </is>
      </c>
      <c r="L458" s="51" t="n"/>
      <c r="M458" s="51" t="n"/>
      <c r="N458" s="51" t="n"/>
    </row>
    <row r="459" ht="13.5" customHeight="1" s="38">
      <c r="A459" s="73" t="inlineStr">
        <is>
          <t>R_0456</t>
        </is>
      </c>
      <c r="B459" s="49" t="n">
        <v>3.1</v>
      </c>
      <c r="C459" s="50" t="n">
        <v>1.085</v>
      </c>
      <c r="D459" s="49" t="n">
        <v>2.7</v>
      </c>
      <c r="E459" s="50" t="n">
        <v>0.8100000000000001</v>
      </c>
      <c r="F459" s="49" t="n">
        <v>3.5</v>
      </c>
      <c r="G459" s="50" t="n">
        <v>0.7</v>
      </c>
      <c r="H459" s="49" t="n">
        <v>3</v>
      </c>
      <c r="I459" s="50" t="n">
        <v>0.45</v>
      </c>
      <c r="J459" s="50" t="n">
        <v>3.04</v>
      </c>
      <c r="K459" s="50" t="inlineStr">
        <is>
          <t>Fail</t>
        </is>
      </c>
      <c r="L459" s="51" t="n"/>
      <c r="M459" s="51" t="n"/>
      <c r="N459" s="51" t="n"/>
    </row>
    <row r="460" ht="13.5" customHeight="1" s="38">
      <c r="A460" s="73" t="inlineStr">
        <is>
          <t>R_0457</t>
        </is>
      </c>
      <c r="B460" s="49" t="n">
        <v>3.7</v>
      </c>
      <c r="C460" s="50" t="n">
        <v>1.295</v>
      </c>
      <c r="D460" s="49" t="n">
        <v>3.8</v>
      </c>
      <c r="E460" s="50" t="n">
        <v>1.14</v>
      </c>
      <c r="F460" s="49" t="n">
        <v>3.3</v>
      </c>
      <c r="G460" s="50" t="n">
        <v>0.66</v>
      </c>
      <c r="H460" s="49" t="n">
        <v>3</v>
      </c>
      <c r="I460" s="50" t="n">
        <v>0.45</v>
      </c>
      <c r="J460" s="50" t="n">
        <v>3.54</v>
      </c>
      <c r="K460" s="50" t="inlineStr">
        <is>
          <t>Pass</t>
        </is>
      </c>
      <c r="L460" s="51" t="n"/>
      <c r="M460" s="51" t="n"/>
      <c r="N460" s="51" t="n"/>
    </row>
    <row r="461" ht="13.5" customHeight="1" s="38">
      <c r="A461" s="73" t="inlineStr">
        <is>
          <t>R_0458</t>
        </is>
      </c>
      <c r="B461" s="49" t="n">
        <v>3.5</v>
      </c>
      <c r="C461" s="50" t="n">
        <v>1.225</v>
      </c>
      <c r="D461" s="49" t="n">
        <v>3.4</v>
      </c>
      <c r="E461" s="50" t="n">
        <v>1.02</v>
      </c>
      <c r="F461" s="49" t="n">
        <v>3.7</v>
      </c>
      <c r="G461" s="50" t="n">
        <v>0.74</v>
      </c>
      <c r="H461" s="49" t="n">
        <v>3.6</v>
      </c>
      <c r="I461" s="50" t="n">
        <v>0.54</v>
      </c>
      <c r="J461" s="50" t="n">
        <v>3.53</v>
      </c>
      <c r="K461" s="50" t="inlineStr">
        <is>
          <t>Pass</t>
        </is>
      </c>
      <c r="L461" s="51" t="n"/>
      <c r="M461" s="51" t="n"/>
      <c r="N461" s="51" t="n"/>
    </row>
    <row r="462" ht="13.5" customHeight="1" s="38">
      <c r="A462" s="73" t="inlineStr">
        <is>
          <t>R_0459</t>
        </is>
      </c>
      <c r="B462" s="49" t="n">
        <v>3.4</v>
      </c>
      <c r="C462" s="50" t="n">
        <v>1.19</v>
      </c>
      <c r="D462" s="49" t="n">
        <v>3.1</v>
      </c>
      <c r="E462" s="50" t="n">
        <v>0.93</v>
      </c>
      <c r="F462" s="49" t="n">
        <v>3.6</v>
      </c>
      <c r="G462" s="50" t="n">
        <v>0.72</v>
      </c>
      <c r="H462" s="49" t="n">
        <v>2.8</v>
      </c>
      <c r="I462" s="50" t="n">
        <v>0.42</v>
      </c>
      <c r="J462" s="50" t="n">
        <v>3.26</v>
      </c>
      <c r="K462" s="50" t="inlineStr">
        <is>
          <t>Fail</t>
        </is>
      </c>
      <c r="L462" s="51" t="n"/>
      <c r="M462" s="51" t="n"/>
      <c r="N462" s="51" t="n"/>
    </row>
    <row r="463" ht="13.5" customHeight="1" s="38">
      <c r="A463" s="73" t="inlineStr">
        <is>
          <t>R_0460</t>
        </is>
      </c>
      <c r="B463" s="49" t="n">
        <v>3.4</v>
      </c>
      <c r="C463" s="50" t="n">
        <v>1.19</v>
      </c>
      <c r="D463" s="49" t="n">
        <v>3.6</v>
      </c>
      <c r="E463" s="50" t="n">
        <v>1.08</v>
      </c>
      <c r="F463" s="49" t="n">
        <v>3.8</v>
      </c>
      <c r="G463" s="50" t="n">
        <v>0.76</v>
      </c>
      <c r="H463" s="49" t="n">
        <v>4.5</v>
      </c>
      <c r="I463" s="50" t="n">
        <v>0.675</v>
      </c>
      <c r="J463" s="50" t="n">
        <v>3.71</v>
      </c>
      <c r="K463" s="50" t="inlineStr">
        <is>
          <t>Pass</t>
        </is>
      </c>
      <c r="L463" s="51" t="n"/>
      <c r="M463" s="51" t="n"/>
      <c r="N463" s="51" t="n"/>
    </row>
    <row r="464" ht="13.5" customHeight="1" s="38">
      <c r="A464" s="73" t="inlineStr">
        <is>
          <t>R_0461</t>
        </is>
      </c>
      <c r="B464" s="49" t="n">
        <v>2.8</v>
      </c>
      <c r="C464" s="50" t="n">
        <v>0.98</v>
      </c>
      <c r="D464" s="49" t="n">
        <v>3.1</v>
      </c>
      <c r="E464" s="50" t="n">
        <v>0.93</v>
      </c>
      <c r="F464" s="49" t="n">
        <v>3.5</v>
      </c>
      <c r="G464" s="50" t="n">
        <v>0.7</v>
      </c>
      <c r="H464" s="49" t="n">
        <v>3.7</v>
      </c>
      <c r="I464" s="50" t="n">
        <v>0.555</v>
      </c>
      <c r="J464" s="50" t="n">
        <v>3.17</v>
      </c>
      <c r="K464" s="50" t="inlineStr">
        <is>
          <t>Fail</t>
        </is>
      </c>
      <c r="L464" s="51" t="n"/>
      <c r="M464" s="51" t="n"/>
      <c r="N464" s="51" t="n"/>
    </row>
    <row r="465" ht="13.5" customHeight="1" s="38">
      <c r="A465" s="73" t="inlineStr">
        <is>
          <t>R_0462</t>
        </is>
      </c>
      <c r="B465" s="49" t="n">
        <v>3</v>
      </c>
      <c r="C465" s="50" t="n">
        <v>1.05</v>
      </c>
      <c r="D465" s="49" t="n">
        <v>3.9</v>
      </c>
      <c r="E465" s="50" t="n">
        <v>1.17</v>
      </c>
      <c r="F465" s="49" t="n">
        <v>3.6</v>
      </c>
      <c r="G465" s="50" t="n">
        <v>0.72</v>
      </c>
      <c r="H465" s="49" t="n">
        <v>3.9</v>
      </c>
      <c r="I465" s="50" t="n">
        <v>0.585</v>
      </c>
      <c r="J465" s="50" t="n">
        <v>3.52</v>
      </c>
      <c r="K465" s="50" t="inlineStr">
        <is>
          <t>Pass</t>
        </is>
      </c>
      <c r="L465" s="51" t="n"/>
      <c r="M465" s="51" t="n"/>
      <c r="N465" s="51" t="n"/>
    </row>
    <row r="466" ht="13.5" customHeight="1" s="38">
      <c r="A466" s="73" t="inlineStr">
        <is>
          <t>R_0463</t>
        </is>
      </c>
      <c r="B466" s="49" t="n">
        <v>3.3</v>
      </c>
      <c r="C466" s="50" t="n">
        <v>1.155</v>
      </c>
      <c r="D466" s="49" t="n">
        <v>3.6</v>
      </c>
      <c r="E466" s="50" t="n">
        <v>1.08</v>
      </c>
      <c r="F466" s="49" t="n">
        <v>3.7</v>
      </c>
      <c r="G466" s="50" t="n">
        <v>0.74</v>
      </c>
      <c r="H466" s="49" t="n">
        <v>3.2</v>
      </c>
      <c r="I466" s="50" t="n">
        <v>0.48</v>
      </c>
      <c r="J466" s="50" t="n">
        <v>3.46</v>
      </c>
      <c r="K466" s="50" t="inlineStr">
        <is>
          <t>Fail</t>
        </is>
      </c>
      <c r="L466" s="51" t="n"/>
      <c r="M466" s="51" t="n"/>
      <c r="N466" s="51" t="n"/>
    </row>
    <row r="467" ht="13.5" customHeight="1" s="38">
      <c r="A467" s="73" t="inlineStr">
        <is>
          <t>R_0464</t>
        </is>
      </c>
      <c r="B467" s="49" t="n">
        <v>3.3</v>
      </c>
      <c r="C467" s="50" t="n">
        <v>1.155</v>
      </c>
      <c r="D467" s="49" t="n">
        <v>2.9</v>
      </c>
      <c r="E467" s="50" t="n">
        <v>0.87</v>
      </c>
      <c r="F467" s="49" t="n">
        <v>3.6</v>
      </c>
      <c r="G467" s="50" t="n">
        <v>0.72</v>
      </c>
      <c r="H467" s="49" t="n">
        <v>3.3</v>
      </c>
      <c r="I467" s="50" t="n">
        <v>0.495</v>
      </c>
      <c r="J467" s="50" t="n">
        <v>3.24</v>
      </c>
      <c r="K467" s="50" t="inlineStr">
        <is>
          <t>Fail</t>
        </is>
      </c>
      <c r="L467" s="51" t="n"/>
      <c r="M467" s="51" t="n"/>
      <c r="N467" s="51" t="n"/>
    </row>
    <row r="468" ht="13.5" customHeight="1" s="38">
      <c r="A468" s="73" t="inlineStr">
        <is>
          <t>R_0465</t>
        </is>
      </c>
      <c r="B468" s="49" t="n">
        <v>3.5</v>
      </c>
      <c r="C468" s="50" t="n">
        <v>1.225</v>
      </c>
      <c r="D468" s="49" t="n">
        <v>3</v>
      </c>
      <c r="E468" s="50" t="n">
        <v>0.9</v>
      </c>
      <c r="F468" s="49" t="n">
        <v>3.7</v>
      </c>
      <c r="G468" s="50" t="n">
        <v>0.74</v>
      </c>
      <c r="H468" s="49" t="n">
        <v>3.8</v>
      </c>
      <c r="I468" s="50" t="n">
        <v>0.57</v>
      </c>
      <c r="J468" s="50" t="n">
        <v>3.44</v>
      </c>
      <c r="K468" s="50" t="inlineStr">
        <is>
          <t>Fail</t>
        </is>
      </c>
      <c r="L468" s="51" t="n"/>
      <c r="M468" s="51" t="n"/>
      <c r="N468" s="51" t="n"/>
    </row>
    <row r="469" ht="13.5" customHeight="1" s="38">
      <c r="A469" s="73" t="inlineStr">
        <is>
          <t>R_0466</t>
        </is>
      </c>
      <c r="B469" s="49" t="n">
        <v>3.7</v>
      </c>
      <c r="C469" s="50" t="n">
        <v>1.295</v>
      </c>
      <c r="D469" s="49" t="n">
        <v>2.9</v>
      </c>
      <c r="E469" s="50" t="n">
        <v>0.87</v>
      </c>
      <c r="F469" s="49" t="n">
        <v>3.6</v>
      </c>
      <c r="G469" s="50" t="n">
        <v>0.72</v>
      </c>
      <c r="H469" s="49" t="n">
        <v>2.8</v>
      </c>
      <c r="I469" s="50" t="n">
        <v>0.42</v>
      </c>
      <c r="J469" s="50" t="n">
        <v>3.3</v>
      </c>
      <c r="K469" s="50" t="inlineStr">
        <is>
          <t>Fail</t>
        </is>
      </c>
      <c r="L469" s="51" t="n"/>
      <c r="M469" s="51" t="n"/>
      <c r="N469" s="51" t="n"/>
    </row>
    <row r="470" ht="13.5" customHeight="1" s="38">
      <c r="A470" s="73" t="inlineStr">
        <is>
          <t>R_0467</t>
        </is>
      </c>
      <c r="B470" s="49" t="n">
        <v>3.8</v>
      </c>
      <c r="C470" s="50" t="n">
        <v>1.33</v>
      </c>
      <c r="D470" s="49" t="n">
        <v>3.9</v>
      </c>
      <c r="E470" s="50" t="n">
        <v>1.17</v>
      </c>
      <c r="F470" s="49" t="n">
        <v>3.1</v>
      </c>
      <c r="G470" s="50" t="n">
        <v>0.62</v>
      </c>
      <c r="H470" s="49" t="n">
        <v>3</v>
      </c>
      <c r="I470" s="50" t="n">
        <v>0.45</v>
      </c>
      <c r="J470" s="50" t="n">
        <v>3.57</v>
      </c>
      <c r="K470" s="50" t="inlineStr">
        <is>
          <t>Pass</t>
        </is>
      </c>
      <c r="L470" s="51" t="n"/>
      <c r="M470" s="51" t="n"/>
      <c r="N470" s="51" t="n"/>
    </row>
    <row r="471" ht="13.5" customHeight="1" s="38">
      <c r="A471" s="73" t="inlineStr">
        <is>
          <t>R_0468</t>
        </is>
      </c>
      <c r="B471" s="49" t="n">
        <v>3.5</v>
      </c>
      <c r="C471" s="50" t="n">
        <v>1.225</v>
      </c>
      <c r="D471" s="49" t="n">
        <v>4.1</v>
      </c>
      <c r="E471" s="50" t="n">
        <v>1.23</v>
      </c>
      <c r="F471" s="49" t="n">
        <v>3.3</v>
      </c>
      <c r="G471" s="50" t="n">
        <v>0.66</v>
      </c>
      <c r="H471" s="49" t="n">
        <v>3</v>
      </c>
      <c r="I471" s="50" t="n">
        <v>0.45</v>
      </c>
      <c r="J471" s="50" t="n">
        <v>3.57</v>
      </c>
      <c r="K471" s="50" t="inlineStr">
        <is>
          <t>Pass</t>
        </is>
      </c>
      <c r="L471" s="51" t="n"/>
      <c r="M471" s="51" t="n"/>
      <c r="N471" s="51" t="n"/>
    </row>
    <row r="472" ht="13.5" customHeight="1" s="38">
      <c r="A472" s="73" t="inlineStr">
        <is>
          <t>R_0469</t>
        </is>
      </c>
      <c r="B472" s="49" t="n">
        <v>3.1</v>
      </c>
      <c r="C472" s="50" t="n">
        <v>1.085</v>
      </c>
      <c r="D472" s="49" t="n">
        <v>3.6</v>
      </c>
      <c r="E472" s="50" t="n">
        <v>1.08</v>
      </c>
      <c r="F472" s="49" t="n">
        <v>3.5</v>
      </c>
      <c r="G472" s="50" t="n">
        <v>0.7</v>
      </c>
      <c r="H472" s="49" t="n">
        <v>2.6</v>
      </c>
      <c r="I472" s="50" t="n">
        <v>0.39</v>
      </c>
      <c r="J472" s="50" t="n">
        <v>3.26</v>
      </c>
      <c r="K472" s="50" t="inlineStr">
        <is>
          <t>Fail</t>
        </is>
      </c>
      <c r="L472" s="51" t="n"/>
      <c r="M472" s="51" t="n"/>
      <c r="N472" s="51" t="n"/>
    </row>
    <row r="473" ht="13.5" customHeight="1" s="38">
      <c r="A473" s="73" t="inlineStr">
        <is>
          <t>R_0470</t>
        </is>
      </c>
      <c r="B473" s="49" t="n">
        <v>3.6</v>
      </c>
      <c r="C473" s="50" t="n">
        <v>1.26</v>
      </c>
      <c r="D473" s="49" t="n">
        <v>3.2</v>
      </c>
      <c r="E473" s="50" t="n">
        <v>0.96</v>
      </c>
      <c r="F473" s="49" t="n">
        <v>3.6</v>
      </c>
      <c r="G473" s="50" t="n">
        <v>0.72</v>
      </c>
      <c r="H473" s="49" t="n">
        <v>3.8</v>
      </c>
      <c r="I473" s="50" t="n">
        <v>0.57</v>
      </c>
      <c r="J473" s="50" t="n">
        <v>3.51</v>
      </c>
      <c r="K473" s="50" t="inlineStr">
        <is>
          <t>Pass</t>
        </is>
      </c>
      <c r="L473" s="51" t="n"/>
      <c r="M473" s="51" t="n"/>
      <c r="N473" s="51" t="n"/>
    </row>
    <row r="474" ht="13.5" customHeight="1" s="38">
      <c r="A474" s="73" t="inlineStr">
        <is>
          <t>R_0471</t>
        </is>
      </c>
      <c r="B474" s="49" t="n">
        <v>3.8</v>
      </c>
      <c r="C474" s="50" t="n">
        <v>1.33</v>
      </c>
      <c r="D474" s="49" t="n">
        <v>2.9</v>
      </c>
      <c r="E474" s="50" t="n">
        <v>0.87</v>
      </c>
      <c r="F474" s="49" t="n">
        <v>3.8</v>
      </c>
      <c r="G474" s="50" t="n">
        <v>0.76</v>
      </c>
      <c r="H474" s="49" t="n">
        <v>4</v>
      </c>
      <c r="I474" s="50" t="n">
        <v>0.6</v>
      </c>
      <c r="J474" s="50" t="n">
        <v>3.56</v>
      </c>
      <c r="K474" s="50" t="inlineStr">
        <is>
          <t>Pass</t>
        </is>
      </c>
      <c r="L474" s="51" t="n"/>
      <c r="M474" s="51" t="n"/>
      <c r="N474" s="51" t="n"/>
    </row>
    <row r="475" ht="13.5" customHeight="1" s="38">
      <c r="A475" s="73" t="inlineStr">
        <is>
          <t>R_0472</t>
        </is>
      </c>
      <c r="B475" s="49" t="inlineStr">
        <is>
          <t>3.5 | 4.0</t>
        </is>
      </c>
      <c r="C475" s="50" t="inlineStr">
        <is>
          <t>1.225 | 1.4</t>
        </is>
      </c>
      <c r="D475" s="49" t="inlineStr">
        <is>
          <t>3.0 | 3.7</t>
        </is>
      </c>
      <c r="E475" s="50" t="inlineStr">
        <is>
          <t>0.9 | 1.11</t>
        </is>
      </c>
      <c r="F475" s="49" t="inlineStr">
        <is>
          <t>3.7 | 3.8</t>
        </is>
      </c>
      <c r="G475" s="50" t="inlineStr">
        <is>
          <t>0.74 | 0.76</t>
        </is>
      </c>
      <c r="H475" s="49" t="inlineStr">
        <is>
          <t>3.6 | 4.0</t>
        </is>
      </c>
      <c r="I475" s="50" t="inlineStr">
        <is>
          <t>0.54 | 0.6</t>
        </is>
      </c>
      <c r="J475" s="50" t="inlineStr">
        <is>
          <t>3.41 | 3.87</t>
        </is>
      </c>
      <c r="K475" s="50" t="inlineStr">
        <is>
          <t>Fail | Pass</t>
        </is>
      </c>
      <c r="L475" s="51" t="n"/>
      <c r="M475" s="51" t="n"/>
      <c r="N475" s="51" t="n"/>
    </row>
    <row r="476" ht="13.5" customHeight="1" s="38">
      <c r="A476" s="73" t="inlineStr">
        <is>
          <t>R_0473</t>
        </is>
      </c>
      <c r="B476" s="49" t="inlineStr">
        <is>
          <t>3.4 | 1.9</t>
        </is>
      </c>
      <c r="C476" s="50" t="inlineStr">
        <is>
          <t>1.19 | 0.665</t>
        </is>
      </c>
      <c r="D476" s="49" t="inlineStr">
        <is>
          <t>3.1 | 2.0</t>
        </is>
      </c>
      <c r="E476" s="50" t="inlineStr">
        <is>
          <t>0.93 | 0.6</t>
        </is>
      </c>
      <c r="F476" s="49" t="inlineStr">
        <is>
          <t>3.5 | 1.8</t>
        </is>
      </c>
      <c r="G476" s="50" t="inlineStr">
        <is>
          <t>0.7 | 0.36</t>
        </is>
      </c>
      <c r="H476" s="49" t="inlineStr">
        <is>
          <t>3.0 | 2.1</t>
        </is>
      </c>
      <c r="I476" s="50" t="inlineStr">
        <is>
          <t>0.45 | 0.315</t>
        </is>
      </c>
      <c r="J476" s="50" t="inlineStr">
        <is>
          <t>3.27 | 1.94</t>
        </is>
      </c>
      <c r="K476" s="50" t="inlineStr">
        <is>
          <t>Fail | Fail</t>
        </is>
      </c>
      <c r="L476" s="51" t="n"/>
      <c r="M476" s="51" t="n"/>
      <c r="N476" s="51" t="n"/>
    </row>
    <row r="477" ht="13.5" customHeight="1" s="38">
      <c r="A477" s="73" t="inlineStr">
        <is>
          <t>R_0474</t>
        </is>
      </c>
      <c r="B477" s="49" t="inlineStr">
        <is>
          <t>4.0 | 3.7</t>
        </is>
      </c>
      <c r="C477" s="50" t="inlineStr">
        <is>
          <t>1.4 | 1.295</t>
        </is>
      </c>
      <c r="D477" s="49" t="inlineStr">
        <is>
          <t>3.5 | 3.7</t>
        </is>
      </c>
      <c r="E477" s="50" t="inlineStr">
        <is>
          <t>1.05 | 1.11</t>
        </is>
      </c>
      <c r="F477" s="49" t="inlineStr">
        <is>
          <t>3.7 | 3.9</t>
        </is>
      </c>
      <c r="G477" s="50" t="inlineStr">
        <is>
          <t>0.74 | 0.78</t>
        </is>
      </c>
      <c r="H477" s="49" t="inlineStr">
        <is>
          <t>4.0 | 3.8</t>
        </is>
      </c>
      <c r="I477" s="50" t="inlineStr">
        <is>
          <t>0.6 | 0.57</t>
        </is>
      </c>
      <c r="J477" s="50" t="inlineStr">
        <is>
          <t>3.79 | 3.755</t>
        </is>
      </c>
      <c r="K477" s="50" t="inlineStr">
        <is>
          <t>Pass | Pass</t>
        </is>
      </c>
      <c r="L477" s="51" t="n"/>
      <c r="M477" s="51" t="n"/>
      <c r="N477" s="51" t="n"/>
    </row>
    <row r="478" ht="13.5" customHeight="1" s="38">
      <c r="A478" s="73" t="inlineStr">
        <is>
          <t>R_0475</t>
        </is>
      </c>
      <c r="B478" s="49" t="n">
        <v>2.8</v>
      </c>
      <c r="C478" s="50" t="n">
        <v>0.98</v>
      </c>
      <c r="D478" s="49" t="n">
        <v>3.1</v>
      </c>
      <c r="E478" s="50" t="n">
        <v>0.93</v>
      </c>
      <c r="F478" s="49" t="n">
        <v>3.3</v>
      </c>
      <c r="G478" s="50" t="n">
        <v>0.66</v>
      </c>
      <c r="H478" s="49" t="n">
        <v>2.8</v>
      </c>
      <c r="I478" s="50" t="n">
        <v>0.42</v>
      </c>
      <c r="J478" s="50" t="n">
        <v>2.99</v>
      </c>
      <c r="K478" s="50" t="inlineStr">
        <is>
          <t>Fail</t>
        </is>
      </c>
      <c r="L478" s="51" t="n"/>
      <c r="M478" s="51" t="n"/>
      <c r="N478" s="51" t="n"/>
    </row>
    <row r="479" ht="13.5" customHeight="1" s="38">
      <c r="A479" s="73" t="inlineStr">
        <is>
          <t>R_0476</t>
        </is>
      </c>
      <c r="B479" s="49" t="inlineStr">
        <is>
          <t>3.4 | 4.1</t>
        </is>
      </c>
      <c r="C479" s="50" t="inlineStr">
        <is>
          <t>1.19 | 1.435</t>
        </is>
      </c>
      <c r="D479" s="49" t="inlineStr">
        <is>
          <t>3.0 | 3.9</t>
        </is>
      </c>
      <c r="E479" s="50" t="inlineStr">
        <is>
          <t>0.9 | 1.17</t>
        </is>
      </c>
      <c r="F479" s="49" t="inlineStr">
        <is>
          <t>3.6 | 4.0</t>
        </is>
      </c>
      <c r="G479" s="50" t="inlineStr">
        <is>
          <t>0.72 | 0.8</t>
        </is>
      </c>
      <c r="H479" s="49" t="inlineStr">
        <is>
          <t>3.3 | 4.2</t>
        </is>
      </c>
      <c r="I479" s="50" t="inlineStr">
        <is>
          <t>0.495 | 0.63</t>
        </is>
      </c>
      <c r="J479" s="50" t="inlineStr">
        <is>
          <t>3.3 | 4.035</t>
        </is>
      </c>
      <c r="K479" s="50" t="inlineStr">
        <is>
          <t>Fail | Pass</t>
        </is>
      </c>
      <c r="L479" s="51" t="n"/>
      <c r="M479" s="51" t="n"/>
      <c r="N479" s="51" t="n"/>
    </row>
    <row r="480" ht="13.5" customHeight="1" s="38">
      <c r="A480" s="73" t="inlineStr">
        <is>
          <t>R_0477</t>
        </is>
      </c>
      <c r="B480" s="49" t="n">
        <v>2.7</v>
      </c>
      <c r="C480" s="50" t="n">
        <v>0.945</v>
      </c>
      <c r="D480" s="49" t="n">
        <v>3.4</v>
      </c>
      <c r="E480" s="50" t="n">
        <v>1.02</v>
      </c>
      <c r="F480" s="49" t="n">
        <v>3.4</v>
      </c>
      <c r="G480" s="50" t="n">
        <v>0.68</v>
      </c>
      <c r="H480" s="49" t="n">
        <v>2.8</v>
      </c>
      <c r="I480" s="50" t="n">
        <v>0.42</v>
      </c>
      <c r="J480" s="50" t="n">
        <v>3.06</v>
      </c>
      <c r="K480" s="50" t="inlineStr">
        <is>
          <t>Fail</t>
        </is>
      </c>
      <c r="L480" s="51" t="n"/>
      <c r="M480" s="51" t="n"/>
      <c r="N480" s="51" t="n"/>
    </row>
    <row r="481" ht="13.5" customHeight="1" s="38">
      <c r="A481" s="73" t="inlineStr">
        <is>
          <t>R_0478</t>
        </is>
      </c>
      <c r="B481" s="49" t="n">
        <v>3.5</v>
      </c>
      <c r="C481" s="50" t="n">
        <v>1.225</v>
      </c>
      <c r="D481" s="49" t="n">
        <v>4.1</v>
      </c>
      <c r="E481" s="50" t="n">
        <v>1.23</v>
      </c>
      <c r="F481" s="49" t="n">
        <v>3.1</v>
      </c>
      <c r="G481" s="50" t="n">
        <v>0.62</v>
      </c>
      <c r="H481" s="49" t="n">
        <v>2.8</v>
      </c>
      <c r="I481" s="50" t="n">
        <v>0.42</v>
      </c>
      <c r="J481" s="50" t="n">
        <v>3.5</v>
      </c>
      <c r="K481" s="50" t="inlineStr">
        <is>
          <t>Pass</t>
        </is>
      </c>
      <c r="L481" s="51" t="n"/>
      <c r="M481" s="51" t="n"/>
      <c r="N481" s="51" t="n"/>
    </row>
    <row r="482" ht="13.5" customHeight="1" s="38">
      <c r="A482" s="73" t="inlineStr">
        <is>
          <t>R_0479</t>
        </is>
      </c>
      <c r="B482" s="49" t="n">
        <v>3.1</v>
      </c>
      <c r="C482" s="50" t="n">
        <v>1.085</v>
      </c>
      <c r="D482" s="49" t="n">
        <v>3.4</v>
      </c>
      <c r="E482" s="50" t="n">
        <v>1.02</v>
      </c>
      <c r="F482" s="49" t="n">
        <v>3.7</v>
      </c>
      <c r="G482" s="50" t="n">
        <v>0.74</v>
      </c>
      <c r="H482" s="49" t="n">
        <v>3.2</v>
      </c>
      <c r="I482" s="50" t="n">
        <v>0.48</v>
      </c>
      <c r="J482" s="50" t="n">
        <v>3.33</v>
      </c>
      <c r="K482" s="50" t="inlineStr">
        <is>
          <t>Fail</t>
        </is>
      </c>
      <c r="L482" s="51" t="n"/>
      <c r="M482" s="51" t="n"/>
      <c r="N482" s="51" t="n"/>
    </row>
    <row r="483" ht="13.5" customHeight="1" s="38">
      <c r="A483" s="73" t="inlineStr">
        <is>
          <t>R_0480</t>
        </is>
      </c>
      <c r="B483" s="49" t="n">
        <v>3.2</v>
      </c>
      <c r="C483" s="50" t="n">
        <v>1.12</v>
      </c>
      <c r="D483" s="49" t="n">
        <v>3.6</v>
      </c>
      <c r="E483" s="50" t="n">
        <v>1.08</v>
      </c>
      <c r="F483" s="49" t="n">
        <v>3.8</v>
      </c>
      <c r="G483" s="50" t="n">
        <v>0.76</v>
      </c>
      <c r="H483" s="49" t="n">
        <v>4.7</v>
      </c>
      <c r="I483" s="50" t="n">
        <v>0.705</v>
      </c>
      <c r="J483" s="50" t="n">
        <v>3.67</v>
      </c>
      <c r="K483" s="50" t="inlineStr">
        <is>
          <t>Pass</t>
        </is>
      </c>
      <c r="L483" s="51" t="n"/>
      <c r="M483" s="51" t="n"/>
      <c r="N483" s="51" t="n"/>
    </row>
    <row r="484" ht="13.5" customHeight="1" s="38">
      <c r="A484" s="73" t="inlineStr">
        <is>
          <t>R_0481</t>
        </is>
      </c>
      <c r="B484" s="49" t="n">
        <v>3.3</v>
      </c>
      <c r="C484" s="50" t="n">
        <v>1.155</v>
      </c>
      <c r="D484" s="49" t="n">
        <v>2.8</v>
      </c>
      <c r="E484" s="50" t="n">
        <v>0.84</v>
      </c>
      <c r="F484" s="49" t="n">
        <v>3.5</v>
      </c>
      <c r="G484" s="50" t="n">
        <v>0.7</v>
      </c>
      <c r="H484" s="49" t="n">
        <v>3.3</v>
      </c>
      <c r="I484" s="50" t="n">
        <v>0.495</v>
      </c>
      <c r="J484" s="50" t="n">
        <v>3.19</v>
      </c>
      <c r="K484" s="50" t="inlineStr">
        <is>
          <t>Fail</t>
        </is>
      </c>
      <c r="L484" s="51" t="n"/>
      <c r="M484" s="51" t="n"/>
      <c r="N484" s="51" t="n"/>
    </row>
    <row r="485" ht="13.5" customHeight="1" s="38">
      <c r="A485" s="73" t="inlineStr">
        <is>
          <t>R_0482</t>
        </is>
      </c>
      <c r="B485" s="49" t="n">
        <v>3.4</v>
      </c>
      <c r="C485" s="50" t="n">
        <v>1.19</v>
      </c>
      <c r="D485" s="49" t="n">
        <v>2.9</v>
      </c>
      <c r="E485" s="50" t="n">
        <v>0.87</v>
      </c>
      <c r="F485" s="49" t="n">
        <v>3.6</v>
      </c>
      <c r="G485" s="50" t="n">
        <v>0.72</v>
      </c>
      <c r="H485" s="49" t="n">
        <v>3.5</v>
      </c>
      <c r="I485" s="50" t="n">
        <v>0.525</v>
      </c>
      <c r="J485" s="50" t="n">
        <v>3.31</v>
      </c>
      <c r="K485" s="50" t="inlineStr">
        <is>
          <t>Fail</t>
        </is>
      </c>
      <c r="L485" s="51" t="n"/>
      <c r="M485" s="51" t="n"/>
      <c r="N485" s="51" t="n"/>
    </row>
    <row r="486" ht="13.5" customHeight="1" s="38">
      <c r="A486" s="73" t="inlineStr">
        <is>
          <t>R_0483</t>
        </is>
      </c>
      <c r="B486" s="49" t="n">
        <v>3.5</v>
      </c>
      <c r="C486" s="50" t="n">
        <v>1.225</v>
      </c>
      <c r="D486" s="49" t="n">
        <v>3.2</v>
      </c>
      <c r="E486" s="50" t="n">
        <v>0.96</v>
      </c>
      <c r="F486" s="49" t="n">
        <v>3.6</v>
      </c>
      <c r="G486" s="50" t="n">
        <v>0.72</v>
      </c>
      <c r="H486" s="49" t="n">
        <v>3</v>
      </c>
      <c r="I486" s="50" t="n">
        <v>0.45</v>
      </c>
      <c r="J486" s="50" t="n">
        <v>3.36</v>
      </c>
      <c r="K486" s="50" t="inlineStr">
        <is>
          <t>Fail</t>
        </is>
      </c>
      <c r="L486" s="51" t="n"/>
      <c r="M486" s="51" t="n"/>
      <c r="N486" s="51" t="n"/>
    </row>
    <row r="487" ht="13.5" customHeight="1" s="38">
      <c r="A487" s="73" t="inlineStr">
        <is>
          <t>R_0484</t>
        </is>
      </c>
      <c r="B487" s="49" t="n">
        <v>3.5</v>
      </c>
      <c r="C487" s="50" t="n">
        <v>1.225</v>
      </c>
      <c r="D487" s="49" t="n">
        <v>3.5</v>
      </c>
      <c r="E487" s="50" t="n">
        <v>1.05</v>
      </c>
      <c r="F487" s="49" t="n">
        <v>3.6</v>
      </c>
      <c r="G487" s="50" t="n">
        <v>0.72</v>
      </c>
      <c r="H487" s="49" t="n">
        <v>3</v>
      </c>
      <c r="I487" s="50" t="n">
        <v>0.45</v>
      </c>
      <c r="J487" s="50" t="n">
        <v>3.45</v>
      </c>
      <c r="K487" s="50" t="inlineStr">
        <is>
          <t>Fail</t>
        </is>
      </c>
      <c r="L487" s="51" t="n"/>
      <c r="M487" s="51" t="n"/>
      <c r="N487" s="51" t="n"/>
    </row>
    <row r="488" ht="13.5" customHeight="1" s="38">
      <c r="A488" s="73" t="inlineStr">
        <is>
          <t>R_0485</t>
        </is>
      </c>
      <c r="B488" s="49" t="n">
        <v>3.3</v>
      </c>
      <c r="C488" s="50" t="n">
        <v>1.155</v>
      </c>
      <c r="D488" s="49" t="n">
        <v>3.8</v>
      </c>
      <c r="E488" s="50" t="n">
        <v>1.14</v>
      </c>
      <c r="F488" s="49" t="n">
        <v>3.7</v>
      </c>
      <c r="G488" s="50" t="n">
        <v>0.74</v>
      </c>
      <c r="H488" s="49" t="n">
        <v>3.2</v>
      </c>
      <c r="I488" s="50" t="n">
        <v>0.48</v>
      </c>
      <c r="J488" s="50" t="n">
        <v>3.52</v>
      </c>
      <c r="K488" s="50" t="inlineStr">
        <is>
          <t>Pass</t>
        </is>
      </c>
      <c r="L488" s="51" t="n"/>
      <c r="M488" s="51" t="n"/>
      <c r="N488" s="51" t="n"/>
    </row>
    <row r="489" ht="13.5" customHeight="1" s="38">
      <c r="A489" s="73" t="inlineStr">
        <is>
          <t>R_0486</t>
        </is>
      </c>
      <c r="B489" s="49" t="inlineStr">
        <is>
          <t>3.5 | 2.7</t>
        </is>
      </c>
      <c r="C489" s="50" t="inlineStr">
        <is>
          <t>1.225 | 0.945</t>
        </is>
      </c>
      <c r="D489" s="49" t="inlineStr">
        <is>
          <t>3.0 | 2.6</t>
        </is>
      </c>
      <c r="E489" s="50" t="inlineStr">
        <is>
          <t>0.9 | 0.78</t>
        </is>
      </c>
      <c r="F489" s="49" t="inlineStr">
        <is>
          <t>3.7 | 3.1</t>
        </is>
      </c>
      <c r="G489" s="50" t="inlineStr">
        <is>
          <t>0.74 | 0.62</t>
        </is>
      </c>
      <c r="H489" s="49" t="inlineStr">
        <is>
          <t>3.4 | 3.9</t>
        </is>
      </c>
      <c r="I489" s="50" t="inlineStr">
        <is>
          <t>0.51 | 0.585</t>
        </is>
      </c>
      <c r="J489" s="50" t="inlineStr">
        <is>
          <t>3.38 | 2.93</t>
        </is>
      </c>
      <c r="K489" s="50" t="inlineStr">
        <is>
          <t>Fail | Fail</t>
        </is>
      </c>
      <c r="L489" s="51" t="n"/>
      <c r="M489" s="51" t="n"/>
      <c r="N489" s="51" t="n"/>
    </row>
    <row r="490" ht="13.5" customHeight="1" s="38">
      <c r="A490" s="73" t="inlineStr">
        <is>
          <t>R_0487</t>
        </is>
      </c>
      <c r="B490" s="49" t="n">
        <v>3.3</v>
      </c>
      <c r="C490" s="50" t="n">
        <v>1.155</v>
      </c>
      <c r="D490" s="49" t="n">
        <v>3.7</v>
      </c>
      <c r="E490" s="50" t="n">
        <v>1.11</v>
      </c>
      <c r="F490" s="49" t="n">
        <v>3.7</v>
      </c>
      <c r="G490" s="50" t="n">
        <v>0.74</v>
      </c>
      <c r="H490" s="49" t="n">
        <v>3.2</v>
      </c>
      <c r="I490" s="50" t="n">
        <v>0.48</v>
      </c>
      <c r="J490" s="50" t="n">
        <v>3.48</v>
      </c>
      <c r="K490" s="50" t="inlineStr">
        <is>
          <t>Fail</t>
        </is>
      </c>
      <c r="L490" s="51" t="n"/>
      <c r="M490" s="51" t="n"/>
      <c r="N490" s="51" t="n"/>
    </row>
    <row r="491" ht="13.5" customHeight="1" s="38">
      <c r="A491" s="73" t="inlineStr">
        <is>
          <t>R_0488</t>
        </is>
      </c>
      <c r="B491" s="49" t="n">
        <v>3.6</v>
      </c>
      <c r="C491" s="50" t="n">
        <v>1.26</v>
      </c>
      <c r="D491" s="49" t="n">
        <v>3.1</v>
      </c>
      <c r="E491" s="50" t="n">
        <v>0.93</v>
      </c>
      <c r="F491" s="49" t="n">
        <v>3.6</v>
      </c>
      <c r="G491" s="50" t="n">
        <v>0.72</v>
      </c>
      <c r="H491" s="49" t="n">
        <v>3.8</v>
      </c>
      <c r="I491" s="50" t="n">
        <v>0.57</v>
      </c>
      <c r="J491" s="50" t="n">
        <v>3.48</v>
      </c>
      <c r="K491" s="50" t="inlineStr">
        <is>
          <t>Fail</t>
        </is>
      </c>
      <c r="L491" s="51" t="n"/>
      <c r="M491" s="51" t="n"/>
      <c r="N491" s="51" t="n"/>
    </row>
    <row r="492" ht="13.5" customHeight="1" s="38">
      <c r="A492" s="73" t="inlineStr">
        <is>
          <t>R_0489</t>
        </is>
      </c>
      <c r="B492" s="49" t="n">
        <v>3.2</v>
      </c>
      <c r="C492" s="50" t="n">
        <v>1.12</v>
      </c>
      <c r="D492" s="49" t="n">
        <v>3.8</v>
      </c>
      <c r="E492" s="50" t="n">
        <v>1.14</v>
      </c>
      <c r="F492" s="49" t="n">
        <v>3.8</v>
      </c>
      <c r="G492" s="50" t="n">
        <v>0.76</v>
      </c>
      <c r="H492" s="49" t="n">
        <v>3.3</v>
      </c>
      <c r="I492" s="50" t="n">
        <v>0.495</v>
      </c>
      <c r="J492" s="50" t="n">
        <v>3.51</v>
      </c>
      <c r="K492" s="50" t="inlineStr">
        <is>
          <t>Pass</t>
        </is>
      </c>
      <c r="L492" s="51" t="n"/>
      <c r="M492" s="51" t="n"/>
      <c r="N492" s="51" t="n"/>
    </row>
    <row r="493" ht="13.5" customHeight="1" s="38">
      <c r="A493" s="73" t="inlineStr">
        <is>
          <t>R_0490</t>
        </is>
      </c>
      <c r="B493" s="49" t="n">
        <v>3.3</v>
      </c>
      <c r="C493" s="50" t="n">
        <v>1.155</v>
      </c>
      <c r="D493" s="49" t="n">
        <v>2.9</v>
      </c>
      <c r="E493" s="50" t="n">
        <v>0.87</v>
      </c>
      <c r="F493" s="49" t="n">
        <v>3.5</v>
      </c>
      <c r="G493" s="50" t="n">
        <v>0.7</v>
      </c>
      <c r="H493" s="49" t="n">
        <v>3.3</v>
      </c>
      <c r="I493" s="50" t="n">
        <v>0.495</v>
      </c>
      <c r="J493" s="50" t="n">
        <v>3.22</v>
      </c>
      <c r="K493" s="50" t="inlineStr">
        <is>
          <t>Fail</t>
        </is>
      </c>
      <c r="L493" s="51" t="n"/>
      <c r="M493" s="51" t="n"/>
      <c r="N493" s="51" t="n"/>
    </row>
    <row r="494" ht="13.5" customHeight="1" s="38">
      <c r="A494" s="73" t="inlineStr">
        <is>
          <t>R_0491</t>
        </is>
      </c>
      <c r="B494" s="49" t="n">
        <v>3.5</v>
      </c>
      <c r="C494" s="50" t="n">
        <v>1.225</v>
      </c>
      <c r="D494" s="49" t="n">
        <v>3.2</v>
      </c>
      <c r="E494" s="50" t="n">
        <v>0.96</v>
      </c>
      <c r="F494" s="49" t="n">
        <v>3.5</v>
      </c>
      <c r="G494" s="50" t="n">
        <v>0.7</v>
      </c>
      <c r="H494" s="49" t="n">
        <v>3</v>
      </c>
      <c r="I494" s="50" t="n">
        <v>0.45</v>
      </c>
      <c r="J494" s="50" t="n">
        <v>3.33</v>
      </c>
      <c r="K494" s="50" t="inlineStr">
        <is>
          <t>Fail</t>
        </is>
      </c>
      <c r="L494" s="51" t="n"/>
      <c r="M494" s="51" t="n"/>
      <c r="N494" s="51" t="n"/>
    </row>
    <row r="495" ht="13.5" customHeight="1" s="38">
      <c r="A495" s="73" t="inlineStr">
        <is>
          <t>R_0492</t>
        </is>
      </c>
      <c r="B495" s="49" t="n">
        <v>3.3</v>
      </c>
      <c r="C495" s="50" t="n">
        <v>1.155</v>
      </c>
      <c r="D495" s="49" t="n">
        <v>2.8</v>
      </c>
      <c r="E495" s="50" t="n">
        <v>0.84</v>
      </c>
      <c r="F495" s="49" t="n">
        <v>3.6</v>
      </c>
      <c r="G495" s="50" t="n">
        <v>0.72</v>
      </c>
      <c r="H495" s="49" t="n">
        <v>2.8</v>
      </c>
      <c r="I495" s="50" t="n">
        <v>0.42</v>
      </c>
      <c r="J495" s="50" t="n">
        <v>3.13</v>
      </c>
      <c r="K495" s="50" t="inlineStr">
        <is>
          <t>Fail</t>
        </is>
      </c>
      <c r="L495" s="51" t="n"/>
      <c r="M495" s="51" t="n"/>
      <c r="N495" s="51" t="n"/>
    </row>
    <row r="496" ht="13.5" customHeight="1" s="38">
      <c r="A496" s="73" t="inlineStr">
        <is>
          <t>R_0493</t>
        </is>
      </c>
      <c r="B496" s="49" t="n">
        <v>3.7</v>
      </c>
      <c r="C496" s="50" t="n">
        <v>1.295</v>
      </c>
      <c r="D496" s="49" t="n">
        <v>3.2</v>
      </c>
      <c r="E496" s="50" t="n">
        <v>0.96</v>
      </c>
      <c r="F496" s="49" t="n">
        <v>3.4</v>
      </c>
      <c r="G496" s="50" t="n">
        <v>0.68</v>
      </c>
      <c r="H496" s="49" t="n">
        <v>3</v>
      </c>
      <c r="I496" s="50" t="n">
        <v>0.45</v>
      </c>
      <c r="J496" s="50" t="n">
        <v>3.39</v>
      </c>
      <c r="K496" s="50" t="inlineStr">
        <is>
          <t>Fail</t>
        </is>
      </c>
      <c r="L496" s="51" t="n"/>
      <c r="M496" s="51" t="n"/>
      <c r="N496" s="51" t="n"/>
    </row>
    <row r="497" ht="13.5" customHeight="1" s="38">
      <c r="A497" s="73" t="inlineStr">
        <is>
          <t>R_0494</t>
        </is>
      </c>
      <c r="B497" s="49" t="n">
        <v>3.3</v>
      </c>
      <c r="C497" s="50" t="n">
        <v>1.155</v>
      </c>
      <c r="D497" s="49" t="n">
        <v>2.8</v>
      </c>
      <c r="E497" s="50" t="n">
        <v>0.84</v>
      </c>
      <c r="F497" s="49" t="n">
        <v>3.5</v>
      </c>
      <c r="G497" s="50" t="n">
        <v>0.7</v>
      </c>
      <c r="H497" s="49" t="n">
        <v>3</v>
      </c>
      <c r="I497" s="50" t="n">
        <v>0.45</v>
      </c>
      <c r="J497" s="50" t="n">
        <v>3.15</v>
      </c>
      <c r="K497" s="50" t="inlineStr">
        <is>
          <t>Fail</t>
        </is>
      </c>
      <c r="L497" s="51" t="n"/>
      <c r="M497" s="51" t="n"/>
      <c r="N497" s="51" t="n"/>
    </row>
    <row r="498" ht="13.5" customHeight="1" s="38">
      <c r="A498" s="73" t="inlineStr">
        <is>
          <t>R_0495</t>
        </is>
      </c>
      <c r="B498" s="49" t="inlineStr">
        <is>
          <t>3.5 | 3.9</t>
        </is>
      </c>
      <c r="C498" s="50" t="inlineStr">
        <is>
          <t>1.225 | 1.365</t>
        </is>
      </c>
      <c r="D498" s="49" t="inlineStr">
        <is>
          <t>3.4 | 3.7</t>
        </is>
      </c>
      <c r="E498" s="50" t="inlineStr">
        <is>
          <t>1.02 | 1.11</t>
        </is>
      </c>
      <c r="F498" s="49" t="inlineStr">
        <is>
          <t>3.7 | 3.7</t>
        </is>
      </c>
      <c r="G498" s="50" t="inlineStr">
        <is>
          <t>0.74 | 0.74</t>
        </is>
      </c>
      <c r="H498" s="49" t="inlineStr">
        <is>
          <t>2.8 | 3.4</t>
        </is>
      </c>
      <c r="I498" s="50" t="inlineStr">
        <is>
          <t>0.42 | 0.51</t>
        </is>
      </c>
      <c r="J498" s="50" t="inlineStr">
        <is>
          <t>3.41 | 3.725</t>
        </is>
      </c>
      <c r="K498" s="50" t="inlineStr">
        <is>
          <t>Fail | Pass</t>
        </is>
      </c>
      <c r="L498" s="51" t="n"/>
      <c r="M498" s="51" t="n"/>
      <c r="N498" s="51" t="n"/>
    </row>
    <row r="499" ht="13.5" customHeight="1" s="38">
      <c r="A499" s="73" t="inlineStr">
        <is>
          <t>R_0496</t>
        </is>
      </c>
      <c r="B499" s="49" t="n">
        <v>3.2</v>
      </c>
      <c r="C499" s="50" t="n">
        <v>1.12</v>
      </c>
      <c r="D499" s="49" t="n">
        <v>3.2</v>
      </c>
      <c r="E499" s="50" t="n">
        <v>0.96</v>
      </c>
      <c r="F499" s="49" t="n">
        <v>3.5</v>
      </c>
      <c r="G499" s="50" t="n">
        <v>0.7</v>
      </c>
      <c r="H499" s="49" t="n">
        <v>2.8</v>
      </c>
      <c r="I499" s="50" t="n">
        <v>0.42</v>
      </c>
      <c r="J499" s="50" t="n">
        <v>3.2</v>
      </c>
      <c r="K499" s="50" t="inlineStr">
        <is>
          <t>Fail</t>
        </is>
      </c>
      <c r="L499" s="51" t="n"/>
      <c r="M499" s="51" t="n"/>
      <c r="N499" s="51" t="n"/>
    </row>
    <row r="500" ht="13.5" customHeight="1" s="38">
      <c r="A500" s="73" t="inlineStr">
        <is>
          <t>R_0497</t>
        </is>
      </c>
      <c r="B500" s="49" t="n">
        <v>3.3</v>
      </c>
      <c r="C500" s="50" t="n">
        <v>1.155</v>
      </c>
      <c r="D500" s="49" t="n">
        <v>2.9</v>
      </c>
      <c r="E500" s="50" t="n">
        <v>0.87</v>
      </c>
      <c r="F500" s="49" t="n">
        <v>3.5</v>
      </c>
      <c r="G500" s="50" t="n">
        <v>0.7</v>
      </c>
      <c r="H500" s="49" t="n">
        <v>3.3</v>
      </c>
      <c r="I500" s="50" t="n">
        <v>0.495</v>
      </c>
      <c r="J500" s="50" t="n">
        <v>3.22</v>
      </c>
      <c r="K500" s="50" t="inlineStr">
        <is>
          <t>Fail</t>
        </is>
      </c>
      <c r="L500" s="51" t="n"/>
      <c r="M500" s="51" t="n"/>
      <c r="N500" s="51" t="n"/>
    </row>
    <row r="501" ht="13.5" customHeight="1" s="38">
      <c r="A501" s="73" t="inlineStr">
        <is>
          <t>R_0498</t>
        </is>
      </c>
      <c r="B501" s="49" t="n">
        <v>3.2</v>
      </c>
      <c r="C501" s="50" t="n">
        <v>1.12</v>
      </c>
      <c r="D501" s="49" t="n">
        <v>3.8</v>
      </c>
      <c r="E501" s="50" t="n">
        <v>1.14</v>
      </c>
      <c r="F501" s="49" t="n">
        <v>3.7</v>
      </c>
      <c r="G501" s="50" t="n">
        <v>0.74</v>
      </c>
      <c r="H501" s="49" t="n">
        <v>3.3</v>
      </c>
      <c r="I501" s="50" t="n">
        <v>0.495</v>
      </c>
      <c r="J501" s="50" t="n">
        <v>3.5</v>
      </c>
      <c r="K501" s="50" t="inlineStr">
        <is>
          <t>Pass</t>
        </is>
      </c>
      <c r="L501" s="51" t="n"/>
      <c r="M501" s="51" t="n"/>
      <c r="N501" s="51" t="n"/>
    </row>
    <row r="502" ht="13.5" customHeight="1" s="38">
      <c r="A502" s="73" t="inlineStr">
        <is>
          <t>R_0499</t>
        </is>
      </c>
      <c r="B502" s="49" t="n">
        <v>3.4</v>
      </c>
      <c r="C502" s="50" t="n">
        <v>1.19</v>
      </c>
      <c r="D502" s="49" t="n">
        <v>2.9</v>
      </c>
      <c r="E502" s="50" t="n">
        <v>0.87</v>
      </c>
      <c r="F502" s="49" t="n">
        <v>3.5</v>
      </c>
      <c r="G502" s="50" t="n">
        <v>0.7</v>
      </c>
      <c r="H502" s="49" t="n">
        <v>2.8</v>
      </c>
      <c r="I502" s="50" t="n">
        <v>0.42</v>
      </c>
      <c r="J502" s="50" t="n">
        <v>3.18</v>
      </c>
      <c r="K502" s="50" t="inlineStr">
        <is>
          <t>Fail</t>
        </is>
      </c>
      <c r="L502" s="51" t="n"/>
      <c r="M502" s="51" t="n"/>
      <c r="N502" s="51" t="n"/>
    </row>
    <row r="503" ht="13.5" customHeight="1" s="38">
      <c r="A503" s="73" t="inlineStr">
        <is>
          <t>R_0500</t>
        </is>
      </c>
      <c r="B503" s="49" t="n">
        <v>3.7</v>
      </c>
      <c r="C503" s="50" t="n">
        <v>1.295</v>
      </c>
      <c r="D503" s="49" t="n">
        <v>3.5</v>
      </c>
      <c r="E503" s="50" t="n">
        <v>1.05</v>
      </c>
      <c r="F503" s="49" t="n">
        <v>3.3</v>
      </c>
      <c r="G503" s="50" t="n">
        <v>0.66</v>
      </c>
      <c r="H503" s="49" t="n">
        <v>3</v>
      </c>
      <c r="I503" s="50" t="n">
        <v>0.45</v>
      </c>
      <c r="J503" s="50" t="n">
        <v>3.46</v>
      </c>
      <c r="K503" s="50" t="inlineStr">
        <is>
          <t>Fail</t>
        </is>
      </c>
      <c r="L503" s="51" t="n"/>
      <c r="M503" s="51" t="n"/>
      <c r="N503" s="51" t="n"/>
    </row>
    <row r="504" ht="13.5" customHeight="1" s="38">
      <c r="A504" s="73" t="inlineStr">
        <is>
          <t>R_0501</t>
        </is>
      </c>
      <c r="B504" s="49" t="n">
        <v>3.2</v>
      </c>
      <c r="C504" s="50" t="n">
        <v>1.12</v>
      </c>
      <c r="D504" s="49" t="n">
        <v>3.7</v>
      </c>
      <c r="E504" s="50" t="n">
        <v>1.11</v>
      </c>
      <c r="F504" s="49" t="n">
        <v>3.8</v>
      </c>
      <c r="G504" s="50" t="n">
        <v>0.76</v>
      </c>
      <c r="H504" s="49" t="n">
        <v>3.3</v>
      </c>
      <c r="I504" s="50" t="n">
        <v>0.495</v>
      </c>
      <c r="J504" s="50" t="n">
        <v>3.49</v>
      </c>
      <c r="K504" s="50" t="inlineStr">
        <is>
          <t>Fail</t>
        </is>
      </c>
      <c r="L504" s="51" t="n"/>
      <c r="M504" s="51" t="n"/>
      <c r="N504" s="51" t="n"/>
    </row>
    <row r="505" ht="13.5" customHeight="1" s="38">
      <c r="A505" s="73" t="inlineStr">
        <is>
          <t>R_0502</t>
        </is>
      </c>
      <c r="B505" s="49" t="n">
        <v>3.8</v>
      </c>
      <c r="C505" s="50" t="n">
        <v>1.33</v>
      </c>
      <c r="D505" s="49" t="n">
        <v>3.9</v>
      </c>
      <c r="E505" s="50" t="n">
        <v>1.17</v>
      </c>
      <c r="F505" s="49" t="n">
        <v>3.3</v>
      </c>
      <c r="G505" s="50" t="n">
        <v>0.66</v>
      </c>
      <c r="H505" s="49" t="n">
        <v>3</v>
      </c>
      <c r="I505" s="50" t="n">
        <v>0.45</v>
      </c>
      <c r="J505" s="50" t="n">
        <v>3.61</v>
      </c>
      <c r="K505" s="50" t="inlineStr">
        <is>
          <t>Pass</t>
        </is>
      </c>
      <c r="L505" s="51" t="n"/>
      <c r="M505" s="51" t="n"/>
      <c r="N505" s="51" t="n"/>
    </row>
    <row r="506" ht="13.5" customHeight="1" s="38">
      <c r="A506" s="73" t="inlineStr">
        <is>
          <t>R_0503</t>
        </is>
      </c>
      <c r="B506" s="49" t="n">
        <v>3.4</v>
      </c>
      <c r="C506" s="50" t="n">
        <v>1.19</v>
      </c>
      <c r="D506" s="49" t="n">
        <v>3.1</v>
      </c>
      <c r="E506" s="50" t="n">
        <v>0.93</v>
      </c>
      <c r="F506" s="49" t="n">
        <v>3.6</v>
      </c>
      <c r="G506" s="50" t="n">
        <v>0.72</v>
      </c>
      <c r="H506" s="49" t="n">
        <v>3.3</v>
      </c>
      <c r="I506" s="50" t="n">
        <v>0.495</v>
      </c>
      <c r="J506" s="50" t="n">
        <v>3.33</v>
      </c>
      <c r="K506" s="50" t="inlineStr">
        <is>
          <t>Fail</t>
        </is>
      </c>
      <c r="L506" s="51" t="n"/>
      <c r="M506" s="51" t="n"/>
      <c r="N506" s="51" t="n"/>
    </row>
    <row r="507" ht="13.5" customHeight="1" s="38">
      <c r="A507" s="73" t="inlineStr">
        <is>
          <t>R_0504</t>
        </is>
      </c>
      <c r="B507" s="49" t="n">
        <v>2.9</v>
      </c>
      <c r="C507" s="50" t="n">
        <v>1.015</v>
      </c>
      <c r="D507" s="49" t="n">
        <v>3.1</v>
      </c>
      <c r="E507" s="50" t="n">
        <v>0.93</v>
      </c>
      <c r="F507" s="49" t="n">
        <v>3.5</v>
      </c>
      <c r="G507" s="50" t="n">
        <v>0.7</v>
      </c>
      <c r="H507" s="49" t="n">
        <v>3.7</v>
      </c>
      <c r="I507" s="50" t="n">
        <v>0.555</v>
      </c>
      <c r="J507" s="50" t="n">
        <v>3.2</v>
      </c>
      <c r="K507" s="50" t="inlineStr">
        <is>
          <t>Fail</t>
        </is>
      </c>
      <c r="L507" s="51" t="n"/>
      <c r="M507" s="51" t="n"/>
      <c r="N507" s="51" t="n"/>
    </row>
    <row r="508" ht="13.5" customHeight="1" s="38">
      <c r="A508" s="73" t="inlineStr">
        <is>
          <t>R_0505</t>
        </is>
      </c>
      <c r="B508" s="49" t="n">
        <v>2.7</v>
      </c>
      <c r="C508" s="50" t="n">
        <v>0.945</v>
      </c>
      <c r="D508" s="49" t="n">
        <v>3.4</v>
      </c>
      <c r="E508" s="50" t="n">
        <v>1.02</v>
      </c>
      <c r="F508" s="49" t="n">
        <v>3.4</v>
      </c>
      <c r="G508" s="50" t="n">
        <v>0.68</v>
      </c>
      <c r="H508" s="49" t="n">
        <v>2.8</v>
      </c>
      <c r="I508" s="50" t="n">
        <v>0.42</v>
      </c>
      <c r="J508" s="50" t="n">
        <v>3.06</v>
      </c>
      <c r="K508" s="50" t="inlineStr">
        <is>
          <t>Fail</t>
        </is>
      </c>
      <c r="L508" s="51" t="n"/>
      <c r="M508" s="51" t="n"/>
      <c r="N508" s="51" t="n"/>
    </row>
    <row r="509" ht="13.5" customHeight="1" s="38">
      <c r="A509" s="73" t="inlineStr">
        <is>
          <t>R_0506</t>
        </is>
      </c>
      <c r="B509" s="49" t="inlineStr">
        <is>
          <t>3.8 | 4.1</t>
        </is>
      </c>
      <c r="C509" s="50" t="inlineStr">
        <is>
          <t>1.33 | 1.435</t>
        </is>
      </c>
      <c r="D509" s="49" t="inlineStr">
        <is>
          <t>3.0 | 4.0</t>
        </is>
      </c>
      <c r="E509" s="50" t="inlineStr">
        <is>
          <t>0.9 | 1.2</t>
        </is>
      </c>
      <c r="F509" s="49" t="inlineStr">
        <is>
          <t>3.8 | 4.1</t>
        </is>
      </c>
      <c r="G509" s="50" t="inlineStr">
        <is>
          <t>0.76 | 0.82</t>
        </is>
      </c>
      <c r="H509" s="49" t="inlineStr">
        <is>
          <t>4.0 | 4.2</t>
        </is>
      </c>
      <c r="I509" s="50" t="inlineStr">
        <is>
          <t>0.6 | 0.63</t>
        </is>
      </c>
      <c r="J509" s="50" t="inlineStr">
        <is>
          <t>3.59 | 4.085</t>
        </is>
      </c>
      <c r="K509" s="50" t="inlineStr">
        <is>
          <t>Pass | Pass</t>
        </is>
      </c>
      <c r="L509" s="51" t="n"/>
      <c r="M509" s="51" t="n"/>
      <c r="N509" s="51" t="n"/>
    </row>
    <row r="510" ht="13.5" customHeight="1" s="38">
      <c r="A510" s="73" t="inlineStr">
        <is>
          <t>R_0507</t>
        </is>
      </c>
      <c r="B510" s="49" t="n">
        <v>3.3</v>
      </c>
      <c r="C510" s="50" t="n">
        <v>1.155</v>
      </c>
      <c r="D510" s="49" t="n">
        <v>2.8</v>
      </c>
      <c r="E510" s="50" t="n">
        <v>0.84</v>
      </c>
      <c r="F510" s="49" t="n">
        <v>3.6</v>
      </c>
      <c r="G510" s="50" t="n">
        <v>0.72</v>
      </c>
      <c r="H510" s="49" t="n">
        <v>3.3</v>
      </c>
      <c r="I510" s="50" t="n">
        <v>0.495</v>
      </c>
      <c r="J510" s="50" t="n">
        <v>3.21</v>
      </c>
      <c r="K510" s="50" t="inlineStr">
        <is>
          <t>Fail</t>
        </is>
      </c>
      <c r="L510" s="51" t="n"/>
      <c r="M510" s="51" t="n"/>
      <c r="N510" s="51" t="n"/>
    </row>
    <row r="511" ht="13.5" customHeight="1" s="38">
      <c r="A511" s="73" t="inlineStr">
        <is>
          <t>R_0508</t>
        </is>
      </c>
      <c r="B511" s="49" t="n">
        <v>3.5</v>
      </c>
      <c r="C511" s="50" t="n">
        <v>1.225</v>
      </c>
      <c r="D511" s="49" t="n">
        <v>4.1</v>
      </c>
      <c r="E511" s="50" t="n">
        <v>1.23</v>
      </c>
      <c r="F511" s="49" t="n">
        <v>3.3</v>
      </c>
      <c r="G511" s="50" t="n">
        <v>0.66</v>
      </c>
      <c r="H511" s="49" t="n">
        <v>3</v>
      </c>
      <c r="I511" s="50" t="n">
        <v>0.45</v>
      </c>
      <c r="J511" s="50" t="n">
        <v>3.57</v>
      </c>
      <c r="K511" s="50" t="inlineStr">
        <is>
          <t>Pass</t>
        </is>
      </c>
      <c r="L511" s="51" t="n"/>
      <c r="M511" s="51" t="n"/>
      <c r="N511" s="51" t="n"/>
    </row>
    <row r="512" ht="13.5" customHeight="1" s="38">
      <c r="A512" s="73" t="inlineStr">
        <is>
          <t>R_0509</t>
        </is>
      </c>
      <c r="B512" s="49" t="n">
        <v>3.2</v>
      </c>
      <c r="C512" s="50" t="n">
        <v>1.12</v>
      </c>
      <c r="D512" s="49" t="n">
        <v>3.9</v>
      </c>
      <c r="E512" s="50" t="n">
        <v>1.17</v>
      </c>
      <c r="F512" s="49" t="n">
        <v>3.2</v>
      </c>
      <c r="G512" s="50" t="n">
        <v>0.64</v>
      </c>
      <c r="H512" s="49" t="n">
        <v>2.8</v>
      </c>
      <c r="I512" s="50" t="n">
        <v>0.42</v>
      </c>
      <c r="J512" s="50" t="n">
        <v>3.35</v>
      </c>
      <c r="K512" s="50" t="inlineStr">
        <is>
          <t>Fail</t>
        </is>
      </c>
      <c r="L512" s="51" t="n"/>
      <c r="M512" s="51" t="n"/>
      <c r="N512" s="51" t="n"/>
    </row>
    <row r="513" ht="13.5" customHeight="1" s="38">
      <c r="A513" s="73" t="inlineStr">
        <is>
          <t>R_0510</t>
        </is>
      </c>
      <c r="B513" s="49" t="n">
        <v>3.3</v>
      </c>
      <c r="C513" s="50" t="n">
        <v>1.155</v>
      </c>
      <c r="D513" s="49" t="n">
        <v>3</v>
      </c>
      <c r="E513" s="50" t="n">
        <v>0.9</v>
      </c>
      <c r="F513" s="49" t="n">
        <v>3.5</v>
      </c>
      <c r="G513" s="50" t="n">
        <v>0.7</v>
      </c>
      <c r="H513" s="49" t="n">
        <v>2.8</v>
      </c>
      <c r="I513" s="50" t="n">
        <v>0.42</v>
      </c>
      <c r="J513" s="50" t="n">
        <v>3.17</v>
      </c>
      <c r="K513" s="50" t="inlineStr">
        <is>
          <t>Fail</t>
        </is>
      </c>
      <c r="L513" s="51" t="n"/>
      <c r="M513" s="51" t="n"/>
      <c r="N513" s="51" t="n"/>
    </row>
    <row r="514" ht="13.5" customHeight="1" s="38">
      <c r="A514" s="73" t="inlineStr">
        <is>
          <t>R_0511</t>
        </is>
      </c>
      <c r="B514" s="49" t="n">
        <v>3.7</v>
      </c>
      <c r="C514" s="50" t="n">
        <v>1.295</v>
      </c>
      <c r="D514" s="49" t="n">
        <v>4.2</v>
      </c>
      <c r="E514" s="50" t="n">
        <v>1.26</v>
      </c>
      <c r="F514" s="49" t="n">
        <v>3.2</v>
      </c>
      <c r="G514" s="50" t="n">
        <v>0.64</v>
      </c>
      <c r="H514" s="49" t="n">
        <v>3</v>
      </c>
      <c r="I514" s="50" t="n">
        <v>0.45</v>
      </c>
      <c r="J514" s="50" t="n">
        <v>3.65</v>
      </c>
      <c r="K514" s="50" t="inlineStr">
        <is>
          <t>Pass</t>
        </is>
      </c>
      <c r="L514" s="51" t="n"/>
      <c r="M514" s="51" t="n"/>
      <c r="N514" s="51" t="n"/>
    </row>
    <row r="515" ht="13.5" customHeight="1" s="38">
      <c r="A515" s="73" t="inlineStr">
        <is>
          <t>R_0512</t>
        </is>
      </c>
      <c r="B515" s="49" t="n">
        <v>3.7</v>
      </c>
      <c r="C515" s="50" t="n">
        <v>1.295</v>
      </c>
      <c r="D515" s="49" t="n">
        <v>3.5</v>
      </c>
      <c r="E515" s="50" t="n">
        <v>1.05</v>
      </c>
      <c r="F515" s="49" t="n">
        <v>3.6</v>
      </c>
      <c r="G515" s="50" t="n">
        <v>0.72</v>
      </c>
      <c r="H515" s="49" t="n">
        <v>3.8</v>
      </c>
      <c r="I515" s="50" t="n">
        <v>0.57</v>
      </c>
      <c r="J515" s="50" t="n">
        <v>3.63</v>
      </c>
      <c r="K515" s="50" t="inlineStr">
        <is>
          <t>Pass</t>
        </is>
      </c>
      <c r="L515" s="51" t="n"/>
      <c r="M515" s="51" t="n"/>
      <c r="N515" s="51" t="n"/>
    </row>
    <row r="516" ht="13.5" customHeight="1" s="38">
      <c r="A516" s="73" t="inlineStr">
        <is>
          <t>R_0513</t>
        </is>
      </c>
      <c r="B516" s="49" t="n">
        <v>3.8</v>
      </c>
      <c r="C516" s="50" t="n">
        <v>1.33</v>
      </c>
      <c r="D516" s="49" t="n">
        <v>3.3</v>
      </c>
      <c r="E516" s="50" t="n">
        <v>0.99</v>
      </c>
      <c r="F516" s="49" t="n">
        <v>3.7</v>
      </c>
      <c r="G516" s="50" t="n">
        <v>0.74</v>
      </c>
      <c r="H516" s="49" t="n">
        <v>3.8</v>
      </c>
      <c r="I516" s="50" t="n">
        <v>0.57</v>
      </c>
      <c r="J516" s="50" t="n">
        <v>3.63</v>
      </c>
      <c r="K516" s="50" t="inlineStr">
        <is>
          <t>Pass</t>
        </is>
      </c>
      <c r="L516" s="51" t="n"/>
      <c r="M516" s="51" t="n"/>
      <c r="N516" s="51" t="n"/>
    </row>
    <row r="517" ht="13.5" customHeight="1" s="38">
      <c r="A517" s="73" t="inlineStr">
        <is>
          <t>R_0514</t>
        </is>
      </c>
      <c r="B517" s="49" t="n">
        <v>3.4</v>
      </c>
      <c r="C517" s="50" t="n">
        <v>1.19</v>
      </c>
      <c r="D517" s="49" t="n">
        <v>3</v>
      </c>
      <c r="E517" s="50" t="n">
        <v>0.9</v>
      </c>
      <c r="F517" s="49" t="n">
        <v>3.5</v>
      </c>
      <c r="G517" s="50" t="n">
        <v>0.7</v>
      </c>
      <c r="H517" s="49" t="n">
        <v>2.8</v>
      </c>
      <c r="I517" s="50" t="n">
        <v>0.42</v>
      </c>
      <c r="J517" s="50" t="n">
        <v>3.21</v>
      </c>
      <c r="K517" s="50" t="inlineStr">
        <is>
          <t>Fail</t>
        </is>
      </c>
      <c r="L517" s="51" t="n"/>
      <c r="M517" s="51" t="n"/>
      <c r="N517" s="51" t="n"/>
    </row>
    <row r="518" ht="13.5" customHeight="1" s="38">
      <c r="A518" s="73" t="inlineStr">
        <is>
          <t>R_0515</t>
        </is>
      </c>
      <c r="B518" s="49" t="n">
        <v>3.2</v>
      </c>
      <c r="C518" s="50" t="n">
        <v>1.12</v>
      </c>
      <c r="D518" s="49" t="n">
        <v>3.9</v>
      </c>
      <c r="E518" s="50" t="n">
        <v>1.17</v>
      </c>
      <c r="F518" s="49" t="n">
        <v>3.8</v>
      </c>
      <c r="G518" s="50" t="n">
        <v>0.76</v>
      </c>
      <c r="H518" s="49" t="n">
        <v>3.3</v>
      </c>
      <c r="I518" s="50" t="n">
        <v>0.495</v>
      </c>
      <c r="J518" s="50" t="n">
        <v>3.54</v>
      </c>
      <c r="K518" s="50" t="inlineStr">
        <is>
          <t>Pass</t>
        </is>
      </c>
      <c r="L518" s="51" t="n"/>
      <c r="M518" s="51" t="n"/>
      <c r="N518" s="51" t="n"/>
    </row>
    <row r="519" ht="13.5" customHeight="1" s="38">
      <c r="A519" s="73" t="inlineStr">
        <is>
          <t>R_0516</t>
        </is>
      </c>
      <c r="B519" s="49" t="n">
        <v>3.4</v>
      </c>
      <c r="C519" s="50" t="n">
        <v>1.19</v>
      </c>
      <c r="D519" s="49" t="n">
        <v>2.9</v>
      </c>
      <c r="E519" s="50" t="n">
        <v>0.87</v>
      </c>
      <c r="F519" s="49" t="n">
        <v>3.6</v>
      </c>
      <c r="G519" s="50" t="n">
        <v>0.72</v>
      </c>
      <c r="H519" s="49" t="n">
        <v>3.5</v>
      </c>
      <c r="I519" s="50" t="n">
        <v>0.525</v>
      </c>
      <c r="J519" s="50" t="n">
        <v>3.31</v>
      </c>
      <c r="K519" s="50" t="inlineStr">
        <is>
          <t>Fail</t>
        </is>
      </c>
      <c r="L519" s="51" t="n"/>
      <c r="M519" s="51" t="n"/>
      <c r="N519" s="51" t="n"/>
    </row>
    <row r="520" ht="13.5" customHeight="1" s="38">
      <c r="A520" s="73" t="inlineStr">
        <is>
          <t>R_0517</t>
        </is>
      </c>
      <c r="B520" s="49" t="n">
        <v>3.6</v>
      </c>
      <c r="C520" s="50" t="n">
        <v>1.26</v>
      </c>
      <c r="D520" s="49" t="n">
        <v>3.8</v>
      </c>
      <c r="E520" s="50" t="n">
        <v>1.14</v>
      </c>
      <c r="F520" s="49" t="n">
        <v>3.4</v>
      </c>
      <c r="G520" s="50" t="n">
        <v>0.68</v>
      </c>
      <c r="H520" s="49" t="n">
        <v>3</v>
      </c>
      <c r="I520" s="50" t="n">
        <v>0.45</v>
      </c>
      <c r="J520" s="50" t="n">
        <v>3.53</v>
      </c>
      <c r="K520" s="50" t="inlineStr">
        <is>
          <t>Pass</t>
        </is>
      </c>
      <c r="L520" s="51" t="n"/>
      <c r="M520" s="51" t="n"/>
      <c r="N520" s="51" t="n"/>
    </row>
    <row r="521" ht="13.5" customHeight="1" s="38">
      <c r="A521" s="73" t="inlineStr">
        <is>
          <t>R_0518</t>
        </is>
      </c>
      <c r="B521" s="49" t="n">
        <v>3.2</v>
      </c>
      <c r="C521" s="50" t="n">
        <v>1.12</v>
      </c>
      <c r="D521" s="49" t="n">
        <v>3.4</v>
      </c>
      <c r="E521" s="50" t="n">
        <v>1.02</v>
      </c>
      <c r="F521" s="49" t="n">
        <v>3.7</v>
      </c>
      <c r="G521" s="50" t="n">
        <v>0.74</v>
      </c>
      <c r="H521" s="49" t="n">
        <v>4.7</v>
      </c>
      <c r="I521" s="50" t="n">
        <v>0.705</v>
      </c>
      <c r="J521" s="50" t="n">
        <v>3.58</v>
      </c>
      <c r="K521" s="50" t="inlineStr">
        <is>
          <t>Pass</t>
        </is>
      </c>
      <c r="L521" s="51" t="n"/>
      <c r="M521" s="51" t="n"/>
      <c r="N521" s="51" t="n"/>
    </row>
    <row r="522" ht="13.5" customHeight="1" s="38">
      <c r="A522" s="73" t="inlineStr">
        <is>
          <t>R_0519</t>
        </is>
      </c>
      <c r="B522" s="49" t="n">
        <v>3.6</v>
      </c>
      <c r="C522" s="50" t="n">
        <v>1.26</v>
      </c>
      <c r="D522" s="49" t="n">
        <v>3.4</v>
      </c>
      <c r="E522" s="50" t="n">
        <v>1.02</v>
      </c>
      <c r="F522" s="49" t="n">
        <v>3.5</v>
      </c>
      <c r="G522" s="50" t="n">
        <v>0.7</v>
      </c>
      <c r="H522" s="49" t="n">
        <v>3</v>
      </c>
      <c r="I522" s="50" t="n">
        <v>0.45</v>
      </c>
      <c r="J522" s="50" t="n">
        <v>3.43</v>
      </c>
      <c r="K522" s="50" t="inlineStr">
        <is>
          <t>Fail</t>
        </is>
      </c>
      <c r="L522" s="51" t="n"/>
      <c r="M522" s="51" t="n"/>
      <c r="N522" s="51" t="n"/>
    </row>
    <row r="523" ht="13.5" customHeight="1" s="38">
      <c r="A523" s="73" t="inlineStr">
        <is>
          <t>R_0520</t>
        </is>
      </c>
      <c r="B523" s="49" t="n">
        <v>3.5</v>
      </c>
      <c r="C523" s="50" t="n">
        <v>1.225</v>
      </c>
      <c r="D523" s="49" t="n">
        <v>3</v>
      </c>
      <c r="E523" s="50" t="n">
        <v>0.9</v>
      </c>
      <c r="F523" s="49" t="n">
        <v>3.6</v>
      </c>
      <c r="G523" s="50" t="n">
        <v>0.72</v>
      </c>
      <c r="H523" s="49" t="n">
        <v>3.6</v>
      </c>
      <c r="I523" s="50" t="n">
        <v>0.54</v>
      </c>
      <c r="J523" s="50" t="n">
        <v>3.38</v>
      </c>
      <c r="K523" s="50" t="inlineStr">
        <is>
          <t>Fail</t>
        </is>
      </c>
      <c r="L523" s="51" t="n"/>
      <c r="M523" s="51" t="n"/>
      <c r="N523" s="51" t="n"/>
    </row>
    <row r="524" ht="13.5" customHeight="1" s="38">
      <c r="A524" s="73" t="inlineStr">
        <is>
          <t>R_0521</t>
        </is>
      </c>
      <c r="B524" s="49" t="n">
        <v>3.2</v>
      </c>
      <c r="C524" s="50" t="n">
        <v>1.12</v>
      </c>
      <c r="D524" s="49" t="n">
        <v>3.7</v>
      </c>
      <c r="E524" s="50" t="n">
        <v>1.11</v>
      </c>
      <c r="F524" s="49" t="n">
        <v>3.6</v>
      </c>
      <c r="G524" s="50" t="n">
        <v>0.72</v>
      </c>
      <c r="H524" s="49" t="n">
        <v>3.3</v>
      </c>
      <c r="I524" s="50" t="n">
        <v>0.495</v>
      </c>
      <c r="J524" s="50" t="n">
        <v>3.45</v>
      </c>
      <c r="K524" s="50" t="inlineStr">
        <is>
          <t>Fail</t>
        </is>
      </c>
      <c r="L524" s="51" t="n"/>
      <c r="M524" s="51" t="n"/>
      <c r="N524" s="51" t="n"/>
    </row>
    <row r="525" ht="13.5" customHeight="1" s="38">
      <c r="A525" s="73" t="inlineStr">
        <is>
          <t>R_0522</t>
        </is>
      </c>
      <c r="B525" s="49" t="n">
        <v>3.5</v>
      </c>
      <c r="C525" s="50" t="n">
        <v>1.225</v>
      </c>
      <c r="D525" s="49" t="n">
        <v>2.9</v>
      </c>
      <c r="E525" s="50" t="n">
        <v>0.87</v>
      </c>
      <c r="F525" s="49" t="n">
        <v>3.7</v>
      </c>
      <c r="G525" s="50" t="n">
        <v>0.74</v>
      </c>
      <c r="H525" s="49" t="n">
        <v>3.8</v>
      </c>
      <c r="I525" s="50" t="n">
        <v>0.57</v>
      </c>
      <c r="J525" s="50" t="n">
        <v>3.4</v>
      </c>
      <c r="K525" s="50" t="inlineStr">
        <is>
          <t>Fail</t>
        </is>
      </c>
      <c r="L525" s="51" t="n"/>
      <c r="M525" s="51" t="n"/>
      <c r="N525" s="51" t="n"/>
    </row>
    <row r="526" ht="13.5" customHeight="1" s="38">
      <c r="A526" s="73" t="inlineStr">
        <is>
          <t>R_0523</t>
        </is>
      </c>
      <c r="B526" s="49" t="n">
        <v>2.9</v>
      </c>
      <c r="C526" s="50" t="n">
        <v>1.015</v>
      </c>
      <c r="D526" s="49" t="n">
        <v>4</v>
      </c>
      <c r="E526" s="50" t="n">
        <v>1.2</v>
      </c>
      <c r="F526" s="49" t="n">
        <v>3.7</v>
      </c>
      <c r="G526" s="50" t="n">
        <v>0.74</v>
      </c>
      <c r="H526" s="49" t="n">
        <v>2.8</v>
      </c>
      <c r="I526" s="50" t="n">
        <v>0.42</v>
      </c>
      <c r="J526" s="50" t="n">
        <v>3.38</v>
      </c>
      <c r="K526" s="50" t="inlineStr">
        <is>
          <t>Fail</t>
        </is>
      </c>
      <c r="L526" s="51" t="n"/>
      <c r="M526" s="51" t="n"/>
      <c r="N526" s="51" t="n"/>
    </row>
    <row r="527" ht="13.5" customHeight="1" s="38">
      <c r="A527" s="73" t="inlineStr">
        <is>
          <t>R_0524</t>
        </is>
      </c>
      <c r="B527" s="49" t="n">
        <v>3.7</v>
      </c>
      <c r="C527" s="50" t="n">
        <v>1.295</v>
      </c>
      <c r="D527" s="49" t="n">
        <v>3.7</v>
      </c>
      <c r="E527" s="50" t="n">
        <v>1.11</v>
      </c>
      <c r="F527" s="49" t="n">
        <v>3.1</v>
      </c>
      <c r="G527" s="50" t="n">
        <v>0.62</v>
      </c>
      <c r="H527" s="49" t="n">
        <v>3</v>
      </c>
      <c r="I527" s="50" t="n">
        <v>0.45</v>
      </c>
      <c r="J527" s="50" t="n">
        <v>3.48</v>
      </c>
      <c r="K527" s="50" t="inlineStr">
        <is>
          <t>Fail</t>
        </is>
      </c>
      <c r="L527" s="51" t="n"/>
      <c r="M527" s="51" t="n"/>
      <c r="N527" s="51" t="n"/>
    </row>
    <row r="528" ht="13.5" customHeight="1" s="38">
      <c r="A528" s="73" t="inlineStr">
        <is>
          <t>R_0525</t>
        </is>
      </c>
      <c r="B528" s="49" t="n">
        <v>2.7</v>
      </c>
      <c r="C528" s="50" t="n">
        <v>0.945</v>
      </c>
      <c r="D528" s="49" t="n">
        <v>3.7</v>
      </c>
      <c r="E528" s="50" t="n">
        <v>1.11</v>
      </c>
      <c r="F528" s="49" t="n">
        <v>3.4</v>
      </c>
      <c r="G528" s="50" t="n">
        <v>0.68</v>
      </c>
      <c r="H528" s="49" t="n">
        <v>2.8</v>
      </c>
      <c r="I528" s="50" t="n">
        <v>0.42</v>
      </c>
      <c r="J528" s="50" t="n">
        <v>3.16</v>
      </c>
      <c r="K528" s="50" t="inlineStr">
        <is>
          <t>Fail</t>
        </is>
      </c>
      <c r="L528" s="51" t="n"/>
      <c r="M528" s="51" t="n"/>
      <c r="N528" s="51" t="n"/>
    </row>
    <row r="529" ht="13.5" customHeight="1" s="38">
      <c r="A529" s="73" t="inlineStr">
        <is>
          <t>R_0526</t>
        </is>
      </c>
      <c r="B529" s="49" t="n">
        <v>3.5</v>
      </c>
      <c r="C529" s="50" t="n">
        <v>1.225</v>
      </c>
      <c r="D529" s="49" t="n">
        <v>3.5</v>
      </c>
      <c r="E529" s="50" t="n">
        <v>1.05</v>
      </c>
      <c r="F529" s="49" t="n">
        <v>3.6</v>
      </c>
      <c r="G529" s="50" t="n">
        <v>0.72</v>
      </c>
      <c r="H529" s="49" t="n">
        <v>3</v>
      </c>
      <c r="I529" s="50" t="n">
        <v>0.45</v>
      </c>
      <c r="J529" s="50" t="n">
        <v>3.45</v>
      </c>
      <c r="K529" s="50" t="inlineStr">
        <is>
          <t>Fail</t>
        </is>
      </c>
      <c r="L529" s="51" t="n"/>
      <c r="M529" s="51" t="n"/>
      <c r="N529" s="51" t="n"/>
    </row>
    <row r="530" ht="13.5" customHeight="1" s="38">
      <c r="A530" s="73" t="inlineStr">
        <is>
          <t>R_0527</t>
        </is>
      </c>
      <c r="B530" s="49" t="n">
        <v>3.6</v>
      </c>
      <c r="C530" s="50" t="n">
        <v>1.26</v>
      </c>
      <c r="D530" s="49" t="n">
        <v>3.9</v>
      </c>
      <c r="E530" s="50" t="n">
        <v>1.17</v>
      </c>
      <c r="F530" s="49" t="n">
        <v>3.7</v>
      </c>
      <c r="G530" s="50" t="n">
        <v>0.74</v>
      </c>
      <c r="H530" s="49" t="n">
        <v>3.3</v>
      </c>
      <c r="I530" s="50" t="n">
        <v>0.495</v>
      </c>
      <c r="J530" s="50" t="n">
        <v>3.67</v>
      </c>
      <c r="K530" s="50" t="inlineStr">
        <is>
          <t>Pass</t>
        </is>
      </c>
      <c r="L530" s="51" t="n"/>
      <c r="M530" s="51" t="n"/>
      <c r="N530" s="51" t="n"/>
    </row>
    <row r="531" ht="13.5" customHeight="1" s="38">
      <c r="A531" s="73" t="inlineStr">
        <is>
          <t>R_0528</t>
        </is>
      </c>
      <c r="B531" s="49" t="n">
        <v>3.5</v>
      </c>
      <c r="C531" s="50" t="n">
        <v>1.225</v>
      </c>
      <c r="D531" s="49" t="n">
        <v>4</v>
      </c>
      <c r="E531" s="50" t="n">
        <v>1.2</v>
      </c>
      <c r="F531" s="49" t="n">
        <v>3.5</v>
      </c>
      <c r="G531" s="50" t="n">
        <v>0.7</v>
      </c>
      <c r="H531" s="49" t="n">
        <v>3</v>
      </c>
      <c r="I531" s="50" t="n">
        <v>0.45</v>
      </c>
      <c r="J531" s="50" t="n">
        <v>3.58</v>
      </c>
      <c r="K531" s="50" t="inlineStr">
        <is>
          <t>Pass</t>
        </is>
      </c>
      <c r="L531" s="51" t="n"/>
      <c r="M531" s="51" t="n"/>
      <c r="N531" s="51" t="n"/>
    </row>
    <row r="532" ht="13.5" customHeight="1" s="38">
      <c r="A532" s="73" t="inlineStr">
        <is>
          <t>R_0529</t>
        </is>
      </c>
      <c r="B532" s="49" t="n">
        <v>2.8</v>
      </c>
      <c r="C532" s="50" t="n">
        <v>0.98</v>
      </c>
      <c r="D532" s="49" t="n">
        <v>3.1</v>
      </c>
      <c r="E532" s="50" t="n">
        <v>0.93</v>
      </c>
      <c r="F532" s="49" t="n">
        <v>3.1</v>
      </c>
      <c r="G532" s="50" t="n">
        <v>0.62</v>
      </c>
      <c r="H532" s="49" t="n">
        <v>2.8</v>
      </c>
      <c r="I532" s="50" t="n">
        <v>0.42</v>
      </c>
      <c r="J532" s="50" t="n">
        <v>2.95</v>
      </c>
      <c r="K532" s="50" t="inlineStr">
        <is>
          <t>Fail</t>
        </is>
      </c>
      <c r="L532" s="51" t="n"/>
      <c r="M532" s="51" t="n"/>
      <c r="N532" s="51" t="n"/>
    </row>
    <row r="533" ht="13.5" customHeight="1" s="38">
      <c r="A533" s="73" t="inlineStr">
        <is>
          <t>R_0530</t>
        </is>
      </c>
      <c r="B533" s="49" t="n">
        <v>3</v>
      </c>
      <c r="C533" s="50" t="n">
        <v>1.05</v>
      </c>
      <c r="D533" s="49" t="n">
        <v>3.5</v>
      </c>
      <c r="E533" s="50" t="n">
        <v>1.05</v>
      </c>
      <c r="F533" s="49" t="n">
        <v>3.4</v>
      </c>
      <c r="G533" s="50" t="n">
        <v>0.68</v>
      </c>
      <c r="H533" s="49" t="n">
        <v>3.2</v>
      </c>
      <c r="I533" s="50" t="n">
        <v>0.48</v>
      </c>
      <c r="J533" s="50" t="n">
        <v>3.26</v>
      </c>
      <c r="K533" s="50" t="inlineStr">
        <is>
          <t>Fail</t>
        </is>
      </c>
      <c r="L533" s="51" t="n"/>
      <c r="M533" s="51" t="n"/>
      <c r="N533" s="51" t="n"/>
    </row>
    <row r="534" ht="13.5" customHeight="1" s="38">
      <c r="A534" s="73" t="inlineStr">
        <is>
          <t>R_0531</t>
        </is>
      </c>
      <c r="B534" s="49" t="n">
        <v>3.6</v>
      </c>
      <c r="C534" s="50" t="n">
        <v>1.26</v>
      </c>
      <c r="D534" s="49" t="n">
        <v>4</v>
      </c>
      <c r="E534" s="50" t="n">
        <v>1.2</v>
      </c>
      <c r="F534" s="49" t="n">
        <v>3.7</v>
      </c>
      <c r="G534" s="50" t="n">
        <v>0.74</v>
      </c>
      <c r="H534" s="49" t="n">
        <v>3</v>
      </c>
      <c r="I534" s="50" t="n">
        <v>0.45</v>
      </c>
      <c r="J534" s="50" t="n">
        <v>3.65</v>
      </c>
      <c r="K534" s="50" t="inlineStr">
        <is>
          <t>Pass</t>
        </is>
      </c>
      <c r="L534" s="51" t="n"/>
      <c r="M534" s="51" t="n"/>
      <c r="N534" s="51" t="n"/>
    </row>
    <row r="535" ht="13.5" customHeight="1" s="38">
      <c r="A535" s="73" t="inlineStr">
        <is>
          <t>R_0532</t>
        </is>
      </c>
      <c r="B535" s="49" t="n">
        <v>3.4</v>
      </c>
      <c r="C535" s="50" t="n">
        <v>1.19</v>
      </c>
      <c r="D535" s="49" t="n">
        <v>3</v>
      </c>
      <c r="E535" s="50" t="n">
        <v>0.9</v>
      </c>
      <c r="F535" s="49" t="n">
        <v>3.6</v>
      </c>
      <c r="G535" s="50" t="n">
        <v>0.72</v>
      </c>
      <c r="H535" s="49" t="n">
        <v>3</v>
      </c>
      <c r="I535" s="50" t="n">
        <v>0.45</v>
      </c>
      <c r="J535" s="50" t="n">
        <v>3.26</v>
      </c>
      <c r="K535" s="50" t="inlineStr">
        <is>
          <t>Fail</t>
        </is>
      </c>
      <c r="L535" s="51" t="n"/>
      <c r="M535" s="51" t="n"/>
      <c r="N535" s="51" t="n"/>
    </row>
    <row r="536" ht="13.5" customHeight="1" s="38">
      <c r="A536" s="73" t="inlineStr">
        <is>
          <t>R_0533</t>
        </is>
      </c>
      <c r="B536" s="49" t="n">
        <v>2.7</v>
      </c>
      <c r="C536" s="50" t="n">
        <v>0.945</v>
      </c>
      <c r="D536" s="49" t="n">
        <v>3.6</v>
      </c>
      <c r="E536" s="50" t="n">
        <v>1.08</v>
      </c>
      <c r="F536" s="49" t="n">
        <v>3.3</v>
      </c>
      <c r="G536" s="50" t="n">
        <v>0.66</v>
      </c>
      <c r="H536" s="49" t="n">
        <v>2.8</v>
      </c>
      <c r="I536" s="50" t="n">
        <v>0.42</v>
      </c>
      <c r="J536" s="50" t="n">
        <v>3.1</v>
      </c>
      <c r="K536" s="50" t="inlineStr">
        <is>
          <t>Fail</t>
        </is>
      </c>
      <c r="L536" s="51" t="n"/>
      <c r="M536" s="51" t="n"/>
      <c r="N536" s="51" t="n"/>
    </row>
    <row r="537" ht="13.5" customHeight="1" s="38">
      <c r="A537" s="73" t="inlineStr">
        <is>
          <t>R_0534</t>
        </is>
      </c>
      <c r="B537" s="49" t="inlineStr">
        <is>
          <t>3.1 | 3.5</t>
        </is>
      </c>
      <c r="C537" s="50" t="inlineStr">
        <is>
          <t>1.085 | 1.225</t>
        </is>
      </c>
      <c r="D537" s="49" t="inlineStr">
        <is>
          <t>3.8 | 3.5</t>
        </is>
      </c>
      <c r="E537" s="50" t="inlineStr">
        <is>
          <t>1.14 | 1.05</t>
        </is>
      </c>
      <c r="F537" s="49" t="inlineStr">
        <is>
          <t>3.5 | 2.8</t>
        </is>
      </c>
      <c r="G537" s="50" t="inlineStr">
        <is>
          <t>0.7 | 0.56</t>
        </is>
      </c>
      <c r="H537" s="49" t="inlineStr">
        <is>
          <t>2.8 | 2.6</t>
        </is>
      </c>
      <c r="I537" s="50" t="inlineStr">
        <is>
          <t>0.42 | 0.39</t>
        </is>
      </c>
      <c r="J537" s="50" t="inlineStr">
        <is>
          <t>3.34 | 3.225</t>
        </is>
      </c>
      <c r="K537" s="50" t="inlineStr">
        <is>
          <t>Fail | Fail</t>
        </is>
      </c>
      <c r="L537" s="51" t="n"/>
      <c r="M537" s="51" t="n"/>
      <c r="N537" s="51" t="n"/>
    </row>
    <row r="538" ht="13.5" customHeight="1" s="38">
      <c r="A538" s="73" t="inlineStr">
        <is>
          <t>R_0535</t>
        </is>
      </c>
      <c r="B538" s="49" t="n">
        <v>3.3</v>
      </c>
      <c r="C538" s="50" t="n">
        <v>1.155</v>
      </c>
      <c r="D538" s="49" t="n">
        <v>3.1</v>
      </c>
      <c r="E538" s="50" t="n">
        <v>0.93</v>
      </c>
      <c r="F538" s="49" t="n">
        <v>3.6</v>
      </c>
      <c r="G538" s="50" t="n">
        <v>0.72</v>
      </c>
      <c r="H538" s="49" t="n">
        <v>2.8</v>
      </c>
      <c r="I538" s="50" t="n">
        <v>0.42</v>
      </c>
      <c r="J538" s="50" t="n">
        <v>3.22</v>
      </c>
      <c r="K538" s="50" t="inlineStr">
        <is>
          <t>Fail</t>
        </is>
      </c>
      <c r="L538" s="51" t="n"/>
      <c r="M538" s="51" t="n"/>
      <c r="N538" s="51" t="n"/>
    </row>
    <row r="539" ht="13.5" customHeight="1" s="38">
      <c r="A539" s="73" t="inlineStr">
        <is>
          <t>R_0536</t>
        </is>
      </c>
      <c r="B539" s="49" t="n">
        <v>3.7</v>
      </c>
      <c r="C539" s="50" t="n">
        <v>1.295</v>
      </c>
      <c r="D539" s="49" t="n">
        <v>3.2</v>
      </c>
      <c r="E539" s="50" t="n">
        <v>0.96</v>
      </c>
      <c r="F539" s="49" t="n">
        <v>3.4</v>
      </c>
      <c r="G539" s="50" t="n">
        <v>0.68</v>
      </c>
      <c r="H539" s="49" t="n">
        <v>2.8</v>
      </c>
      <c r="I539" s="50" t="n">
        <v>0.42</v>
      </c>
      <c r="J539" s="50" t="n">
        <v>3.35</v>
      </c>
      <c r="K539" s="50" t="inlineStr">
        <is>
          <t>Fail</t>
        </is>
      </c>
      <c r="L539" s="51" t="n"/>
      <c r="M539" s="51" t="n"/>
      <c r="N539" s="51" t="n"/>
    </row>
    <row r="540" ht="13.5" customHeight="1" s="38">
      <c r="A540" s="73" t="inlineStr">
        <is>
          <t>R_0537</t>
        </is>
      </c>
      <c r="B540" s="49" t="n">
        <v>3.4</v>
      </c>
      <c r="C540" s="50" t="n">
        <v>1.19</v>
      </c>
      <c r="D540" s="49" t="n">
        <v>3</v>
      </c>
      <c r="E540" s="50" t="n">
        <v>0.9</v>
      </c>
      <c r="F540" s="49" t="n">
        <v>3.5</v>
      </c>
      <c r="G540" s="50" t="n">
        <v>0.7</v>
      </c>
      <c r="H540" s="49" t="n">
        <v>2.8</v>
      </c>
      <c r="I540" s="50" t="n">
        <v>0.42</v>
      </c>
      <c r="J540" s="50" t="n">
        <v>3.21</v>
      </c>
      <c r="K540" s="50" t="inlineStr">
        <is>
          <t>Fail</t>
        </is>
      </c>
      <c r="L540" s="51" t="n"/>
      <c r="M540" s="51" t="n"/>
      <c r="N540" s="51" t="n"/>
    </row>
    <row r="541" ht="13.5" customHeight="1" s="38">
      <c r="A541" s="73" t="inlineStr">
        <is>
          <t>R_0538</t>
        </is>
      </c>
      <c r="B541" s="49" t="n">
        <v>3.3</v>
      </c>
      <c r="C541" s="50" t="n">
        <v>1.155</v>
      </c>
      <c r="D541" s="49" t="n">
        <v>2.8</v>
      </c>
      <c r="E541" s="50" t="n">
        <v>0.84</v>
      </c>
      <c r="F541" s="49" t="n">
        <v>3.5</v>
      </c>
      <c r="G541" s="50" t="n">
        <v>0.7</v>
      </c>
      <c r="H541" s="49" t="n">
        <v>3</v>
      </c>
      <c r="I541" s="50" t="n">
        <v>0.45</v>
      </c>
      <c r="J541" s="50" t="n">
        <v>3.15</v>
      </c>
      <c r="K541" s="50" t="inlineStr">
        <is>
          <t>Fail</t>
        </is>
      </c>
      <c r="L541" s="51" t="n"/>
      <c r="M541" s="51" t="n"/>
      <c r="N541" s="51" t="n"/>
    </row>
    <row r="542" ht="13.5" customHeight="1" s="38">
      <c r="A542" s="73" t="inlineStr">
        <is>
          <t>R_0539</t>
        </is>
      </c>
      <c r="B542" s="49" t="n">
        <v>3.3</v>
      </c>
      <c r="C542" s="50" t="n">
        <v>1.155</v>
      </c>
      <c r="D542" s="49" t="n">
        <v>3</v>
      </c>
      <c r="E542" s="50" t="n">
        <v>0.9</v>
      </c>
      <c r="F542" s="49" t="n">
        <v>3.6</v>
      </c>
      <c r="G542" s="50" t="n">
        <v>0.72</v>
      </c>
      <c r="H542" s="49" t="n">
        <v>3</v>
      </c>
      <c r="I542" s="50" t="n">
        <v>0.45</v>
      </c>
      <c r="J542" s="50" t="n">
        <v>3.23</v>
      </c>
      <c r="K542" s="50" t="inlineStr">
        <is>
          <t>Fail</t>
        </is>
      </c>
      <c r="L542" s="51" t="n"/>
      <c r="M542" s="51" t="n"/>
      <c r="N542" s="51" t="n"/>
    </row>
    <row r="543" ht="13.5" customHeight="1" s="38">
      <c r="A543" s="73" t="inlineStr">
        <is>
          <t>R_0540</t>
        </is>
      </c>
      <c r="B543" s="49" t="n">
        <v>3.5</v>
      </c>
      <c r="C543" s="50" t="n">
        <v>1.225</v>
      </c>
      <c r="D543" s="49" t="n">
        <v>4</v>
      </c>
      <c r="E543" s="50" t="n">
        <v>1.2</v>
      </c>
      <c r="F543" s="49" t="n">
        <v>3.6</v>
      </c>
      <c r="G543" s="50" t="n">
        <v>0.72</v>
      </c>
      <c r="H543" s="49" t="n">
        <v>3</v>
      </c>
      <c r="I543" s="50" t="n">
        <v>0.45</v>
      </c>
      <c r="J543" s="50" t="n">
        <v>3.59</v>
      </c>
      <c r="K543" s="50" t="inlineStr">
        <is>
          <t>Pass</t>
        </is>
      </c>
      <c r="L543" s="51" t="n"/>
      <c r="M543" s="51" t="n"/>
      <c r="N543" s="51" t="n"/>
    </row>
    <row r="544" ht="13.5" customHeight="1" s="38">
      <c r="A544" s="73" t="inlineStr">
        <is>
          <t>R_0541</t>
        </is>
      </c>
      <c r="B544" s="49" t="n">
        <v>3.5</v>
      </c>
      <c r="C544" s="50" t="n">
        <v>1.225</v>
      </c>
      <c r="D544" s="49" t="n">
        <v>3.9</v>
      </c>
      <c r="E544" s="50" t="n">
        <v>1.17</v>
      </c>
      <c r="F544" s="49" t="n">
        <v>3.7</v>
      </c>
      <c r="G544" s="50" t="n">
        <v>0.74</v>
      </c>
      <c r="H544" s="49" t="n">
        <v>3.2</v>
      </c>
      <c r="I544" s="50" t="n">
        <v>0.48</v>
      </c>
      <c r="J544" s="50" t="n">
        <v>3.61</v>
      </c>
      <c r="K544" s="50" t="inlineStr">
        <is>
          <t>Pass</t>
        </is>
      </c>
      <c r="L544" s="51" t="n"/>
      <c r="M544" s="51" t="n"/>
      <c r="N544" s="51" t="n"/>
    </row>
    <row r="545" ht="13.5" customHeight="1" s="38">
      <c r="A545" s="73" t="inlineStr">
        <is>
          <t>R_0542</t>
        </is>
      </c>
      <c r="B545" s="49" t="n">
        <v>3.2</v>
      </c>
      <c r="C545" s="50" t="n">
        <v>1.12</v>
      </c>
      <c r="D545" s="49" t="n">
        <v>3.6</v>
      </c>
      <c r="E545" s="50" t="n">
        <v>1.08</v>
      </c>
      <c r="F545" s="49" t="n">
        <v>3.8</v>
      </c>
      <c r="G545" s="50" t="n">
        <v>0.76</v>
      </c>
      <c r="H545" s="49" t="n">
        <v>4.7</v>
      </c>
      <c r="I545" s="50" t="n">
        <v>0.705</v>
      </c>
      <c r="J545" s="50" t="n">
        <v>3.67</v>
      </c>
      <c r="K545" s="50" t="inlineStr">
        <is>
          <t>Pass</t>
        </is>
      </c>
      <c r="L545" s="51" t="n"/>
      <c r="M545" s="51" t="n"/>
      <c r="N545" s="51" t="n"/>
    </row>
    <row r="546" ht="13.5" customHeight="1" s="38">
      <c r="A546" s="73" t="inlineStr">
        <is>
          <t>R_0543</t>
        </is>
      </c>
      <c r="B546" s="49" t="n">
        <v>3.4</v>
      </c>
      <c r="C546" s="50" t="n">
        <v>1.19</v>
      </c>
      <c r="D546" s="49" t="n">
        <v>2.8</v>
      </c>
      <c r="E546" s="50" t="n">
        <v>0.84</v>
      </c>
      <c r="F546" s="49" t="n">
        <v>3.7</v>
      </c>
      <c r="G546" s="50" t="n">
        <v>0.74</v>
      </c>
      <c r="H546" s="49" t="n">
        <v>3.6</v>
      </c>
      <c r="I546" s="50" t="n">
        <v>0.54</v>
      </c>
      <c r="J546" s="50" t="n">
        <v>3.31</v>
      </c>
      <c r="K546" s="50" t="inlineStr">
        <is>
          <t>Fail</t>
        </is>
      </c>
      <c r="L546" s="51" t="n"/>
      <c r="M546" s="51" t="n"/>
      <c r="N546" s="51" t="n"/>
    </row>
    <row r="547" ht="13.5" customHeight="1" s="38">
      <c r="A547" s="73" t="inlineStr">
        <is>
          <t>R_0544</t>
        </is>
      </c>
      <c r="B547" s="49" t="n">
        <v>3.2</v>
      </c>
      <c r="C547" s="50" t="n">
        <v>1.12</v>
      </c>
      <c r="D547" s="49" t="n">
        <v>3.7</v>
      </c>
      <c r="E547" s="50" t="n">
        <v>1.11</v>
      </c>
      <c r="F547" s="49" t="n">
        <v>3.8</v>
      </c>
      <c r="G547" s="50" t="n">
        <v>0.76</v>
      </c>
      <c r="H547" s="49" t="n">
        <v>3.3</v>
      </c>
      <c r="I547" s="50" t="n">
        <v>0.495</v>
      </c>
      <c r="J547" s="50" t="n">
        <v>3.49</v>
      </c>
      <c r="K547" s="50" t="inlineStr">
        <is>
          <t>Fail</t>
        </is>
      </c>
      <c r="L547" s="51" t="n"/>
      <c r="M547" s="51" t="n"/>
      <c r="N547" s="51" t="n"/>
    </row>
    <row r="548" ht="13.5" customHeight="1" s="38">
      <c r="A548" s="73" t="inlineStr">
        <is>
          <t>R_0545</t>
        </is>
      </c>
      <c r="B548" s="49" t="n">
        <v>3.6</v>
      </c>
      <c r="C548" s="50" t="n">
        <v>1.26</v>
      </c>
      <c r="D548" s="49" t="n">
        <v>3</v>
      </c>
      <c r="E548" s="50" t="n">
        <v>0.9</v>
      </c>
      <c r="F548" s="49" t="n">
        <v>3.6</v>
      </c>
      <c r="G548" s="50" t="n">
        <v>0.72</v>
      </c>
      <c r="H548" s="49" t="n">
        <v>3.8</v>
      </c>
      <c r="I548" s="50" t="n">
        <v>0.57</v>
      </c>
      <c r="J548" s="50" t="n">
        <v>3.45</v>
      </c>
      <c r="K548" s="50" t="inlineStr">
        <is>
          <t>Fail</t>
        </is>
      </c>
      <c r="L548" s="51" t="n"/>
      <c r="M548" s="51" t="n"/>
      <c r="N548" s="51" t="n"/>
    </row>
    <row r="549" ht="13.5" customHeight="1" s="38">
      <c r="A549" s="73" t="inlineStr">
        <is>
          <t>R_0546</t>
        </is>
      </c>
      <c r="B549" s="49" t="n">
        <v>3.5</v>
      </c>
      <c r="C549" s="50" t="n">
        <v>1.225</v>
      </c>
      <c r="D549" s="49" t="n">
        <v>3.7</v>
      </c>
      <c r="E549" s="50" t="n">
        <v>1.11</v>
      </c>
      <c r="F549" s="49" t="n">
        <v>3.7</v>
      </c>
      <c r="G549" s="50" t="n">
        <v>0.74</v>
      </c>
      <c r="H549" s="49" t="n">
        <v>3.3</v>
      </c>
      <c r="I549" s="50" t="n">
        <v>0.495</v>
      </c>
      <c r="J549" s="50" t="n">
        <v>3.57</v>
      </c>
      <c r="K549" s="50" t="inlineStr">
        <is>
          <t>Pass</t>
        </is>
      </c>
      <c r="L549" s="51" t="n"/>
      <c r="M549" s="51" t="n"/>
      <c r="N549" s="51" t="n"/>
    </row>
    <row r="550" ht="13.5" customHeight="1" s="38">
      <c r="A550" s="73" t="inlineStr">
        <is>
          <t>R_0547</t>
        </is>
      </c>
      <c r="B550" s="49" t="inlineStr">
        <is>
          <t>3.9 | 4.0</t>
        </is>
      </c>
      <c r="C550" s="50" t="inlineStr">
        <is>
          <t>1.365 | 1.4</t>
        </is>
      </c>
      <c r="D550" s="49" t="inlineStr">
        <is>
          <t>3.1 | 4.0</t>
        </is>
      </c>
      <c r="E550" s="50" t="inlineStr">
        <is>
          <t>0.93 | 1.2</t>
        </is>
      </c>
      <c r="F550" s="49" t="inlineStr">
        <is>
          <t>3.7 | 4.1</t>
        </is>
      </c>
      <c r="G550" s="50" t="inlineStr">
        <is>
          <t>0.74 | 0.82</t>
        </is>
      </c>
      <c r="H550" s="49" t="inlineStr">
        <is>
          <t>4.0 | 4.2</t>
        </is>
      </c>
      <c r="I550" s="50" t="inlineStr">
        <is>
          <t>0.6 | 0.63</t>
        </is>
      </c>
      <c r="J550" s="50" t="inlineStr">
        <is>
          <t>3.64 | 4.05</t>
        </is>
      </c>
      <c r="K550" s="50" t="inlineStr">
        <is>
          <t>Pass | Pass</t>
        </is>
      </c>
      <c r="L550" s="51" t="n"/>
      <c r="M550" s="51" t="n"/>
      <c r="N550" s="51" t="n"/>
    </row>
    <row r="551" ht="13.5" customHeight="1" s="38">
      <c r="A551" s="73" t="inlineStr">
        <is>
          <t>R_0548</t>
        </is>
      </c>
      <c r="B551" s="49" t="n">
        <v>3</v>
      </c>
      <c r="C551" s="50" t="n">
        <v>1.05</v>
      </c>
      <c r="D551" s="49" t="n">
        <v>3.9</v>
      </c>
      <c r="E551" s="50" t="n">
        <v>1.17</v>
      </c>
      <c r="F551" s="49" t="n">
        <v>3.5</v>
      </c>
      <c r="G551" s="50" t="n">
        <v>0.7</v>
      </c>
      <c r="H551" s="49" t="n">
        <v>3.9</v>
      </c>
      <c r="I551" s="50" t="n">
        <v>0.585</v>
      </c>
      <c r="J551" s="50" t="n">
        <v>3.5</v>
      </c>
      <c r="K551" s="50" t="inlineStr">
        <is>
          <t>Pass</t>
        </is>
      </c>
      <c r="L551" s="51" t="n"/>
      <c r="M551" s="51" t="n"/>
      <c r="N551" s="51" t="n"/>
    </row>
    <row r="552" ht="13.5" customHeight="1" s="38">
      <c r="A552" s="73" t="inlineStr">
        <is>
          <t>R_0549</t>
        </is>
      </c>
      <c r="B552" s="49" t="n">
        <v>3.8</v>
      </c>
      <c r="C552" s="50" t="n">
        <v>1.33</v>
      </c>
      <c r="D552" s="49" t="n">
        <v>3.9</v>
      </c>
      <c r="E552" s="50" t="n">
        <v>1.17</v>
      </c>
      <c r="F552" s="49" t="n">
        <v>3.2</v>
      </c>
      <c r="G552" s="50" t="n">
        <v>0.64</v>
      </c>
      <c r="H552" s="49" t="n">
        <v>3</v>
      </c>
      <c r="I552" s="50" t="n">
        <v>0.45</v>
      </c>
      <c r="J552" s="50" t="n">
        <v>3.59</v>
      </c>
      <c r="K552" s="50" t="inlineStr">
        <is>
          <t>Pass</t>
        </is>
      </c>
      <c r="L552" s="51" t="n"/>
      <c r="M552" s="51" t="n"/>
      <c r="N552" s="51" t="n"/>
    </row>
    <row r="553" ht="13.5" customHeight="1" s="38">
      <c r="A553" s="73" t="inlineStr">
        <is>
          <t>R_0550</t>
        </is>
      </c>
      <c r="B553" s="49" t="n">
        <v>3.8</v>
      </c>
      <c r="C553" s="50" t="n">
        <v>1.33</v>
      </c>
      <c r="D553" s="49" t="n">
        <v>2.9</v>
      </c>
      <c r="E553" s="50" t="n">
        <v>0.87</v>
      </c>
      <c r="F553" s="49" t="n">
        <v>3.8</v>
      </c>
      <c r="G553" s="50" t="n">
        <v>0.76</v>
      </c>
      <c r="H553" s="49" t="n">
        <v>4</v>
      </c>
      <c r="I553" s="50" t="n">
        <v>0.6</v>
      </c>
      <c r="J553" s="50" t="n">
        <v>3.56</v>
      </c>
      <c r="K553" s="50" t="inlineStr">
        <is>
          <t>Pass</t>
        </is>
      </c>
      <c r="L553" s="51" t="n"/>
      <c r="M553" s="51" t="n"/>
      <c r="N553" s="51" t="n"/>
    </row>
    <row r="554" ht="13.5" customHeight="1" s="38">
      <c r="A554" s="73" t="inlineStr">
        <is>
          <t>R_0551</t>
        </is>
      </c>
      <c r="B554" s="49" t="inlineStr">
        <is>
          <t>3.4 | 3.1</t>
        </is>
      </c>
      <c r="C554" s="50" t="inlineStr">
        <is>
          <t>1.19 | 1.085</t>
        </is>
      </c>
      <c r="D554" s="49" t="inlineStr">
        <is>
          <t xml:space="preserve">3.3 | 3.1 </t>
        </is>
      </c>
      <c r="E554" s="50" t="inlineStr">
        <is>
          <t>0.99 | 0.93</t>
        </is>
      </c>
      <c r="F554" s="49" t="inlineStr">
        <is>
          <t>3.6 | 2.7</t>
        </is>
      </c>
      <c r="G554" s="50" t="inlineStr">
        <is>
          <t>0.72 | 0.54</t>
        </is>
      </c>
      <c r="H554" s="49" t="inlineStr">
        <is>
          <t>2.8 | 4.0</t>
        </is>
      </c>
      <c r="I554" s="50" t="inlineStr">
        <is>
          <t>0.42 | 0.6</t>
        </is>
      </c>
      <c r="J554" s="50" t="inlineStr">
        <is>
          <t>3.32 | 3.155</t>
        </is>
      </c>
      <c r="K554" s="50" t="inlineStr">
        <is>
          <t>Fail | Fail</t>
        </is>
      </c>
      <c r="L554" s="51" t="n"/>
      <c r="M554" s="51" t="n"/>
      <c r="N554" s="51" t="n"/>
    </row>
    <row r="555" ht="13.5" customHeight="1" s="38">
      <c r="A555" s="73" t="inlineStr">
        <is>
          <t>R_0552</t>
        </is>
      </c>
      <c r="B555" s="49" t="n">
        <v>3.7</v>
      </c>
      <c r="C555" s="50" t="n">
        <v>1.295</v>
      </c>
      <c r="D555" s="49" t="n">
        <v>2.9</v>
      </c>
      <c r="E555" s="50" t="n">
        <v>0.87</v>
      </c>
      <c r="F555" s="49" t="n">
        <v>3.7</v>
      </c>
      <c r="G555" s="50" t="n">
        <v>0.74</v>
      </c>
      <c r="H555" s="49" t="n">
        <v>3.8</v>
      </c>
      <c r="I555" s="50" t="n">
        <v>0.57</v>
      </c>
      <c r="J555" s="50" t="n">
        <v>3.48</v>
      </c>
      <c r="K555" s="50" t="inlineStr">
        <is>
          <t>Fail</t>
        </is>
      </c>
      <c r="L555" s="51" t="n"/>
      <c r="M555" s="51" t="n"/>
      <c r="N555" s="51" t="n"/>
    </row>
    <row r="556" ht="13.5" customHeight="1" s="38">
      <c r="A556" s="73" t="inlineStr">
        <is>
          <t>R_0553</t>
        </is>
      </c>
      <c r="B556" s="49" t="n">
        <v>3.2</v>
      </c>
      <c r="C556" s="50" t="n">
        <v>1.12</v>
      </c>
      <c r="D556" s="49" t="n">
        <v>3.7</v>
      </c>
      <c r="E556" s="50" t="n">
        <v>1.11</v>
      </c>
      <c r="F556" s="49" t="n">
        <v>3.8</v>
      </c>
      <c r="G556" s="50" t="n">
        <v>0.76</v>
      </c>
      <c r="H556" s="49" t="n">
        <v>3.3</v>
      </c>
      <c r="I556" s="50" t="n">
        <v>0.495</v>
      </c>
      <c r="J556" s="50" t="n">
        <v>3.49</v>
      </c>
      <c r="K556" s="50" t="inlineStr">
        <is>
          <t>Fail</t>
        </is>
      </c>
      <c r="L556" s="51" t="n"/>
      <c r="M556" s="51" t="n"/>
      <c r="N556" s="51" t="n"/>
    </row>
    <row r="557" ht="13.5" customHeight="1" s="38">
      <c r="A557" s="73" t="inlineStr">
        <is>
          <t>R_0554</t>
        </is>
      </c>
      <c r="B557" s="49" t="n">
        <v>2.9</v>
      </c>
      <c r="C557" s="50" t="n">
        <v>1.015</v>
      </c>
      <c r="D557" s="49" t="n">
        <v>3.3</v>
      </c>
      <c r="E557" s="50" t="n">
        <v>0.99</v>
      </c>
      <c r="F557" s="49" t="n">
        <v>3.6</v>
      </c>
      <c r="G557" s="50" t="n">
        <v>0.72</v>
      </c>
      <c r="H557" s="49" t="n">
        <v>3.2</v>
      </c>
      <c r="I557" s="50" t="n">
        <v>0.48</v>
      </c>
      <c r="J557" s="50" t="n">
        <v>3.21</v>
      </c>
      <c r="K557" s="50" t="inlineStr">
        <is>
          <t>Fail</t>
        </is>
      </c>
      <c r="L557" s="51" t="n"/>
      <c r="M557" s="51" t="n"/>
      <c r="N557" s="51" t="n"/>
    </row>
    <row r="558" ht="13.5" customHeight="1" s="38">
      <c r="A558" s="73" t="inlineStr">
        <is>
          <t>R_0555</t>
        </is>
      </c>
      <c r="B558" s="49" t="n">
        <v>3.5</v>
      </c>
      <c r="C558" s="50" t="n">
        <v>1.225</v>
      </c>
      <c r="D558" s="49" t="n">
        <v>3.8</v>
      </c>
      <c r="E558" s="50" t="n">
        <v>1.14</v>
      </c>
      <c r="F558" s="49" t="n">
        <v>3.5</v>
      </c>
      <c r="G558" s="50" t="n">
        <v>0.7</v>
      </c>
      <c r="H558" s="49" t="n">
        <v>3</v>
      </c>
      <c r="I558" s="50" t="n">
        <v>0.45</v>
      </c>
      <c r="J558" s="50" t="n">
        <v>3.52</v>
      </c>
      <c r="K558" s="50" t="inlineStr">
        <is>
          <t>Pass</t>
        </is>
      </c>
      <c r="L558" s="51" t="n"/>
      <c r="M558" s="51" t="n"/>
      <c r="N558" s="51" t="n"/>
    </row>
    <row r="559" ht="13.5" customHeight="1" s="38">
      <c r="A559" s="73" t="inlineStr">
        <is>
          <t>R_0556</t>
        </is>
      </c>
      <c r="B559" s="49" t="n">
        <v>3.6</v>
      </c>
      <c r="C559" s="50" t="n">
        <v>1.26</v>
      </c>
      <c r="D559" s="49" t="n">
        <v>3</v>
      </c>
      <c r="E559" s="50" t="n">
        <v>0.9</v>
      </c>
      <c r="F559" s="49" t="n">
        <v>3.7</v>
      </c>
      <c r="G559" s="50" t="n">
        <v>0.74</v>
      </c>
      <c r="H559" s="49" t="n">
        <v>3</v>
      </c>
      <c r="I559" s="50" t="n">
        <v>0.45</v>
      </c>
      <c r="J559" s="50" t="n">
        <v>3.35</v>
      </c>
      <c r="K559" s="50" t="inlineStr">
        <is>
          <t>Fail</t>
        </is>
      </c>
      <c r="L559" s="51" t="n"/>
      <c r="M559" s="51" t="n"/>
      <c r="N559" s="51" t="n"/>
    </row>
    <row r="560" ht="13.5" customHeight="1" s="38">
      <c r="A560" s="73" t="inlineStr">
        <is>
          <t>R_0557</t>
        </is>
      </c>
      <c r="B560" s="49" t="n">
        <v>3.1</v>
      </c>
      <c r="C560" s="50" t="n">
        <v>1.085</v>
      </c>
      <c r="D560" s="49" t="n">
        <v>3.5</v>
      </c>
      <c r="E560" s="50" t="n">
        <v>1.05</v>
      </c>
      <c r="F560" s="49" t="n">
        <v>3.5</v>
      </c>
      <c r="G560" s="50" t="n">
        <v>0.7</v>
      </c>
      <c r="H560" s="49" t="n">
        <v>3.9</v>
      </c>
      <c r="I560" s="50" t="n">
        <v>0.585</v>
      </c>
      <c r="J560" s="50" t="n">
        <v>3.42</v>
      </c>
      <c r="K560" s="50" t="inlineStr">
        <is>
          <t>Fail</t>
        </is>
      </c>
      <c r="L560" s="51" t="n"/>
      <c r="M560" s="51" t="n"/>
      <c r="N560" s="51" t="n"/>
    </row>
    <row r="561" ht="13.5" customHeight="1" s="38">
      <c r="A561" s="73" t="inlineStr">
        <is>
          <t>R_0558</t>
        </is>
      </c>
      <c r="B561" s="49" t="n">
        <v>3.3</v>
      </c>
      <c r="C561" s="50" t="n">
        <v>1.155</v>
      </c>
      <c r="D561" s="49" t="n">
        <v>3.1</v>
      </c>
      <c r="E561" s="50" t="n">
        <v>0.93</v>
      </c>
      <c r="F561" s="49" t="n">
        <v>3.5</v>
      </c>
      <c r="G561" s="50" t="n">
        <v>0.7</v>
      </c>
      <c r="H561" s="49" t="n">
        <v>2.8</v>
      </c>
      <c r="I561" s="50" t="n">
        <v>0.42</v>
      </c>
      <c r="J561" s="50" t="n">
        <v>3.21</v>
      </c>
      <c r="K561" s="50" t="inlineStr">
        <is>
          <t>Fail</t>
        </is>
      </c>
      <c r="L561" s="51" t="n"/>
      <c r="M561" s="51" t="n"/>
      <c r="N561" s="51" t="n"/>
    </row>
    <row r="562" ht="13.5" customHeight="1" s="38">
      <c r="A562" s="73" t="inlineStr">
        <is>
          <t>R_0559</t>
        </is>
      </c>
      <c r="B562" s="49" t="n">
        <v>3.4</v>
      </c>
      <c r="C562" s="50" t="n">
        <v>1.19</v>
      </c>
      <c r="D562" s="49" t="n">
        <v>3.6</v>
      </c>
      <c r="E562" s="50" t="n">
        <v>1.08</v>
      </c>
      <c r="F562" s="49" t="n">
        <v>3.8</v>
      </c>
      <c r="G562" s="50" t="n">
        <v>0.76</v>
      </c>
      <c r="H562" s="49" t="n">
        <v>4.6</v>
      </c>
      <c r="I562" s="50" t="n">
        <v>0.6899999999999999</v>
      </c>
      <c r="J562" s="50" t="n">
        <v>3.72</v>
      </c>
      <c r="K562" s="50" t="inlineStr">
        <is>
          <t>Pass</t>
        </is>
      </c>
      <c r="L562" s="51" t="n"/>
      <c r="M562" s="51" t="n"/>
      <c r="N562" s="51" t="n"/>
    </row>
    <row r="563" ht="13.5" customHeight="1" s="38">
      <c r="A563" s="73" t="inlineStr">
        <is>
          <t>R_0560</t>
        </is>
      </c>
      <c r="B563" s="49" t="n">
        <v>3.4</v>
      </c>
      <c r="C563" s="50" t="n">
        <v>1.19</v>
      </c>
      <c r="D563" s="49" t="n">
        <v>3.1</v>
      </c>
      <c r="E563" s="50" t="n">
        <v>0.93</v>
      </c>
      <c r="F563" s="49" t="n">
        <v>3.6</v>
      </c>
      <c r="G563" s="50" t="n">
        <v>0.72</v>
      </c>
      <c r="H563" s="49" t="n">
        <v>3</v>
      </c>
      <c r="I563" s="50" t="n">
        <v>0.45</v>
      </c>
      <c r="J563" s="50" t="n">
        <v>3.29</v>
      </c>
      <c r="K563" s="50" t="inlineStr">
        <is>
          <t>Fail</t>
        </is>
      </c>
      <c r="L563" s="51" t="n"/>
      <c r="M563" s="51" t="n"/>
      <c r="N563" s="51" t="n"/>
    </row>
    <row r="564" ht="13.5" customHeight="1" s="38">
      <c r="A564" s="73" t="inlineStr">
        <is>
          <t>R_0561</t>
        </is>
      </c>
      <c r="B564" s="49" t="n">
        <v>3.3</v>
      </c>
      <c r="C564" s="50" t="n">
        <v>1.155</v>
      </c>
      <c r="D564" s="49" t="n">
        <v>3</v>
      </c>
      <c r="E564" s="50" t="n">
        <v>0.9</v>
      </c>
      <c r="F564" s="49" t="n">
        <v>3.6</v>
      </c>
      <c r="G564" s="50" t="n">
        <v>0.72</v>
      </c>
      <c r="H564" s="49" t="n">
        <v>2.8</v>
      </c>
      <c r="I564" s="50" t="n">
        <v>0.42</v>
      </c>
      <c r="J564" s="50" t="n">
        <v>3.2</v>
      </c>
      <c r="K564" s="50" t="inlineStr">
        <is>
          <t>Fail</t>
        </is>
      </c>
      <c r="L564" s="51" t="n"/>
      <c r="M564" s="51" t="n"/>
      <c r="N564" s="51" t="n"/>
    </row>
    <row r="565" ht="13.5" customHeight="1" s="38">
      <c r="A565" s="73" t="inlineStr">
        <is>
          <t>R_0562</t>
        </is>
      </c>
      <c r="B565" s="49" t="n">
        <v>3.2</v>
      </c>
      <c r="C565" s="50" t="n">
        <v>1.12</v>
      </c>
      <c r="D565" s="49" t="n">
        <v>2.9</v>
      </c>
      <c r="E565" s="50" t="n">
        <v>0.87</v>
      </c>
      <c r="F565" s="49" t="n">
        <v>3.5</v>
      </c>
      <c r="G565" s="50" t="n">
        <v>0.7</v>
      </c>
      <c r="H565" s="49" t="n">
        <v>3</v>
      </c>
      <c r="I565" s="50" t="n">
        <v>0.45</v>
      </c>
      <c r="J565" s="50" t="n">
        <v>3.14</v>
      </c>
      <c r="K565" s="50" t="inlineStr">
        <is>
          <t>Fail</t>
        </is>
      </c>
      <c r="L565" s="51" t="n"/>
      <c r="M565" s="51" t="n"/>
      <c r="N565" s="51" t="n"/>
    </row>
    <row r="566" ht="13.5" customHeight="1" s="38">
      <c r="A566" s="73" t="inlineStr">
        <is>
          <t>R_0563</t>
        </is>
      </c>
      <c r="B566" s="49" t="n">
        <v>3.5</v>
      </c>
      <c r="C566" s="50" t="n">
        <v>1.225</v>
      </c>
      <c r="D566" s="49" t="n">
        <v>3.8</v>
      </c>
      <c r="E566" s="50" t="n">
        <v>1.14</v>
      </c>
      <c r="F566" s="49" t="n">
        <v>3.7</v>
      </c>
      <c r="G566" s="50" t="n">
        <v>0.74</v>
      </c>
      <c r="H566" s="49" t="n">
        <v>3.2</v>
      </c>
      <c r="I566" s="50" t="n">
        <v>0.48</v>
      </c>
      <c r="J566" s="50" t="n">
        <v>3.58</v>
      </c>
      <c r="K566" s="50" t="inlineStr">
        <is>
          <t>Pass</t>
        </is>
      </c>
      <c r="L566" s="51" t="n"/>
      <c r="M566" s="51" t="n"/>
      <c r="N566" s="51" t="n"/>
    </row>
    <row r="567" ht="13.5" customHeight="1" s="38">
      <c r="A567" s="73" t="inlineStr">
        <is>
          <t>R_0564</t>
        </is>
      </c>
      <c r="B567" s="49" t="n">
        <v>3.1</v>
      </c>
      <c r="C567" s="50" t="n">
        <v>1.085</v>
      </c>
      <c r="D567" s="49" t="n">
        <v>3.6</v>
      </c>
      <c r="E567" s="50" t="n">
        <v>1.08</v>
      </c>
      <c r="F567" s="49" t="n">
        <v>3.6</v>
      </c>
      <c r="G567" s="50" t="n">
        <v>0.72</v>
      </c>
      <c r="H567" s="49" t="n">
        <v>3.2</v>
      </c>
      <c r="I567" s="50" t="n">
        <v>0.48</v>
      </c>
      <c r="J567" s="50" t="n">
        <v>3.37</v>
      </c>
      <c r="K567" s="50" t="inlineStr">
        <is>
          <t>Fail</t>
        </is>
      </c>
      <c r="L567" s="51" t="n"/>
      <c r="M567" s="51" t="n"/>
      <c r="N567" s="51" t="n"/>
    </row>
    <row r="568" ht="13.5" customHeight="1" s="38">
      <c r="A568" s="73" t="inlineStr">
        <is>
          <t>R_0565</t>
        </is>
      </c>
      <c r="B568" s="49" t="n">
        <v>3.5</v>
      </c>
      <c r="C568" s="50" t="n">
        <v>1.225</v>
      </c>
      <c r="D568" s="49" t="n">
        <v>3.5</v>
      </c>
      <c r="E568" s="50" t="n">
        <v>1.05</v>
      </c>
      <c r="F568" s="49" t="n">
        <v>3.6</v>
      </c>
      <c r="G568" s="50" t="n">
        <v>0.72</v>
      </c>
      <c r="H568" s="49" t="n">
        <v>2.8</v>
      </c>
      <c r="I568" s="50" t="n">
        <v>0.42</v>
      </c>
      <c r="J568" s="50" t="n">
        <v>3.42</v>
      </c>
      <c r="K568" s="50" t="inlineStr">
        <is>
          <t>Fail</t>
        </is>
      </c>
      <c r="L568" s="51" t="n"/>
      <c r="M568" s="51" t="n"/>
      <c r="N568" s="51" t="n"/>
    </row>
    <row r="569" ht="13.5" customHeight="1" s="38">
      <c r="A569" s="73" t="inlineStr">
        <is>
          <t>R_0566</t>
        </is>
      </c>
      <c r="B569" s="49" t="n">
        <v>3.4</v>
      </c>
      <c r="C569" s="50" t="n">
        <v>1.19</v>
      </c>
      <c r="D569" s="49" t="n">
        <v>3.6</v>
      </c>
      <c r="E569" s="50" t="n">
        <v>1.08</v>
      </c>
      <c r="F569" s="49" t="n">
        <v>3.8</v>
      </c>
      <c r="G569" s="50" t="n">
        <v>0.76</v>
      </c>
      <c r="H569" s="49" t="n">
        <v>4.7</v>
      </c>
      <c r="I569" s="50" t="n">
        <v>0.705</v>
      </c>
      <c r="J569" s="50" t="n">
        <v>3.74</v>
      </c>
      <c r="K569" s="50" t="inlineStr">
        <is>
          <t>Pass</t>
        </is>
      </c>
      <c r="L569" s="51" t="n"/>
      <c r="M569" s="51" t="n"/>
      <c r="N569" s="51" t="n"/>
    </row>
    <row r="570" ht="13.5" customHeight="1" s="38">
      <c r="A570" s="73" t="inlineStr">
        <is>
          <t>R_0567</t>
        </is>
      </c>
      <c r="B570" s="49" t="n">
        <v>3.3</v>
      </c>
      <c r="C570" s="50" t="n">
        <v>1.155</v>
      </c>
      <c r="D570" s="49" t="n">
        <v>3.6</v>
      </c>
      <c r="E570" s="50" t="n">
        <v>1.08</v>
      </c>
      <c r="F570" s="49" t="n">
        <v>3.8</v>
      </c>
      <c r="G570" s="50" t="n">
        <v>0.76</v>
      </c>
      <c r="H570" s="49" t="n">
        <v>4.7</v>
      </c>
      <c r="I570" s="50" t="n">
        <v>0.705</v>
      </c>
      <c r="J570" s="50" t="n">
        <v>3.7</v>
      </c>
      <c r="K570" s="50" t="inlineStr">
        <is>
          <t>Pass</t>
        </is>
      </c>
      <c r="L570" s="51" t="n"/>
      <c r="M570" s="51" t="n"/>
      <c r="N570" s="51" t="n"/>
    </row>
    <row r="571" ht="13.5" customHeight="1" s="38">
      <c r="A571" s="73" t="inlineStr">
        <is>
          <t>R_0568</t>
        </is>
      </c>
      <c r="B571" s="49" t="n">
        <v>3.4</v>
      </c>
      <c r="C571" s="50" t="n">
        <v>1.19</v>
      </c>
      <c r="D571" s="49" t="n">
        <v>3.9</v>
      </c>
      <c r="E571" s="50" t="n">
        <v>1.17</v>
      </c>
      <c r="F571" s="49" t="n">
        <v>3.8</v>
      </c>
      <c r="G571" s="50" t="n">
        <v>0.76</v>
      </c>
      <c r="H571" s="49" t="n">
        <v>3.3</v>
      </c>
      <c r="I571" s="50" t="n">
        <v>0.495</v>
      </c>
      <c r="J571" s="50" t="n">
        <v>3.62</v>
      </c>
      <c r="K571" s="50" t="inlineStr">
        <is>
          <t>Pass</t>
        </is>
      </c>
      <c r="L571" s="51" t="n"/>
      <c r="M571" s="51" t="n"/>
      <c r="N571" s="51" t="n"/>
    </row>
    <row r="572" ht="13.5" customHeight="1" s="38">
      <c r="A572" s="73" t="inlineStr">
        <is>
          <t>R_0569</t>
        </is>
      </c>
      <c r="B572" s="49" t="n">
        <v>3.4</v>
      </c>
      <c r="C572" s="50" t="n">
        <v>1.19</v>
      </c>
      <c r="D572" s="49" t="n">
        <v>2.8</v>
      </c>
      <c r="E572" s="50" t="n">
        <v>0.84</v>
      </c>
      <c r="F572" s="49" t="n">
        <v>3.7</v>
      </c>
      <c r="G572" s="50" t="n">
        <v>0.74</v>
      </c>
      <c r="H572" s="49" t="n">
        <v>3.6</v>
      </c>
      <c r="I572" s="50" t="n">
        <v>0.54</v>
      </c>
      <c r="J572" s="50" t="n">
        <v>3.31</v>
      </c>
      <c r="K572" s="50" t="inlineStr">
        <is>
          <t>Fail</t>
        </is>
      </c>
      <c r="L572" s="51" t="n"/>
      <c r="M572" s="51" t="n"/>
      <c r="N572" s="51" t="n"/>
    </row>
    <row r="573" ht="13.5" customHeight="1" s="38">
      <c r="A573" s="73" t="inlineStr">
        <is>
          <t>R_0570</t>
        </is>
      </c>
      <c r="B573" s="49" t="n">
        <v>3.7</v>
      </c>
      <c r="C573" s="50" t="n">
        <v>1.295</v>
      </c>
      <c r="D573" s="49" t="n">
        <v>2.9</v>
      </c>
      <c r="E573" s="50" t="n">
        <v>0.87</v>
      </c>
      <c r="F573" s="49" t="n">
        <v>3.6</v>
      </c>
      <c r="G573" s="50" t="n">
        <v>0.72</v>
      </c>
      <c r="H573" s="49" t="n">
        <v>2.8</v>
      </c>
      <c r="I573" s="50" t="n">
        <v>0.42</v>
      </c>
      <c r="J573" s="50" t="n">
        <v>3.3</v>
      </c>
      <c r="K573" s="50" t="inlineStr">
        <is>
          <t>Fail</t>
        </is>
      </c>
      <c r="L573" s="51" t="n"/>
      <c r="M573" s="51" t="n"/>
      <c r="N573" s="51" t="n"/>
    </row>
    <row r="574" ht="13.5" customHeight="1" s="38">
      <c r="A574" s="73" t="inlineStr">
        <is>
          <t>R_0571</t>
        </is>
      </c>
      <c r="B574" s="49" t="n">
        <v>3.1</v>
      </c>
      <c r="C574" s="50" t="n">
        <v>1.085</v>
      </c>
      <c r="D574" s="49" t="n">
        <v>3.4</v>
      </c>
      <c r="E574" s="50" t="n">
        <v>1.02</v>
      </c>
      <c r="F574" s="49" t="n">
        <v>3.7</v>
      </c>
      <c r="G574" s="50" t="n">
        <v>0.74</v>
      </c>
      <c r="H574" s="49" t="n">
        <v>3.9</v>
      </c>
      <c r="I574" s="50" t="n">
        <v>0.585</v>
      </c>
      <c r="J574" s="50" t="n">
        <v>3.43</v>
      </c>
      <c r="K574" s="50" t="inlineStr">
        <is>
          <t>Fail</t>
        </is>
      </c>
      <c r="L574" s="51" t="n"/>
      <c r="M574" s="51" t="n"/>
      <c r="N574" s="51" t="n"/>
    </row>
    <row r="575" ht="13.5" customHeight="1" s="38">
      <c r="A575" s="73" t="inlineStr">
        <is>
          <t>R_0572</t>
        </is>
      </c>
      <c r="B575" s="49" t="n">
        <v>3</v>
      </c>
      <c r="C575" s="50" t="n">
        <v>1.05</v>
      </c>
      <c r="D575" s="49" t="n">
        <v>3.9</v>
      </c>
      <c r="E575" s="50" t="n">
        <v>1.17</v>
      </c>
      <c r="F575" s="49" t="n">
        <v>3.5</v>
      </c>
      <c r="G575" s="50" t="n">
        <v>0.7</v>
      </c>
      <c r="H575" s="49" t="n">
        <v>3.9</v>
      </c>
      <c r="I575" s="50" t="n">
        <v>0.585</v>
      </c>
      <c r="J575" s="50" t="n">
        <v>3.5</v>
      </c>
      <c r="K575" s="50" t="inlineStr">
        <is>
          <t>Pass</t>
        </is>
      </c>
      <c r="L575" s="51" t="n"/>
      <c r="M575" s="51" t="n"/>
      <c r="N575" s="51" t="n"/>
    </row>
    <row r="576" ht="13.5" customHeight="1" s="38">
      <c r="A576" s="73" t="inlineStr">
        <is>
          <t>R_0573</t>
        </is>
      </c>
      <c r="B576" s="49" t="inlineStr">
        <is>
          <t>3.5 | 2.7</t>
        </is>
      </c>
      <c r="C576" s="50" t="inlineStr">
        <is>
          <t>1.225 | 0.945</t>
        </is>
      </c>
      <c r="D576" s="49" t="inlineStr">
        <is>
          <t>3.5 | 2.8</t>
        </is>
      </c>
      <c r="E576" s="50" t="inlineStr">
        <is>
          <t>1.05 | 0.84</t>
        </is>
      </c>
      <c r="F576" s="49" t="inlineStr">
        <is>
          <t>3.5 | 3.0</t>
        </is>
      </c>
      <c r="G576" s="50" t="inlineStr">
        <is>
          <t>0.7 | 0.6</t>
        </is>
      </c>
      <c r="H576" s="49" t="inlineStr">
        <is>
          <t>2.8 | 2.2</t>
        </is>
      </c>
      <c r="I576" s="50" t="inlineStr">
        <is>
          <t>0.42 | 0.33</t>
        </is>
      </c>
      <c r="J576" s="50" t="inlineStr">
        <is>
          <t>3.4 | 2.715</t>
        </is>
      </c>
      <c r="K576" s="50" t="inlineStr">
        <is>
          <t>Fail | Fail</t>
        </is>
      </c>
      <c r="L576" s="51" t="n"/>
      <c r="M576" s="51" t="n"/>
      <c r="N576" s="51" t="n"/>
    </row>
    <row r="577" ht="13.5" customHeight="1" s="38">
      <c r="A577" s="73" t="inlineStr">
        <is>
          <t>R_0574</t>
        </is>
      </c>
      <c r="B577" s="49" t="n">
        <v>3.4</v>
      </c>
      <c r="C577" s="50" t="n">
        <v>1.19</v>
      </c>
      <c r="D577" s="49" t="n">
        <v>3.3</v>
      </c>
      <c r="E577" s="50" t="n">
        <v>0.99</v>
      </c>
      <c r="F577" s="49" t="n">
        <v>3.6</v>
      </c>
      <c r="G577" s="50" t="n">
        <v>0.72</v>
      </c>
      <c r="H577" s="49" t="n">
        <v>2.8</v>
      </c>
      <c r="I577" s="50" t="n">
        <v>0.42</v>
      </c>
      <c r="J577" s="50" t="n">
        <v>3.32</v>
      </c>
      <c r="K577" s="50" t="inlineStr">
        <is>
          <t>Fail</t>
        </is>
      </c>
      <c r="L577" s="51" t="n"/>
      <c r="M577" s="51" t="n"/>
      <c r="N577" s="51" t="n"/>
    </row>
    <row r="578" ht="13.5" customHeight="1" s="38">
      <c r="A578" s="73" t="inlineStr">
        <is>
          <t>R_0575</t>
        </is>
      </c>
      <c r="B578" s="49" t="n">
        <v>3.4</v>
      </c>
      <c r="C578" s="50" t="n">
        <v>1.19</v>
      </c>
      <c r="D578" s="49" t="n">
        <v>3.7</v>
      </c>
      <c r="E578" s="50" t="n">
        <v>1.11</v>
      </c>
      <c r="F578" s="49" t="n">
        <v>3.8</v>
      </c>
      <c r="G578" s="50" t="n">
        <v>0.76</v>
      </c>
      <c r="H578" s="49" t="n">
        <v>4.5</v>
      </c>
      <c r="I578" s="50" t="n">
        <v>0.675</v>
      </c>
      <c r="J578" s="50" t="n">
        <v>3.73</v>
      </c>
      <c r="K578" s="50" t="inlineStr">
        <is>
          <t>Pass</t>
        </is>
      </c>
      <c r="L578" s="51" t="n"/>
      <c r="M578" s="51" t="n"/>
      <c r="N578" s="51" t="n"/>
    </row>
    <row r="579" ht="13.5" customHeight="1" s="38">
      <c r="A579" s="73" t="inlineStr">
        <is>
          <t>R_0576</t>
        </is>
      </c>
      <c r="B579" s="49" t="n">
        <v>3.6</v>
      </c>
      <c r="C579" s="50" t="n">
        <v>1.26</v>
      </c>
      <c r="D579" s="49" t="n">
        <v>3.8</v>
      </c>
      <c r="E579" s="50" t="n">
        <v>1.14</v>
      </c>
      <c r="F579" s="49" t="n">
        <v>3.3</v>
      </c>
      <c r="G579" s="50" t="n">
        <v>0.66</v>
      </c>
      <c r="H579" s="49" t="n">
        <v>2.8</v>
      </c>
      <c r="I579" s="50" t="n">
        <v>0.42</v>
      </c>
      <c r="J579" s="50" t="n">
        <v>3.48</v>
      </c>
      <c r="K579" s="50" t="inlineStr">
        <is>
          <t>Fail</t>
        </is>
      </c>
      <c r="L579" s="51" t="n"/>
      <c r="M579" s="51" t="n"/>
      <c r="N579" s="51" t="n"/>
    </row>
    <row r="580" ht="13.5" customHeight="1" s="38">
      <c r="A580" s="73" t="inlineStr">
        <is>
          <t>R_0577</t>
        </is>
      </c>
      <c r="B580" s="49" t="n">
        <v>3.1</v>
      </c>
      <c r="C580" s="50" t="n">
        <v>1.085</v>
      </c>
      <c r="D580" s="49" t="n">
        <v>3.5</v>
      </c>
      <c r="E580" s="50" t="n">
        <v>1.05</v>
      </c>
      <c r="F580" s="49" t="n">
        <v>3.5</v>
      </c>
      <c r="G580" s="50" t="n">
        <v>0.7</v>
      </c>
      <c r="H580" s="49" t="n">
        <v>2.6</v>
      </c>
      <c r="I580" s="50" t="n">
        <v>0.39</v>
      </c>
      <c r="J580" s="50" t="n">
        <v>3.23</v>
      </c>
      <c r="K580" s="50" t="inlineStr">
        <is>
          <t>Fail</t>
        </is>
      </c>
      <c r="L580" s="51" t="n"/>
      <c r="M580" s="51" t="n"/>
      <c r="N580" s="51" t="n"/>
    </row>
    <row r="581" ht="13.5" customHeight="1" s="38">
      <c r="A581" s="73" t="inlineStr">
        <is>
          <t>R_0578</t>
        </is>
      </c>
      <c r="B581" s="49" t="n">
        <v>3.5</v>
      </c>
      <c r="C581" s="50" t="n">
        <v>1.225</v>
      </c>
      <c r="D581" s="49" t="n">
        <v>4</v>
      </c>
      <c r="E581" s="50" t="n">
        <v>1.2</v>
      </c>
      <c r="F581" s="49" t="n">
        <v>3.3</v>
      </c>
      <c r="G581" s="50" t="n">
        <v>0.66</v>
      </c>
      <c r="H581" s="49" t="n">
        <v>3</v>
      </c>
      <c r="I581" s="50" t="n">
        <v>0.45</v>
      </c>
      <c r="J581" s="50" t="n">
        <v>3.54</v>
      </c>
      <c r="K581" s="50" t="inlineStr">
        <is>
          <t>Pass</t>
        </is>
      </c>
      <c r="L581" s="51" t="n"/>
      <c r="M581" s="51" t="n"/>
      <c r="N581" s="51" t="n"/>
    </row>
    <row r="582" ht="13.5" customHeight="1" s="38">
      <c r="A582" s="73" t="inlineStr">
        <is>
          <t>R_0579</t>
        </is>
      </c>
      <c r="B582" s="49" t="n">
        <v>3.7</v>
      </c>
      <c r="C582" s="50" t="n">
        <v>1.295</v>
      </c>
      <c r="D582" s="49" t="n">
        <v>3.3</v>
      </c>
      <c r="E582" s="50" t="n">
        <v>0.99</v>
      </c>
      <c r="F582" s="49" t="n">
        <v>3.5</v>
      </c>
      <c r="G582" s="50" t="n">
        <v>0.7</v>
      </c>
      <c r="H582" s="49" t="n">
        <v>2.8</v>
      </c>
      <c r="I582" s="50" t="n">
        <v>0.42</v>
      </c>
      <c r="J582" s="50" t="n">
        <v>3.41</v>
      </c>
      <c r="K582" s="50" t="inlineStr">
        <is>
          <t>Fail</t>
        </is>
      </c>
      <c r="L582" s="51" t="n"/>
      <c r="M582" s="51" t="n"/>
      <c r="N582" s="51" t="n"/>
    </row>
    <row r="583" ht="13.5" customHeight="1" s="38">
      <c r="A583" s="73" t="inlineStr">
        <is>
          <t>R_0580</t>
        </is>
      </c>
      <c r="B583" s="49" t="n">
        <v>3.4</v>
      </c>
      <c r="C583" s="50" t="n">
        <v>1.19</v>
      </c>
      <c r="D583" s="49" t="n">
        <v>3</v>
      </c>
      <c r="E583" s="50" t="n">
        <v>0.9</v>
      </c>
      <c r="F583" s="49" t="n">
        <v>3.6</v>
      </c>
      <c r="G583" s="50" t="n">
        <v>0.72</v>
      </c>
      <c r="H583" s="49" t="n">
        <v>3</v>
      </c>
      <c r="I583" s="50" t="n">
        <v>0.45</v>
      </c>
      <c r="J583" s="50" t="n">
        <v>3.26</v>
      </c>
      <c r="K583" s="50" t="inlineStr">
        <is>
          <t>Fail</t>
        </is>
      </c>
      <c r="L583" s="51" t="n"/>
      <c r="M583" s="51" t="n"/>
      <c r="N583" s="51" t="n"/>
    </row>
    <row r="584" ht="13.5" customHeight="1" s="38">
      <c r="A584" s="73" t="inlineStr">
        <is>
          <t>R_0581</t>
        </is>
      </c>
      <c r="B584" s="49" t="n">
        <v>3.7</v>
      </c>
      <c r="C584" s="50" t="n">
        <v>1.295</v>
      </c>
      <c r="D584" s="49" t="n">
        <v>3.4</v>
      </c>
      <c r="E584" s="50" t="n">
        <v>1.02</v>
      </c>
      <c r="F584" s="49" t="n">
        <v>3.6</v>
      </c>
      <c r="G584" s="50" t="n">
        <v>0.72</v>
      </c>
      <c r="H584" s="49" t="n">
        <v>3.8</v>
      </c>
      <c r="I584" s="50" t="n">
        <v>0.57</v>
      </c>
      <c r="J584" s="50" t="n">
        <v>3.6</v>
      </c>
      <c r="K584" s="50" t="inlineStr">
        <is>
          <t>Pass</t>
        </is>
      </c>
      <c r="L584" s="51" t="n"/>
      <c r="M584" s="51" t="n"/>
      <c r="N584" s="51" t="n"/>
    </row>
    <row r="585" ht="13.5" customHeight="1" s="38">
      <c r="A585" s="73" t="inlineStr">
        <is>
          <t>R_0582</t>
        </is>
      </c>
      <c r="B585" s="49" t="n">
        <v>3.3</v>
      </c>
      <c r="C585" s="50" t="n">
        <v>1.155</v>
      </c>
      <c r="D585" s="49" t="n">
        <v>3.8</v>
      </c>
      <c r="E585" s="50" t="n">
        <v>1.14</v>
      </c>
      <c r="F585" s="49" t="n">
        <v>3.7</v>
      </c>
      <c r="G585" s="50" t="n">
        <v>0.74</v>
      </c>
      <c r="H585" s="49" t="n">
        <v>4.3</v>
      </c>
      <c r="I585" s="50" t="n">
        <v>0.645</v>
      </c>
      <c r="J585" s="50" t="n">
        <v>3.68</v>
      </c>
      <c r="K585" s="50" t="inlineStr">
        <is>
          <t>Pass</t>
        </is>
      </c>
      <c r="L585" s="51" t="n"/>
      <c r="M585" s="51" t="n"/>
      <c r="N585" s="51" t="n"/>
    </row>
    <row r="586" ht="13.5" customHeight="1" s="38">
      <c r="A586" s="73" t="inlineStr">
        <is>
          <t>R_0583</t>
        </is>
      </c>
      <c r="B586" s="49" t="n">
        <v>3.2</v>
      </c>
      <c r="C586" s="50" t="n">
        <v>1.12</v>
      </c>
      <c r="D586" s="49" t="n">
        <v>2.9</v>
      </c>
      <c r="E586" s="50" t="n">
        <v>0.87</v>
      </c>
      <c r="F586" s="49" t="n">
        <v>3.5</v>
      </c>
      <c r="G586" s="50" t="n">
        <v>0.7</v>
      </c>
      <c r="H586" s="49" t="n">
        <v>3</v>
      </c>
      <c r="I586" s="50" t="n">
        <v>0.45</v>
      </c>
      <c r="J586" s="50" t="n">
        <v>3.14</v>
      </c>
      <c r="K586" s="50" t="inlineStr">
        <is>
          <t>Fail</t>
        </is>
      </c>
      <c r="L586" s="51" t="n"/>
      <c r="M586" s="51" t="n"/>
      <c r="N586" s="51" t="n"/>
    </row>
    <row r="587" ht="13.5" customHeight="1" s="38">
      <c r="A587" s="73" t="inlineStr">
        <is>
          <t>R_0584</t>
        </is>
      </c>
      <c r="B587" s="49" t="n">
        <v>3.3</v>
      </c>
      <c r="C587" s="50" t="n">
        <v>1.155</v>
      </c>
      <c r="D587" s="49" t="n">
        <v>3.6</v>
      </c>
      <c r="E587" s="50" t="n">
        <v>1.08</v>
      </c>
      <c r="F587" s="49" t="n">
        <v>3.7</v>
      </c>
      <c r="G587" s="50" t="n">
        <v>0.74</v>
      </c>
      <c r="H587" s="49" t="n">
        <v>3.3</v>
      </c>
      <c r="I587" s="50" t="n">
        <v>0.495</v>
      </c>
      <c r="J587" s="50" t="n">
        <v>3.47</v>
      </c>
      <c r="K587" s="50" t="inlineStr">
        <is>
          <t>Fail</t>
        </is>
      </c>
      <c r="L587" s="51" t="n"/>
      <c r="M587" s="51" t="n"/>
      <c r="N587" s="51" t="n"/>
    </row>
    <row r="588" ht="13.5" customHeight="1" s="38">
      <c r="A588" s="73" t="inlineStr">
        <is>
          <t>R_0585</t>
        </is>
      </c>
      <c r="B588" s="49" t="n">
        <v>3.5</v>
      </c>
      <c r="C588" s="50" t="n">
        <v>1.225</v>
      </c>
      <c r="D588" s="49" t="n">
        <v>3.7</v>
      </c>
      <c r="E588" s="50" t="n">
        <v>1.11</v>
      </c>
      <c r="F588" s="49" t="n">
        <v>3.7</v>
      </c>
      <c r="G588" s="50" t="n">
        <v>0.74</v>
      </c>
      <c r="H588" s="49" t="n">
        <v>3.3</v>
      </c>
      <c r="I588" s="50" t="n">
        <v>0.495</v>
      </c>
      <c r="J588" s="50" t="n">
        <v>3.57</v>
      </c>
      <c r="K588" s="50" t="inlineStr">
        <is>
          <t>Pass</t>
        </is>
      </c>
      <c r="L588" s="51" t="n"/>
      <c r="M588" s="51" t="n"/>
      <c r="N588" s="51" t="n"/>
    </row>
    <row r="589" ht="13.5" customHeight="1" s="38">
      <c r="A589" s="73" t="inlineStr">
        <is>
          <t>R_0586</t>
        </is>
      </c>
      <c r="B589" s="49" t="n">
        <v>3.6</v>
      </c>
      <c r="C589" s="50" t="n">
        <v>1.26</v>
      </c>
      <c r="D589" s="49" t="n">
        <v>4</v>
      </c>
      <c r="E589" s="50" t="n">
        <v>1.2</v>
      </c>
      <c r="F589" s="49" t="n">
        <v>3.3</v>
      </c>
      <c r="G589" s="50" t="n">
        <v>0.66</v>
      </c>
      <c r="H589" s="49" t="n">
        <v>3</v>
      </c>
      <c r="I589" s="50" t="n">
        <v>0.45</v>
      </c>
      <c r="J589" s="50" t="n">
        <v>3.57</v>
      </c>
      <c r="K589" s="50" t="inlineStr">
        <is>
          <t>Pass</t>
        </is>
      </c>
      <c r="L589" s="51" t="n"/>
      <c r="M589" s="51" t="n"/>
      <c r="N589" s="51" t="n"/>
    </row>
    <row r="590" ht="13.5" customHeight="1" s="38">
      <c r="A590" s="73" t="inlineStr">
        <is>
          <t>R_0587</t>
        </is>
      </c>
      <c r="B590" s="49" t="n">
        <v>3.7</v>
      </c>
      <c r="C590" s="50" t="n">
        <v>1.295</v>
      </c>
      <c r="D590" s="49" t="n">
        <v>3.2</v>
      </c>
      <c r="E590" s="50" t="n">
        <v>0.96</v>
      </c>
      <c r="F590" s="49" t="n">
        <v>3.7</v>
      </c>
      <c r="G590" s="50" t="n">
        <v>0.74</v>
      </c>
      <c r="H590" s="49" t="n">
        <v>3.6</v>
      </c>
      <c r="I590" s="50" t="n">
        <v>0.54</v>
      </c>
      <c r="J590" s="50" t="n">
        <v>3.54</v>
      </c>
      <c r="K590" s="50" t="inlineStr">
        <is>
          <t>Pass</t>
        </is>
      </c>
      <c r="L590" s="51" t="n"/>
      <c r="M590" s="51" t="n"/>
      <c r="N590" s="51" t="n"/>
    </row>
    <row r="591" ht="13.5" customHeight="1" s="38">
      <c r="A591" s="73" t="inlineStr">
        <is>
          <t>R_0588</t>
        </is>
      </c>
      <c r="B591" s="49" t="n">
        <v>3.3</v>
      </c>
      <c r="C591" s="50" t="n">
        <v>1.155</v>
      </c>
      <c r="D591" s="49" t="n">
        <v>2.9</v>
      </c>
      <c r="E591" s="50" t="n">
        <v>0.87</v>
      </c>
      <c r="F591" s="49" t="n">
        <v>3.6</v>
      </c>
      <c r="G591" s="50" t="n">
        <v>0.72</v>
      </c>
      <c r="H591" s="49" t="n">
        <v>2.8</v>
      </c>
      <c r="I591" s="50" t="n">
        <v>0.42</v>
      </c>
      <c r="J591" s="50" t="n">
        <v>3.17</v>
      </c>
      <c r="K591" s="50" t="inlineStr">
        <is>
          <t>Fail</t>
        </is>
      </c>
      <c r="L591" s="51" t="n"/>
      <c r="M591" s="51" t="n"/>
      <c r="N591" s="51" t="n"/>
    </row>
    <row r="592" ht="13.5" customHeight="1" s="38">
      <c r="A592" s="73" t="inlineStr">
        <is>
          <t>R_0589</t>
        </is>
      </c>
      <c r="B592" s="49" t="n">
        <v>3.3</v>
      </c>
      <c r="C592" s="50" t="n">
        <v>1.155</v>
      </c>
      <c r="D592" s="49" t="n">
        <v>3.1</v>
      </c>
      <c r="E592" s="50" t="n">
        <v>0.93</v>
      </c>
      <c r="F592" s="49" t="n">
        <v>3.6</v>
      </c>
      <c r="G592" s="50" t="n">
        <v>0.72</v>
      </c>
      <c r="H592" s="49" t="n">
        <v>3.3</v>
      </c>
      <c r="I592" s="50" t="n">
        <v>0.495</v>
      </c>
      <c r="J592" s="50" t="n">
        <v>3.3</v>
      </c>
      <c r="K592" s="50" t="inlineStr">
        <is>
          <t>Fail</t>
        </is>
      </c>
      <c r="L592" s="51" t="n"/>
      <c r="M592" s="51" t="n"/>
      <c r="N592" s="51" t="n"/>
    </row>
    <row r="593" ht="13.5" customHeight="1" s="38">
      <c r="A593" s="73" t="inlineStr">
        <is>
          <t>R_0590</t>
        </is>
      </c>
      <c r="B593" s="49" t="n">
        <v>3.7</v>
      </c>
      <c r="C593" s="50" t="n">
        <v>1.295</v>
      </c>
      <c r="D593" s="49" t="n">
        <v>3.7</v>
      </c>
      <c r="E593" s="50" t="n">
        <v>1.11</v>
      </c>
      <c r="F593" s="49" t="n">
        <v>3.1</v>
      </c>
      <c r="G593" s="50" t="n">
        <v>0.62</v>
      </c>
      <c r="H593" s="49" t="n">
        <v>3</v>
      </c>
      <c r="I593" s="50" t="n">
        <v>0.45</v>
      </c>
      <c r="J593" s="50" t="n">
        <v>3.48</v>
      </c>
      <c r="K593" s="50" t="inlineStr">
        <is>
          <t>Fail</t>
        </is>
      </c>
      <c r="L593" s="51" t="n"/>
      <c r="M593" s="51" t="n"/>
      <c r="N593" s="51" t="n"/>
    </row>
    <row r="594" ht="13.5" customHeight="1" s="38">
      <c r="A594" s="73" t="inlineStr">
        <is>
          <t>R_0591</t>
        </is>
      </c>
      <c r="B594" s="49" t="n">
        <v>3.8</v>
      </c>
      <c r="C594" s="50" t="n">
        <v>1.33</v>
      </c>
      <c r="D594" s="49" t="n">
        <v>3.9</v>
      </c>
      <c r="E594" s="50" t="n">
        <v>1.17</v>
      </c>
      <c r="F594" s="49" t="n">
        <v>3.7</v>
      </c>
      <c r="G594" s="50" t="n">
        <v>0.74</v>
      </c>
      <c r="H594" s="49" t="n">
        <v>3.3</v>
      </c>
      <c r="I594" s="50" t="n">
        <v>0.495</v>
      </c>
      <c r="J594" s="50" t="n">
        <v>3.74</v>
      </c>
      <c r="K594" s="50" t="inlineStr">
        <is>
          <t>Pass</t>
        </is>
      </c>
      <c r="L594" s="51" t="n"/>
      <c r="M594" s="51" t="n"/>
      <c r="N594" s="51" t="n"/>
    </row>
    <row r="595" ht="13.5" customHeight="1" s="38">
      <c r="A595" s="73" t="inlineStr">
        <is>
          <t>R_0592</t>
        </is>
      </c>
      <c r="B595" s="49" t="n">
        <v>3.5</v>
      </c>
      <c r="C595" s="50" t="n">
        <v>1.225</v>
      </c>
      <c r="D595" s="49" t="n">
        <v>4</v>
      </c>
      <c r="E595" s="50" t="n">
        <v>1.2</v>
      </c>
      <c r="F595" s="49" t="n">
        <v>3.7</v>
      </c>
      <c r="G595" s="50" t="n">
        <v>0.74</v>
      </c>
      <c r="H595" s="49" t="n">
        <v>4.2</v>
      </c>
      <c r="I595" s="50" t="n">
        <v>0.63</v>
      </c>
      <c r="J595" s="50" t="n">
        <v>3.79</v>
      </c>
      <c r="K595" s="50" t="inlineStr">
        <is>
          <t>Pass</t>
        </is>
      </c>
      <c r="L595" s="51" t="n"/>
      <c r="M595" s="51" t="n"/>
      <c r="N595" s="51" t="n"/>
    </row>
    <row r="596" ht="13.5" customHeight="1" s="38">
      <c r="A596" s="73" t="inlineStr">
        <is>
          <t>R_0593</t>
        </is>
      </c>
      <c r="B596" s="49" t="n">
        <v>3.3</v>
      </c>
      <c r="C596" s="50" t="n">
        <v>1.155</v>
      </c>
      <c r="D596" s="49" t="n">
        <v>3.8</v>
      </c>
      <c r="E596" s="50" t="n">
        <v>1.14</v>
      </c>
      <c r="F596" s="49" t="n">
        <v>3.7</v>
      </c>
      <c r="G596" s="50" t="n">
        <v>0.74</v>
      </c>
      <c r="H596" s="49" t="n">
        <v>3.3</v>
      </c>
      <c r="I596" s="50" t="n">
        <v>0.495</v>
      </c>
      <c r="J596" s="50" t="n">
        <v>3.53</v>
      </c>
      <c r="K596" s="50" t="inlineStr">
        <is>
          <t>Pass</t>
        </is>
      </c>
      <c r="L596" s="51" t="n"/>
      <c r="M596" s="51" t="n"/>
      <c r="N596" s="51" t="n"/>
    </row>
    <row r="597" ht="13.5" customHeight="1" s="38">
      <c r="A597" s="73" t="inlineStr">
        <is>
          <t>R_0594</t>
        </is>
      </c>
      <c r="B597" s="49" t="n">
        <v>3.4</v>
      </c>
      <c r="C597" s="50" t="n">
        <v>1.19</v>
      </c>
      <c r="D597" s="49" t="n">
        <v>3.2</v>
      </c>
      <c r="E597" s="50" t="n">
        <v>0.96</v>
      </c>
      <c r="F597" s="49" t="n">
        <v>3.6</v>
      </c>
      <c r="G597" s="50" t="n">
        <v>0.72</v>
      </c>
      <c r="H597" s="49" t="n">
        <v>2.8</v>
      </c>
      <c r="I597" s="50" t="n">
        <v>0.42</v>
      </c>
      <c r="J597" s="50" t="n">
        <v>3.29</v>
      </c>
      <c r="K597" s="50" t="inlineStr">
        <is>
          <t>Fail</t>
        </is>
      </c>
      <c r="L597" s="51" t="n"/>
      <c r="M597" s="51" t="n"/>
      <c r="N597" s="51" t="n"/>
    </row>
    <row r="598" ht="13.5" customHeight="1" s="38">
      <c r="A598" s="73" t="inlineStr">
        <is>
          <t>R_0595</t>
        </is>
      </c>
      <c r="B598" s="49" t="n">
        <v>3.5</v>
      </c>
      <c r="C598" s="50" t="n">
        <v>1.225</v>
      </c>
      <c r="D598" s="49" t="n">
        <v>3.1</v>
      </c>
      <c r="E598" s="50" t="n">
        <v>0.93</v>
      </c>
      <c r="F598" s="49" t="n">
        <v>3.7</v>
      </c>
      <c r="G598" s="50" t="n">
        <v>0.74</v>
      </c>
      <c r="H598" s="49" t="n">
        <v>3.4</v>
      </c>
      <c r="I598" s="50" t="n">
        <v>0.51</v>
      </c>
      <c r="J598" s="50" t="n">
        <v>3.41</v>
      </c>
      <c r="K598" s="50" t="inlineStr">
        <is>
          <t>Fail</t>
        </is>
      </c>
      <c r="L598" s="51" t="n"/>
      <c r="M598" s="51" t="n"/>
      <c r="N598" s="51" t="n"/>
    </row>
    <row r="599" ht="13.5" customHeight="1" s="38">
      <c r="A599" s="73" t="inlineStr">
        <is>
          <t>R_0596</t>
        </is>
      </c>
      <c r="B599" s="49" t="n">
        <v>3.5</v>
      </c>
      <c r="C599" s="50" t="n">
        <v>1.225</v>
      </c>
      <c r="D599" s="49" t="n">
        <v>3</v>
      </c>
      <c r="E599" s="50" t="n">
        <v>0.9</v>
      </c>
      <c r="F599" s="49" t="n">
        <v>3.6</v>
      </c>
      <c r="G599" s="50" t="n">
        <v>0.72</v>
      </c>
      <c r="H599" s="49" t="n">
        <v>3</v>
      </c>
      <c r="I599" s="50" t="n">
        <v>0.45</v>
      </c>
      <c r="J599" s="50" t="n">
        <v>3.29</v>
      </c>
      <c r="K599" s="50" t="inlineStr">
        <is>
          <t>Fail</t>
        </is>
      </c>
      <c r="L599" s="51" t="n"/>
      <c r="M599" s="51" t="n"/>
      <c r="N599" s="51" t="n"/>
    </row>
    <row r="600" ht="13.5" customHeight="1" s="38">
      <c r="A600" s="73" t="inlineStr">
        <is>
          <t>R_0597</t>
        </is>
      </c>
      <c r="B600" s="49" t="n">
        <v>3.9</v>
      </c>
      <c r="C600" s="50" t="n">
        <v>1.365</v>
      </c>
      <c r="D600" s="49" t="n">
        <v>3.3</v>
      </c>
      <c r="E600" s="50" t="n">
        <v>0.99</v>
      </c>
      <c r="F600" s="49" t="n">
        <v>3.4</v>
      </c>
      <c r="G600" s="50" t="n">
        <v>0.68</v>
      </c>
      <c r="H600" s="49" t="n">
        <v>3</v>
      </c>
      <c r="I600" s="50" t="n">
        <v>0.45</v>
      </c>
      <c r="J600" s="50" t="n">
        <v>3.49</v>
      </c>
      <c r="K600" s="50" t="inlineStr">
        <is>
          <t>Fail</t>
        </is>
      </c>
      <c r="L600" s="51" t="n"/>
      <c r="M600" s="51" t="n"/>
      <c r="N600" s="51" t="n"/>
    </row>
    <row r="601" ht="13.5" customHeight="1" s="38">
      <c r="A601" s="73" t="inlineStr">
        <is>
          <t>R_0598</t>
        </is>
      </c>
      <c r="B601" s="49" t="n">
        <v>3.5</v>
      </c>
      <c r="C601" s="50" t="n">
        <v>1.225</v>
      </c>
      <c r="D601" s="49" t="n">
        <v>2.9</v>
      </c>
      <c r="E601" s="50" t="n">
        <v>0.87</v>
      </c>
      <c r="F601" s="49" t="n">
        <v>3.7</v>
      </c>
      <c r="G601" s="50" t="n">
        <v>0.74</v>
      </c>
      <c r="H601" s="49" t="n">
        <v>3.8</v>
      </c>
      <c r="I601" s="50" t="n">
        <v>0.57</v>
      </c>
      <c r="J601" s="50" t="n">
        <v>3.4</v>
      </c>
      <c r="K601" s="50" t="inlineStr">
        <is>
          <t>Fail</t>
        </is>
      </c>
      <c r="L601" s="51" t="n"/>
      <c r="M601" s="51" t="n"/>
      <c r="N601" s="51" t="n"/>
    </row>
    <row r="602" ht="13.5" customHeight="1" s="38">
      <c r="A602" s="73" t="inlineStr">
        <is>
          <t>R_0599</t>
        </is>
      </c>
      <c r="B602" s="49" t="n">
        <v>3.7</v>
      </c>
      <c r="C602" s="50" t="n">
        <v>1.295</v>
      </c>
      <c r="D602" s="49" t="n">
        <v>2.9</v>
      </c>
      <c r="E602" s="50" t="n">
        <v>0.87</v>
      </c>
      <c r="F602" s="49" t="n">
        <v>3.7</v>
      </c>
      <c r="G602" s="50" t="n">
        <v>0.74</v>
      </c>
      <c r="H602" s="49" t="n">
        <v>3.8</v>
      </c>
      <c r="I602" s="50" t="n">
        <v>0.57</v>
      </c>
      <c r="J602" s="50" t="n">
        <v>3.48</v>
      </c>
      <c r="K602" s="50" t="inlineStr">
        <is>
          <t>Fail</t>
        </is>
      </c>
      <c r="L602" s="51" t="n"/>
      <c r="M602" s="51" t="n"/>
      <c r="N602" s="51" t="n"/>
    </row>
    <row r="603" ht="13.5" customHeight="1" s="38">
      <c r="A603" s="73" t="inlineStr">
        <is>
          <t>R_0600</t>
        </is>
      </c>
      <c r="B603" s="49" t="n">
        <v>3.1</v>
      </c>
      <c r="C603" s="50" t="n">
        <v>1.085</v>
      </c>
      <c r="D603" s="49" t="n">
        <v>3.7</v>
      </c>
      <c r="E603" s="50" t="n">
        <v>1.11</v>
      </c>
      <c r="F603" s="49" t="n">
        <v>3.7</v>
      </c>
      <c r="G603" s="50" t="n">
        <v>0.74</v>
      </c>
      <c r="H603" s="49" t="n">
        <v>3.9</v>
      </c>
      <c r="I603" s="50" t="n">
        <v>0.585</v>
      </c>
      <c r="J603" s="50" t="n">
        <v>3.52</v>
      </c>
      <c r="K603" s="50" t="inlineStr">
        <is>
          <t>Pass</t>
        </is>
      </c>
      <c r="L603" s="51" t="n"/>
      <c r="M603" s="51" t="n"/>
      <c r="N603" s="51" t="n"/>
    </row>
    <row r="604" ht="13.5" customHeight="1" s="38">
      <c r="A604" s="73" t="inlineStr">
        <is>
          <t>R_0601</t>
        </is>
      </c>
      <c r="B604" s="49" t="n">
        <v>3.6</v>
      </c>
      <c r="C604" s="50" t="n">
        <v>1.26</v>
      </c>
      <c r="D604" s="49" t="n">
        <v>2.9</v>
      </c>
      <c r="E604" s="50" t="n">
        <v>0.87</v>
      </c>
      <c r="F604" s="49" t="n">
        <v>3.7</v>
      </c>
      <c r="G604" s="50" t="n">
        <v>0.74</v>
      </c>
      <c r="H604" s="49" t="n">
        <v>3.6</v>
      </c>
      <c r="I604" s="50" t="n">
        <v>0.54</v>
      </c>
      <c r="J604" s="50" t="n">
        <v>3.41</v>
      </c>
      <c r="K604" s="50" t="inlineStr">
        <is>
          <t>Fail</t>
        </is>
      </c>
      <c r="L604" s="51" t="n"/>
      <c r="M604" s="51" t="n"/>
      <c r="N604" s="51" t="n"/>
    </row>
    <row r="605" ht="13.5" customHeight="1" s="38">
      <c r="A605" s="73" t="inlineStr">
        <is>
          <t>R_0602</t>
        </is>
      </c>
      <c r="B605" s="49" t="n">
        <v>3.4</v>
      </c>
      <c r="C605" s="50" t="n">
        <v>1.19</v>
      </c>
      <c r="D605" s="49" t="n">
        <v>3.8</v>
      </c>
      <c r="E605" s="50" t="n">
        <v>1.14</v>
      </c>
      <c r="F605" s="49" t="n">
        <v>3.5</v>
      </c>
      <c r="G605" s="50" t="n">
        <v>0.7</v>
      </c>
      <c r="H605" s="49" t="n">
        <v>3</v>
      </c>
      <c r="I605" s="50" t="n">
        <v>0.45</v>
      </c>
      <c r="J605" s="50" t="n">
        <v>3.48</v>
      </c>
      <c r="K605" s="50" t="inlineStr">
        <is>
          <t>Fail</t>
        </is>
      </c>
      <c r="L605" s="51" t="n"/>
      <c r="M605" s="51" t="n"/>
      <c r="N605" s="51" t="n"/>
    </row>
    <row r="606" ht="13.5" customHeight="1" s="38">
      <c r="A606" s="73" t="inlineStr">
        <is>
          <t>R_0603</t>
        </is>
      </c>
      <c r="B606" s="49" t="n">
        <v>3.2</v>
      </c>
      <c r="C606" s="50" t="n">
        <v>1.12</v>
      </c>
      <c r="D606" s="49" t="n">
        <v>3.9</v>
      </c>
      <c r="E606" s="50" t="n">
        <v>1.17</v>
      </c>
      <c r="F606" s="49" t="n">
        <v>3.8</v>
      </c>
      <c r="G606" s="50" t="n">
        <v>0.76</v>
      </c>
      <c r="H606" s="49" t="n">
        <v>3.3</v>
      </c>
      <c r="I606" s="50" t="n">
        <v>0.495</v>
      </c>
      <c r="J606" s="50" t="n">
        <v>3.54</v>
      </c>
      <c r="K606" s="50" t="inlineStr">
        <is>
          <t>Pass</t>
        </is>
      </c>
      <c r="L606" s="51" t="n"/>
      <c r="M606" s="51" t="n"/>
      <c r="N606" s="51" t="n"/>
    </row>
    <row r="607" ht="13.5" customHeight="1" s="38">
      <c r="A607" s="73" t="inlineStr">
        <is>
          <t>R_0604</t>
        </is>
      </c>
      <c r="B607" s="49" t="n">
        <v>3.4</v>
      </c>
      <c r="C607" s="50" t="n">
        <v>1.19</v>
      </c>
      <c r="D607" s="49" t="n">
        <v>3.6</v>
      </c>
      <c r="E607" s="50" t="n">
        <v>1.08</v>
      </c>
      <c r="F607" s="49" t="n">
        <v>3.8</v>
      </c>
      <c r="G607" s="50" t="n">
        <v>0.76</v>
      </c>
      <c r="H607" s="49" t="n">
        <v>4.6</v>
      </c>
      <c r="I607" s="50" t="n">
        <v>0.6899999999999999</v>
      </c>
      <c r="J607" s="50" t="n">
        <v>3.72</v>
      </c>
      <c r="K607" s="50" t="inlineStr">
        <is>
          <t>Pass</t>
        </is>
      </c>
      <c r="L607" s="51" t="n"/>
      <c r="M607" s="51" t="n"/>
      <c r="N607" s="51" t="n"/>
    </row>
    <row r="608" ht="13.5" customHeight="1" s="38">
      <c r="A608" s="73" t="inlineStr">
        <is>
          <t>R_0605</t>
        </is>
      </c>
      <c r="B608" s="49" t="n">
        <v>3.3</v>
      </c>
      <c r="C608" s="50" t="n">
        <v>1.155</v>
      </c>
      <c r="D608" s="49" t="n">
        <v>3.6</v>
      </c>
      <c r="E608" s="50" t="n">
        <v>1.08</v>
      </c>
      <c r="F608" s="49" t="n">
        <v>3.8</v>
      </c>
      <c r="G608" s="50" t="n">
        <v>0.76</v>
      </c>
      <c r="H608" s="49" t="n">
        <v>4.5</v>
      </c>
      <c r="I608" s="50" t="n">
        <v>0.675</v>
      </c>
      <c r="J608" s="50" t="n">
        <v>3.67</v>
      </c>
      <c r="K608" s="50" t="inlineStr">
        <is>
          <t>Pass</t>
        </is>
      </c>
      <c r="L608" s="51" t="n"/>
      <c r="M608" s="51" t="n"/>
      <c r="N608" s="51" t="n"/>
    </row>
    <row r="609" ht="13.5" customHeight="1" s="38">
      <c r="A609" s="73" t="inlineStr">
        <is>
          <t>R_0606</t>
        </is>
      </c>
      <c r="B609" s="49" t="n">
        <v>3.4</v>
      </c>
      <c r="C609" s="50" t="n">
        <v>1.19</v>
      </c>
      <c r="D609" s="49" t="n">
        <v>2.9</v>
      </c>
      <c r="E609" s="50" t="n">
        <v>0.87</v>
      </c>
      <c r="F609" s="49" t="n">
        <v>3.8</v>
      </c>
      <c r="G609" s="50" t="n">
        <v>0.76</v>
      </c>
      <c r="H609" s="49" t="n">
        <v>2.6</v>
      </c>
      <c r="I609" s="50" t="n">
        <v>0.39</v>
      </c>
      <c r="J609" s="50" t="n">
        <v>3.21</v>
      </c>
      <c r="K609" s="50" t="inlineStr">
        <is>
          <t>Fail</t>
        </is>
      </c>
      <c r="L609" s="51" t="n"/>
      <c r="M609" s="51" t="n"/>
      <c r="N609" s="51" t="n"/>
    </row>
    <row r="610" ht="13.5" customHeight="1" s="38">
      <c r="A610" s="73" t="inlineStr">
        <is>
          <t>R_0607</t>
        </is>
      </c>
      <c r="B610" s="49" t="n">
        <v>2.8</v>
      </c>
      <c r="C610" s="50" t="n">
        <v>0.98</v>
      </c>
      <c r="D610" s="49" t="n">
        <v>2.9</v>
      </c>
      <c r="E610" s="50" t="n">
        <v>0.87</v>
      </c>
      <c r="F610" s="49" t="n">
        <v>3.5</v>
      </c>
      <c r="G610" s="50" t="n">
        <v>0.7</v>
      </c>
      <c r="H610" s="49" t="n">
        <v>3.7</v>
      </c>
      <c r="I610" s="50" t="n">
        <v>0.555</v>
      </c>
      <c r="J610" s="50" t="n">
        <v>3.1</v>
      </c>
      <c r="K610" s="50" t="inlineStr">
        <is>
          <t>Fail</t>
        </is>
      </c>
      <c r="L610" s="51" t="n"/>
      <c r="M610" s="51" t="n"/>
      <c r="N610" s="51" t="n"/>
    </row>
    <row r="611" ht="13.5" customHeight="1" s="38">
      <c r="A611" s="73" t="inlineStr">
        <is>
          <t>R_0608</t>
        </is>
      </c>
      <c r="B611" s="49" t="n">
        <v>3.2</v>
      </c>
      <c r="C611" s="50" t="n">
        <v>1.12</v>
      </c>
      <c r="D611" s="49" t="n">
        <v>3.9</v>
      </c>
      <c r="E611" s="50" t="n">
        <v>1.17</v>
      </c>
      <c r="F611" s="49" t="n">
        <v>3.3</v>
      </c>
      <c r="G611" s="50" t="n">
        <v>0.66</v>
      </c>
      <c r="H611" s="49" t="n">
        <v>2.8</v>
      </c>
      <c r="I611" s="50" t="n">
        <v>0.42</v>
      </c>
      <c r="J611" s="50" t="n">
        <v>3.37</v>
      </c>
      <c r="K611" s="50" t="inlineStr">
        <is>
          <t>Fail</t>
        </is>
      </c>
      <c r="L611" s="51" t="n"/>
      <c r="M611" s="51" t="n"/>
      <c r="N611" s="51" t="n"/>
    </row>
    <row r="612" ht="13.5" customHeight="1" s="38">
      <c r="A612" s="73" t="inlineStr">
        <is>
          <t>R_0609</t>
        </is>
      </c>
      <c r="B612" s="49" t="n">
        <v>3.3</v>
      </c>
      <c r="C612" s="50" t="n">
        <v>1.155</v>
      </c>
      <c r="D612" s="49" t="n">
        <v>3.8</v>
      </c>
      <c r="E612" s="50" t="n">
        <v>1.14</v>
      </c>
      <c r="F612" s="49" t="n">
        <v>3.8</v>
      </c>
      <c r="G612" s="50" t="n">
        <v>0.76</v>
      </c>
      <c r="H612" s="49" t="n">
        <v>3.3</v>
      </c>
      <c r="I612" s="50" t="n">
        <v>0.495</v>
      </c>
      <c r="J612" s="50" t="n">
        <v>3.55</v>
      </c>
      <c r="K612" s="50" t="inlineStr">
        <is>
          <t>Pass</t>
        </is>
      </c>
      <c r="L612" s="51" t="n"/>
      <c r="M612" s="51" t="n"/>
      <c r="N612" s="51" t="n"/>
    </row>
    <row r="613" ht="13.5" customHeight="1" s="38">
      <c r="A613" s="73" t="inlineStr">
        <is>
          <t>R_0610</t>
        </is>
      </c>
      <c r="B613" s="49" t="n">
        <v>3.2</v>
      </c>
      <c r="C613" s="50" t="n">
        <v>1.12</v>
      </c>
      <c r="D613" s="49" t="n">
        <v>3.9</v>
      </c>
      <c r="E613" s="50" t="n">
        <v>1.17</v>
      </c>
      <c r="F613" s="49" t="n">
        <v>3.8</v>
      </c>
      <c r="G613" s="50" t="n">
        <v>0.76</v>
      </c>
      <c r="H613" s="49" t="n">
        <v>3.3</v>
      </c>
      <c r="I613" s="50" t="n">
        <v>0.495</v>
      </c>
      <c r="J613" s="50" t="n">
        <v>3.54</v>
      </c>
      <c r="K613" s="50" t="inlineStr">
        <is>
          <t>Pass</t>
        </is>
      </c>
      <c r="L613" s="51" t="n"/>
      <c r="M613" s="51" t="n"/>
      <c r="N613" s="51" t="n"/>
    </row>
    <row r="614" ht="13.5" customHeight="1" s="38">
      <c r="A614" s="73" t="inlineStr">
        <is>
          <t>R_0611</t>
        </is>
      </c>
      <c r="B614" s="49" t="n">
        <v>3.4</v>
      </c>
      <c r="C614" s="50" t="n">
        <v>1.19</v>
      </c>
      <c r="D614" s="49" t="n">
        <v>3.9</v>
      </c>
      <c r="E614" s="50" t="n">
        <v>1.17</v>
      </c>
      <c r="F614" s="49" t="n">
        <v>3.8</v>
      </c>
      <c r="G614" s="50" t="n">
        <v>0.76</v>
      </c>
      <c r="H614" s="49" t="n">
        <v>4.7</v>
      </c>
      <c r="I614" s="50" t="n">
        <v>0.705</v>
      </c>
      <c r="J614" s="50" t="n">
        <v>3.83</v>
      </c>
      <c r="K614" s="50" t="inlineStr">
        <is>
          <t>Pass</t>
        </is>
      </c>
      <c r="L614" s="51" t="n"/>
      <c r="M614" s="51" t="n"/>
      <c r="N614" s="51" t="n"/>
    </row>
    <row r="615" ht="13.5" customHeight="1" s="38">
      <c r="A615" s="73" t="inlineStr">
        <is>
          <t>R_0612</t>
        </is>
      </c>
      <c r="B615" s="49" t="n">
        <v>3.5</v>
      </c>
      <c r="C615" s="50" t="n">
        <v>1.225</v>
      </c>
      <c r="D615" s="49" t="n">
        <v>3</v>
      </c>
      <c r="E615" s="50" t="n">
        <v>0.9</v>
      </c>
      <c r="F615" s="49" t="n">
        <v>3.5</v>
      </c>
      <c r="G615" s="50" t="n">
        <v>0.7</v>
      </c>
      <c r="H615" s="49" t="n">
        <v>3</v>
      </c>
      <c r="I615" s="50" t="n">
        <v>0.45</v>
      </c>
      <c r="J615" s="50" t="n">
        <v>3.28</v>
      </c>
      <c r="K615" s="50" t="inlineStr">
        <is>
          <t>Fail</t>
        </is>
      </c>
      <c r="L615" s="51" t="n"/>
      <c r="M615" s="51" t="n"/>
      <c r="N615" s="51" t="n"/>
    </row>
    <row r="616" ht="13.5" customHeight="1" s="38">
      <c r="A616" s="73" t="inlineStr">
        <is>
          <t>R_0613</t>
        </is>
      </c>
      <c r="B616" s="49" t="n">
        <v>3.6</v>
      </c>
      <c r="C616" s="50" t="n">
        <v>1.26</v>
      </c>
      <c r="D616" s="49" t="n">
        <v>3.4</v>
      </c>
      <c r="E616" s="50" t="n">
        <v>1.02</v>
      </c>
      <c r="F616" s="49" t="n">
        <v>3.7</v>
      </c>
      <c r="G616" s="50" t="n">
        <v>0.74</v>
      </c>
      <c r="H616" s="49" t="n">
        <v>3.8</v>
      </c>
      <c r="I616" s="50" t="n">
        <v>0.57</v>
      </c>
      <c r="J616" s="50" t="n">
        <v>3.59</v>
      </c>
      <c r="K616" s="50" t="inlineStr">
        <is>
          <t>Pass</t>
        </is>
      </c>
      <c r="L616" s="51" t="n"/>
      <c r="M616" s="51" t="n"/>
      <c r="N616" s="51" t="n"/>
    </row>
    <row r="617" ht="13.5" customHeight="1" s="38">
      <c r="A617" s="73" t="inlineStr">
        <is>
          <t>R_0614</t>
        </is>
      </c>
      <c r="B617" s="49" t="n">
        <v>3.2</v>
      </c>
      <c r="C617" s="50" t="n">
        <v>1.12</v>
      </c>
      <c r="D617" s="49" t="n">
        <v>3.7</v>
      </c>
      <c r="E617" s="50" t="n">
        <v>1.11</v>
      </c>
      <c r="F617" s="49" t="n">
        <v>3.8</v>
      </c>
      <c r="G617" s="50" t="n">
        <v>0.76</v>
      </c>
      <c r="H617" s="49" t="n">
        <v>3.3</v>
      </c>
      <c r="I617" s="50" t="n">
        <v>0.495</v>
      </c>
      <c r="J617" s="50" t="n">
        <v>3.49</v>
      </c>
      <c r="K617" s="50" t="inlineStr">
        <is>
          <t>Fail</t>
        </is>
      </c>
      <c r="L617" s="51" t="n"/>
      <c r="M617" s="51" t="n"/>
      <c r="N617" s="51" t="n"/>
    </row>
    <row r="618" ht="13.5" customHeight="1" s="38">
      <c r="A618" s="73" t="inlineStr">
        <is>
          <t>R_0615</t>
        </is>
      </c>
      <c r="B618" s="49" t="n">
        <v>3.6</v>
      </c>
      <c r="C618" s="50" t="n">
        <v>1.26</v>
      </c>
      <c r="D618" s="49" t="n">
        <v>3.9</v>
      </c>
      <c r="E618" s="50" t="n">
        <v>1.17</v>
      </c>
      <c r="F618" s="49" t="n">
        <v>3.3</v>
      </c>
      <c r="G618" s="50" t="n">
        <v>0.66</v>
      </c>
      <c r="H618" s="49" t="n">
        <v>3</v>
      </c>
      <c r="I618" s="50" t="n">
        <v>0.45</v>
      </c>
      <c r="J618" s="50" t="n">
        <v>3.54</v>
      </c>
      <c r="K618" s="50" t="inlineStr">
        <is>
          <t>Pass</t>
        </is>
      </c>
      <c r="L618" s="51" t="n"/>
      <c r="M618" s="51" t="n"/>
      <c r="N618" s="51" t="n"/>
    </row>
    <row r="619" ht="13.5" customHeight="1" s="38">
      <c r="A619" s="73" t="inlineStr">
        <is>
          <t>R_0616</t>
        </is>
      </c>
      <c r="B619" s="49" t="n">
        <v>3.5</v>
      </c>
      <c r="C619" s="50" t="n">
        <v>1.225</v>
      </c>
      <c r="D619" s="49" t="n">
        <v>3.2</v>
      </c>
      <c r="E619" s="50" t="n">
        <v>0.96</v>
      </c>
      <c r="F619" s="49" t="n">
        <v>3.5</v>
      </c>
      <c r="G619" s="50" t="n">
        <v>0.7</v>
      </c>
      <c r="H619" s="49" t="n">
        <v>3</v>
      </c>
      <c r="I619" s="50" t="n">
        <v>0.45</v>
      </c>
      <c r="J619" s="50" t="n">
        <v>3.33</v>
      </c>
      <c r="K619" s="50" t="inlineStr">
        <is>
          <t>Fail</t>
        </is>
      </c>
      <c r="L619" s="51" t="n"/>
      <c r="M619" s="51" t="n"/>
      <c r="N619" s="51" t="n"/>
    </row>
    <row r="620" ht="13.5" customHeight="1" s="38">
      <c r="A620" s="73" t="inlineStr">
        <is>
          <t>R_0617</t>
        </is>
      </c>
      <c r="B620" s="49" t="n">
        <v>3.4</v>
      </c>
      <c r="C620" s="50" t="n">
        <v>1.19</v>
      </c>
      <c r="D620" s="49" t="n">
        <v>3.6</v>
      </c>
      <c r="E620" s="50" t="n">
        <v>1.08</v>
      </c>
      <c r="F620" s="49" t="n">
        <v>3.8</v>
      </c>
      <c r="G620" s="50" t="n">
        <v>0.76</v>
      </c>
      <c r="H620" s="49" t="n">
        <v>4.7</v>
      </c>
      <c r="I620" s="50" t="n">
        <v>0.705</v>
      </c>
      <c r="J620" s="50" t="n">
        <v>3.74</v>
      </c>
      <c r="K620" s="50" t="inlineStr">
        <is>
          <t>Pass</t>
        </is>
      </c>
      <c r="L620" s="51" t="n"/>
      <c r="M620" s="51" t="n"/>
      <c r="N620" s="51" t="n"/>
    </row>
    <row r="621" ht="13.5" customHeight="1" s="38">
      <c r="A621" s="73" t="inlineStr">
        <is>
          <t>R_0618</t>
        </is>
      </c>
      <c r="B621" s="49" t="n">
        <v>3.5</v>
      </c>
      <c r="C621" s="50" t="n">
        <v>1.225</v>
      </c>
      <c r="D621" s="49" t="n">
        <v>4</v>
      </c>
      <c r="E621" s="50" t="n">
        <v>1.2</v>
      </c>
      <c r="F621" s="49" t="n">
        <v>3.3</v>
      </c>
      <c r="G621" s="50" t="n">
        <v>0.66</v>
      </c>
      <c r="H621" s="49" t="n">
        <v>3</v>
      </c>
      <c r="I621" s="50" t="n">
        <v>0.45</v>
      </c>
      <c r="J621" s="50" t="n">
        <v>3.54</v>
      </c>
      <c r="K621" s="50" t="inlineStr">
        <is>
          <t>Pass</t>
        </is>
      </c>
      <c r="L621" s="51" t="n"/>
      <c r="M621" s="51" t="n"/>
      <c r="N621" s="51" t="n"/>
    </row>
    <row r="622" ht="13.5" customHeight="1" s="38">
      <c r="A622" s="73" t="inlineStr">
        <is>
          <t>R_0619</t>
        </is>
      </c>
      <c r="B622" s="49" t="n">
        <v>3.7</v>
      </c>
      <c r="C622" s="50" t="n">
        <v>1.295</v>
      </c>
      <c r="D622" s="49" t="n">
        <v>3</v>
      </c>
      <c r="E622" s="50" t="n">
        <v>0.9</v>
      </c>
      <c r="F622" s="49" t="n">
        <v>3.7</v>
      </c>
      <c r="G622" s="50" t="n">
        <v>0.74</v>
      </c>
      <c r="H622" s="49" t="n">
        <v>3.6</v>
      </c>
      <c r="I622" s="50" t="n">
        <v>0.54</v>
      </c>
      <c r="J622" s="50" t="n">
        <v>3.47</v>
      </c>
      <c r="K622" s="50" t="inlineStr">
        <is>
          <t>Fail</t>
        </is>
      </c>
      <c r="L622" s="51" t="n"/>
      <c r="M622" s="51" t="n"/>
      <c r="N622" s="51" t="n"/>
    </row>
    <row r="623" ht="13.5" customHeight="1" s="38">
      <c r="A623" s="73" t="inlineStr">
        <is>
          <t>R_0620</t>
        </is>
      </c>
      <c r="B623" s="49" t="n">
        <v>3.5</v>
      </c>
      <c r="C623" s="50" t="n">
        <v>1.225</v>
      </c>
      <c r="D623" s="49" t="n">
        <v>4</v>
      </c>
      <c r="E623" s="50" t="n">
        <v>1.2</v>
      </c>
      <c r="F623" s="49" t="n">
        <v>3.3</v>
      </c>
      <c r="G623" s="50" t="n">
        <v>0.66</v>
      </c>
      <c r="H623" s="49" t="n">
        <v>3</v>
      </c>
      <c r="I623" s="50" t="n">
        <v>0.45</v>
      </c>
      <c r="J623" s="50" t="n">
        <v>3.54</v>
      </c>
      <c r="K623" s="50" t="inlineStr">
        <is>
          <t>Pass</t>
        </is>
      </c>
      <c r="L623" s="51" t="n"/>
      <c r="M623" s="51" t="n"/>
      <c r="N623" s="51" t="n"/>
    </row>
    <row r="624" ht="13.5" customHeight="1" s="38">
      <c r="A624" s="73" t="inlineStr">
        <is>
          <t>R_0621</t>
        </is>
      </c>
      <c r="B624" s="49" t="n">
        <v>3.5</v>
      </c>
      <c r="C624" s="50" t="n">
        <v>1.225</v>
      </c>
      <c r="D624" s="49" t="n">
        <v>3.4</v>
      </c>
      <c r="E624" s="50" t="n">
        <v>1.02</v>
      </c>
      <c r="F624" s="49" t="n">
        <v>3.7</v>
      </c>
      <c r="G624" s="50" t="n">
        <v>0.74</v>
      </c>
      <c r="H624" s="49" t="n">
        <v>2.8</v>
      </c>
      <c r="I624" s="50" t="n">
        <v>0.42</v>
      </c>
      <c r="J624" s="50" t="n">
        <v>3.41</v>
      </c>
      <c r="K624" s="50" t="inlineStr">
        <is>
          <t>Fail</t>
        </is>
      </c>
      <c r="L624" s="51" t="n"/>
      <c r="M624" s="51" t="n"/>
      <c r="N624" s="51" t="n"/>
    </row>
    <row r="625" ht="13.5" customHeight="1" s="38">
      <c r="A625" s="73" t="inlineStr">
        <is>
          <t>R_0622</t>
        </is>
      </c>
      <c r="B625" s="49" t="n">
        <v>3.4</v>
      </c>
      <c r="C625" s="50" t="n">
        <v>1.19</v>
      </c>
      <c r="D625" s="49" t="n">
        <v>3.8</v>
      </c>
      <c r="E625" s="50" t="n">
        <v>1.14</v>
      </c>
      <c r="F625" s="49" t="n">
        <v>3.7</v>
      </c>
      <c r="G625" s="50" t="n">
        <v>0.74</v>
      </c>
      <c r="H625" s="49" t="n">
        <v>3.2</v>
      </c>
      <c r="I625" s="50" t="n">
        <v>0.48</v>
      </c>
      <c r="J625" s="50" t="n">
        <v>3.55</v>
      </c>
      <c r="K625" s="50" t="inlineStr">
        <is>
          <t>Pass</t>
        </is>
      </c>
      <c r="L625" s="51" t="n"/>
      <c r="M625" s="51" t="n"/>
      <c r="N625" s="51" t="n"/>
    </row>
    <row r="626" ht="13.5" customHeight="1" s="38">
      <c r="A626" s="73" t="inlineStr">
        <is>
          <t>R_0623</t>
        </is>
      </c>
      <c r="B626" s="49" t="inlineStr">
        <is>
          <t>3.6 | 3.3</t>
        </is>
      </c>
      <c r="C626" s="50" t="inlineStr">
        <is>
          <t>1.26 | 1.155</t>
        </is>
      </c>
      <c r="D626" s="49" t="inlineStr">
        <is>
          <t>4.0 | 3.0</t>
        </is>
      </c>
      <c r="E626" s="50" t="inlineStr">
        <is>
          <t>1.2 | 0.9</t>
        </is>
      </c>
      <c r="F626" s="49" t="inlineStr">
        <is>
          <t>3.3 | 2.4</t>
        </is>
      </c>
      <c r="G626" s="50" t="inlineStr">
        <is>
          <t>0.66 | 0.48</t>
        </is>
      </c>
      <c r="H626" s="49" t="inlineStr">
        <is>
          <t>3.0 | 2.8</t>
        </is>
      </c>
      <c r="I626" s="50" t="inlineStr">
        <is>
          <t>0.45 | 0.42</t>
        </is>
      </c>
      <c r="J626" s="50" t="inlineStr">
        <is>
          <t>3.57 | 2.955</t>
        </is>
      </c>
      <c r="K626" s="50" t="inlineStr">
        <is>
          <t>Pass | Fail</t>
        </is>
      </c>
      <c r="L626" s="51" t="n"/>
      <c r="M626" s="51" t="n"/>
      <c r="N626" s="51" t="n"/>
    </row>
    <row r="627" ht="13.5" customHeight="1" s="38">
      <c r="A627" s="73" t="inlineStr">
        <is>
          <t>R_0624</t>
        </is>
      </c>
      <c r="B627" s="49" t="n">
        <v>3.8</v>
      </c>
      <c r="C627" s="50" t="n">
        <v>1.33</v>
      </c>
      <c r="D627" s="49" t="n">
        <v>3</v>
      </c>
      <c r="E627" s="50" t="n">
        <v>0.9</v>
      </c>
      <c r="F627" s="49" t="n">
        <v>3.7</v>
      </c>
      <c r="G627" s="50" t="n">
        <v>0.74</v>
      </c>
      <c r="H627" s="49" t="n">
        <v>3.8</v>
      </c>
      <c r="I627" s="50" t="n">
        <v>0.57</v>
      </c>
      <c r="J627" s="50" t="n">
        <v>3.54</v>
      </c>
      <c r="K627" s="50" t="inlineStr">
        <is>
          <t>Pass</t>
        </is>
      </c>
      <c r="L627" s="51" t="n"/>
      <c r="M627" s="51" t="n"/>
      <c r="N627" s="51" t="n"/>
    </row>
    <row r="628" ht="13.5" customHeight="1" s="38">
      <c r="A628" s="73" t="inlineStr">
        <is>
          <t>R_0625</t>
        </is>
      </c>
      <c r="B628" s="49" t="n">
        <v>3.7</v>
      </c>
      <c r="C628" s="50" t="n">
        <v>1.295</v>
      </c>
      <c r="D628" s="49" t="n">
        <v>4.2</v>
      </c>
      <c r="E628" s="50" t="n">
        <v>1.26</v>
      </c>
      <c r="F628" s="49" t="n">
        <v>3.3</v>
      </c>
      <c r="G628" s="50" t="n">
        <v>0.66</v>
      </c>
      <c r="H628" s="49" t="n">
        <v>3</v>
      </c>
      <c r="I628" s="50" t="n">
        <v>0.45</v>
      </c>
      <c r="J628" s="50" t="n">
        <v>3.67</v>
      </c>
      <c r="K628" s="50" t="inlineStr">
        <is>
          <t>Pass</t>
        </is>
      </c>
      <c r="L628" s="51" t="n"/>
      <c r="M628" s="51" t="n"/>
      <c r="N628" s="51" t="n"/>
    </row>
    <row r="629" ht="13.5" customHeight="1" s="38">
      <c r="A629" s="73" t="inlineStr">
        <is>
          <t>R_0626</t>
        </is>
      </c>
      <c r="B629" s="49" t="n">
        <v>3.6</v>
      </c>
      <c r="C629" s="50" t="n">
        <v>1.26</v>
      </c>
      <c r="D629" s="49" t="n">
        <v>3.5</v>
      </c>
      <c r="E629" s="50" t="n">
        <v>1.05</v>
      </c>
      <c r="F629" s="49" t="n">
        <v>3.6</v>
      </c>
      <c r="G629" s="50" t="n">
        <v>0.72</v>
      </c>
      <c r="H629" s="49" t="n">
        <v>3</v>
      </c>
      <c r="I629" s="50" t="n">
        <v>0.45</v>
      </c>
      <c r="J629" s="50" t="n">
        <v>3.48</v>
      </c>
      <c r="K629" s="50" t="inlineStr">
        <is>
          <t>Fail</t>
        </is>
      </c>
      <c r="L629" s="51" t="n"/>
      <c r="M629" s="51" t="n"/>
      <c r="N629" s="51" t="n"/>
    </row>
    <row r="630" ht="13.5" customHeight="1" s="38">
      <c r="A630" s="73" t="inlineStr">
        <is>
          <t>R_0627</t>
        </is>
      </c>
      <c r="B630" s="49" t="n">
        <v>3.3</v>
      </c>
      <c r="C630" s="50" t="n">
        <v>1.155</v>
      </c>
      <c r="D630" s="49" t="n">
        <v>2.8</v>
      </c>
      <c r="E630" s="50" t="n">
        <v>0.84</v>
      </c>
      <c r="F630" s="49" t="n">
        <v>3.6</v>
      </c>
      <c r="G630" s="50" t="n">
        <v>0.72</v>
      </c>
      <c r="H630" s="49" t="n">
        <v>3.5</v>
      </c>
      <c r="I630" s="50" t="n">
        <v>0.525</v>
      </c>
      <c r="J630" s="50" t="n">
        <v>3.24</v>
      </c>
      <c r="K630" s="50" t="inlineStr">
        <is>
          <t>Fail</t>
        </is>
      </c>
      <c r="L630" s="51" t="n"/>
      <c r="M630" s="51" t="n"/>
      <c r="N630" s="51" t="n"/>
    </row>
    <row r="631" ht="13.5" customHeight="1" s="38">
      <c r="A631" s="73" t="inlineStr">
        <is>
          <t>R_0628</t>
        </is>
      </c>
      <c r="B631" s="49" t="n">
        <v>3.7</v>
      </c>
      <c r="C631" s="50" t="n">
        <v>1.295</v>
      </c>
      <c r="D631" s="49" t="n">
        <v>4.2</v>
      </c>
      <c r="E631" s="50" t="n">
        <v>1.26</v>
      </c>
      <c r="F631" s="49" t="n">
        <v>3.2</v>
      </c>
      <c r="G631" s="50" t="n">
        <v>0.64</v>
      </c>
      <c r="H631" s="49" t="n">
        <v>3</v>
      </c>
      <c r="I631" s="50" t="n">
        <v>0.45</v>
      </c>
      <c r="J631" s="50" t="n">
        <v>3.65</v>
      </c>
      <c r="K631" s="50" t="inlineStr">
        <is>
          <t>Pass</t>
        </is>
      </c>
      <c r="L631" s="51" t="n"/>
      <c r="M631" s="51" t="n"/>
      <c r="N631" s="51" t="n"/>
    </row>
    <row r="632" ht="13.5" customHeight="1" s="38">
      <c r="A632" s="73" t="inlineStr">
        <is>
          <t>R_0629</t>
        </is>
      </c>
      <c r="B632" s="49" t="n">
        <v>3.5</v>
      </c>
      <c r="C632" s="50" t="n">
        <v>1.225</v>
      </c>
      <c r="D632" s="49" t="n">
        <v>3</v>
      </c>
      <c r="E632" s="50" t="n">
        <v>0.9</v>
      </c>
      <c r="F632" s="49" t="n">
        <v>3.6</v>
      </c>
      <c r="G632" s="50" t="n">
        <v>0.72</v>
      </c>
      <c r="H632" s="49" t="n">
        <v>3</v>
      </c>
      <c r="I632" s="50" t="n">
        <v>0.45</v>
      </c>
      <c r="J632" s="50" t="n">
        <v>3.29</v>
      </c>
      <c r="K632" s="50" t="inlineStr">
        <is>
          <t>Fail</t>
        </is>
      </c>
      <c r="L632" s="51" t="n"/>
      <c r="M632" s="51" t="n"/>
      <c r="N632" s="51" t="n"/>
    </row>
    <row r="633" ht="13.5" customHeight="1" s="38">
      <c r="A633" s="73" t="inlineStr">
        <is>
          <t>R_0630</t>
        </is>
      </c>
      <c r="B633" s="49" t="inlineStr">
        <is>
          <t>3.5 | 2.3</t>
        </is>
      </c>
      <c r="C633" s="50" t="inlineStr">
        <is>
          <t>1.225 | 0.805</t>
        </is>
      </c>
      <c r="D633" s="49" t="inlineStr">
        <is>
          <t>3.8 | 2.2</t>
        </is>
      </c>
      <c r="E633" s="50" t="inlineStr">
        <is>
          <t>1.14 | 0.66</t>
        </is>
      </c>
      <c r="F633" s="49" t="inlineStr">
        <is>
          <t>3.5 | 2.1</t>
        </is>
      </c>
      <c r="G633" s="50" t="inlineStr">
        <is>
          <t>0.7 | 0.42</t>
        </is>
      </c>
      <c r="H633" s="49" t="inlineStr">
        <is>
          <t>3.0 | 1.9</t>
        </is>
      </c>
      <c r="I633" s="50" t="inlineStr">
        <is>
          <t>0.45 | 0.285</t>
        </is>
      </c>
      <c r="J633" s="50" t="inlineStr">
        <is>
          <t>3.52 | 2.17</t>
        </is>
      </c>
      <c r="K633" s="50" t="inlineStr">
        <is>
          <t>Pass | Fail</t>
        </is>
      </c>
      <c r="L633" s="51" t="n"/>
      <c r="M633" s="51" t="n"/>
      <c r="N633" s="51" t="n"/>
    </row>
    <row r="634" ht="13.5" customHeight="1" s="38">
      <c r="A634" s="73" t="inlineStr">
        <is>
          <t>R_0631</t>
        </is>
      </c>
      <c r="B634" s="49" t="n">
        <v>3.9</v>
      </c>
      <c r="C634" s="50" t="n">
        <v>1.365</v>
      </c>
      <c r="D634" s="49" t="n">
        <v>3.3</v>
      </c>
      <c r="E634" s="50" t="n">
        <v>0.99</v>
      </c>
      <c r="F634" s="49" t="n">
        <v>3.5</v>
      </c>
      <c r="G634" s="50" t="n">
        <v>0.7</v>
      </c>
      <c r="H634" s="49" t="n">
        <v>3</v>
      </c>
      <c r="I634" s="50" t="n">
        <v>0.45</v>
      </c>
      <c r="J634" s="50" t="n">
        <v>3.5</v>
      </c>
      <c r="K634" s="50" t="inlineStr">
        <is>
          <t>Pass</t>
        </is>
      </c>
      <c r="L634" s="51" t="n"/>
      <c r="M634" s="51" t="n"/>
      <c r="N634" s="51" t="n"/>
    </row>
    <row r="635" ht="13.5" customHeight="1" s="38">
      <c r="A635" s="73" t="inlineStr">
        <is>
          <t>R_0632</t>
        </is>
      </c>
      <c r="B635" s="49" t="n">
        <v>3.3</v>
      </c>
      <c r="C635" s="50" t="n">
        <v>1.155</v>
      </c>
      <c r="D635" s="49" t="n">
        <v>3.5</v>
      </c>
      <c r="E635" s="50" t="n">
        <v>1.05</v>
      </c>
      <c r="F635" s="49" t="n">
        <v>3.5</v>
      </c>
      <c r="G635" s="50" t="n">
        <v>0.7</v>
      </c>
      <c r="H635" s="49" t="n">
        <v>4.3</v>
      </c>
      <c r="I635" s="50" t="n">
        <v>0.645</v>
      </c>
      <c r="J635" s="50" t="n">
        <v>3.55</v>
      </c>
      <c r="K635" s="50" t="inlineStr">
        <is>
          <t>Pass</t>
        </is>
      </c>
      <c r="L635" s="51" t="n"/>
      <c r="M635" s="51" t="n"/>
      <c r="N635" s="51" t="n"/>
    </row>
    <row r="636" ht="13.5" customHeight="1" s="38">
      <c r="A636" s="73" t="inlineStr">
        <is>
          <t>R_0633</t>
        </is>
      </c>
      <c r="B636" s="49" t="n">
        <v>3.1</v>
      </c>
      <c r="C636" s="50" t="n">
        <v>1.085</v>
      </c>
      <c r="D636" s="49" t="n">
        <v>3.7</v>
      </c>
      <c r="E636" s="50" t="n">
        <v>1.11</v>
      </c>
      <c r="F636" s="49" t="n">
        <v>3.5</v>
      </c>
      <c r="G636" s="50" t="n">
        <v>0.7</v>
      </c>
      <c r="H636" s="49" t="n">
        <v>4.1</v>
      </c>
      <c r="I636" s="50" t="n">
        <v>0.615</v>
      </c>
      <c r="J636" s="50" t="n">
        <v>3.51</v>
      </c>
      <c r="K636" s="50" t="inlineStr">
        <is>
          <t>Pass</t>
        </is>
      </c>
      <c r="L636" s="51" t="n"/>
      <c r="M636" s="51" t="n"/>
      <c r="N636" s="51" t="n"/>
    </row>
    <row r="637" ht="13.5" customHeight="1" s="38">
      <c r="A637" s="73" t="inlineStr">
        <is>
          <t>R_0634</t>
        </is>
      </c>
      <c r="B637" s="49" t="n">
        <v>3.5</v>
      </c>
      <c r="C637" s="50" t="n">
        <v>1.225</v>
      </c>
      <c r="D637" s="49" t="n">
        <v>3.9</v>
      </c>
      <c r="E637" s="50" t="n">
        <v>1.17</v>
      </c>
      <c r="F637" s="49" t="n">
        <v>3.8</v>
      </c>
      <c r="G637" s="50" t="n">
        <v>0.76</v>
      </c>
      <c r="H637" s="49" t="n">
        <v>4.7</v>
      </c>
      <c r="I637" s="50" t="n">
        <v>0.705</v>
      </c>
      <c r="J637" s="50" t="n">
        <v>3.86</v>
      </c>
      <c r="K637" s="50" t="inlineStr">
        <is>
          <t>Pass</t>
        </is>
      </c>
      <c r="L637" s="51" t="n"/>
      <c r="M637" s="51" t="n"/>
      <c r="N637" s="51" t="n"/>
    </row>
    <row r="638" ht="13.5" customHeight="1" s="38">
      <c r="A638" s="73" t="inlineStr">
        <is>
          <t>R_0635</t>
        </is>
      </c>
      <c r="B638" s="49" t="n">
        <v>3.6</v>
      </c>
      <c r="C638" s="50" t="n">
        <v>1.26</v>
      </c>
      <c r="D638" s="49" t="n">
        <v>3.8</v>
      </c>
      <c r="E638" s="50" t="n">
        <v>1.14</v>
      </c>
      <c r="F638" s="49" t="n">
        <v>3.3</v>
      </c>
      <c r="G638" s="50" t="n">
        <v>0.66</v>
      </c>
      <c r="H638" s="49" t="n">
        <v>2.8</v>
      </c>
      <c r="I638" s="50" t="n">
        <v>0.42</v>
      </c>
      <c r="J638" s="50" t="n">
        <v>3.48</v>
      </c>
      <c r="K638" s="50" t="inlineStr">
        <is>
          <t>Fail</t>
        </is>
      </c>
      <c r="L638" s="51" t="n"/>
      <c r="M638" s="51" t="n"/>
      <c r="N638" s="51" t="n"/>
    </row>
    <row r="639" ht="13.5" customHeight="1" s="38">
      <c r="A639" s="73" t="inlineStr">
        <is>
          <t>R_0636</t>
        </is>
      </c>
      <c r="B639" s="49" t="n">
        <v>3.7</v>
      </c>
      <c r="C639" s="50" t="n">
        <v>1.295</v>
      </c>
      <c r="D639" s="49" t="n">
        <v>3.9</v>
      </c>
      <c r="E639" s="50" t="n">
        <v>1.17</v>
      </c>
      <c r="F639" s="49" t="n">
        <v>3.3</v>
      </c>
      <c r="G639" s="50" t="n">
        <v>0.66</v>
      </c>
      <c r="H639" s="49" t="n">
        <v>3</v>
      </c>
      <c r="I639" s="50" t="n">
        <v>0.45</v>
      </c>
      <c r="J639" s="50" t="n">
        <v>3.58</v>
      </c>
      <c r="K639" s="50" t="inlineStr">
        <is>
          <t>Pass</t>
        </is>
      </c>
      <c r="L639" s="51" t="n"/>
      <c r="M639" s="51" t="n"/>
      <c r="N639" s="51" t="n"/>
    </row>
    <row r="640" ht="13.5" customHeight="1" s="38">
      <c r="A640" s="73" t="inlineStr">
        <is>
          <t>R_0637</t>
        </is>
      </c>
      <c r="B640" s="49" t="n">
        <v>2.8</v>
      </c>
      <c r="C640" s="50" t="n">
        <v>0.98</v>
      </c>
      <c r="D640" s="49" t="n">
        <v>3.1</v>
      </c>
      <c r="E640" s="50" t="n">
        <v>0.93</v>
      </c>
      <c r="F640" s="49" t="n">
        <v>3.3</v>
      </c>
      <c r="G640" s="50" t="n">
        <v>0.66</v>
      </c>
      <c r="H640" s="49" t="n">
        <v>2.8</v>
      </c>
      <c r="I640" s="50" t="n">
        <v>0.42</v>
      </c>
      <c r="J640" s="50" t="n">
        <v>2.99</v>
      </c>
      <c r="K640" s="50" t="inlineStr">
        <is>
          <t>Fail</t>
        </is>
      </c>
      <c r="L640" s="51" t="n"/>
      <c r="M640" s="51" t="n"/>
      <c r="N640" s="51" t="n"/>
    </row>
    <row r="641" ht="13.5" customHeight="1" s="38">
      <c r="A641" s="73" t="inlineStr">
        <is>
          <t>R_0638</t>
        </is>
      </c>
      <c r="B641" s="49" t="n">
        <v>3.7</v>
      </c>
      <c r="C641" s="50" t="n">
        <v>1.295</v>
      </c>
      <c r="D641" s="49" t="n">
        <v>3.8</v>
      </c>
      <c r="E641" s="50" t="n">
        <v>1.14</v>
      </c>
      <c r="F641" s="49" t="n">
        <v>3.3</v>
      </c>
      <c r="G641" s="50" t="n">
        <v>0.66</v>
      </c>
      <c r="H641" s="49" t="n">
        <v>3</v>
      </c>
      <c r="I641" s="50" t="n">
        <v>0.45</v>
      </c>
      <c r="J641" s="50" t="n">
        <v>3.54</v>
      </c>
      <c r="K641" s="50" t="inlineStr">
        <is>
          <t>Pass</t>
        </is>
      </c>
      <c r="L641" s="51" t="n"/>
      <c r="M641" s="51" t="n"/>
      <c r="N641" s="51" t="n"/>
    </row>
    <row r="642" ht="13.5" customHeight="1" s="38">
      <c r="A642" s="73" t="inlineStr">
        <is>
          <t>R_0639</t>
        </is>
      </c>
      <c r="B642" s="49" t="n">
        <v>3.2</v>
      </c>
      <c r="C642" s="50" t="n">
        <v>1.12</v>
      </c>
      <c r="D642" s="49" t="n">
        <v>2.9</v>
      </c>
      <c r="E642" s="50" t="n">
        <v>0.87</v>
      </c>
      <c r="F642" s="49" t="n">
        <v>3.5</v>
      </c>
      <c r="G642" s="50" t="n">
        <v>0.7</v>
      </c>
      <c r="H642" s="49" t="n">
        <v>3</v>
      </c>
      <c r="I642" s="50" t="n">
        <v>0.45</v>
      </c>
      <c r="J642" s="50" t="n">
        <v>3.14</v>
      </c>
      <c r="K642" s="50" t="inlineStr">
        <is>
          <t>Fail</t>
        </is>
      </c>
      <c r="L642" s="51" t="n"/>
      <c r="M642" s="51" t="n"/>
      <c r="N642" s="51" t="n"/>
    </row>
    <row r="643" ht="13.5" customHeight="1" s="38">
      <c r="A643" s="73" t="inlineStr">
        <is>
          <t>R_0640</t>
        </is>
      </c>
      <c r="B643" s="49" t="n">
        <v>3.3</v>
      </c>
      <c r="C643" s="50" t="n">
        <v>1.155</v>
      </c>
      <c r="D643" s="49" t="n">
        <v>2.9</v>
      </c>
      <c r="E643" s="50" t="n">
        <v>0.87</v>
      </c>
      <c r="F643" s="49" t="n">
        <v>3.5</v>
      </c>
      <c r="G643" s="50" t="n">
        <v>0.7</v>
      </c>
      <c r="H643" s="49" t="n">
        <v>2.8</v>
      </c>
      <c r="I643" s="50" t="n">
        <v>0.42</v>
      </c>
      <c r="J643" s="50" t="n">
        <v>3.14</v>
      </c>
      <c r="K643" s="50" t="inlineStr">
        <is>
          <t>Fail</t>
        </is>
      </c>
      <c r="L643" s="51" t="n"/>
      <c r="M643" s="51" t="n"/>
      <c r="N643" s="51" t="n"/>
    </row>
    <row r="644" ht="13.5" customHeight="1" s="38">
      <c r="A644" s="73" t="inlineStr">
        <is>
          <t>R_0641</t>
        </is>
      </c>
      <c r="B644" s="49" t="n">
        <v>3.6</v>
      </c>
      <c r="C644" s="50" t="n">
        <v>1.26</v>
      </c>
      <c r="D644" s="49" t="n">
        <v>3.3</v>
      </c>
      <c r="E644" s="50" t="n">
        <v>0.99</v>
      </c>
      <c r="F644" s="49" t="n">
        <v>3.6</v>
      </c>
      <c r="G644" s="50" t="n">
        <v>0.72</v>
      </c>
      <c r="H644" s="49" t="n">
        <v>3.6</v>
      </c>
      <c r="I644" s="50" t="n">
        <v>0.54</v>
      </c>
      <c r="J644" s="50" t="n">
        <v>3.51</v>
      </c>
      <c r="K644" s="50" t="inlineStr">
        <is>
          <t>Pass</t>
        </is>
      </c>
      <c r="L644" s="51" t="n"/>
      <c r="M644" s="51" t="n"/>
      <c r="N644" s="51" t="n"/>
    </row>
    <row r="645" ht="13.5" customHeight="1" s="38">
      <c r="A645" s="73" t="inlineStr">
        <is>
          <t>R_0642</t>
        </is>
      </c>
      <c r="B645" s="49" t="n">
        <v>3.5</v>
      </c>
      <c r="C645" s="50" t="n">
        <v>1.225</v>
      </c>
      <c r="D645" s="49" t="n">
        <v>3.4</v>
      </c>
      <c r="E645" s="50" t="n">
        <v>1.02</v>
      </c>
      <c r="F645" s="49" t="n">
        <v>3.6</v>
      </c>
      <c r="G645" s="50" t="n">
        <v>0.72</v>
      </c>
      <c r="H645" s="49" t="n">
        <v>2.8</v>
      </c>
      <c r="I645" s="50" t="n">
        <v>0.42</v>
      </c>
      <c r="J645" s="50" t="n">
        <v>3.38</v>
      </c>
      <c r="K645" s="50" t="inlineStr">
        <is>
          <t>Fail</t>
        </is>
      </c>
      <c r="L645" s="51" t="n"/>
      <c r="M645" s="51" t="n"/>
      <c r="N645" s="51" t="n"/>
    </row>
    <row r="646" ht="13.5" customHeight="1" s="38">
      <c r="A646" s="73" t="inlineStr">
        <is>
          <t>R_0643</t>
        </is>
      </c>
      <c r="B646" s="49" t="n">
        <v>3.4</v>
      </c>
      <c r="C646" s="50" t="n">
        <v>1.19</v>
      </c>
      <c r="D646" s="49" t="n">
        <v>3.8</v>
      </c>
      <c r="E646" s="50" t="n">
        <v>1.14</v>
      </c>
      <c r="F646" s="49" t="n">
        <v>3.8</v>
      </c>
      <c r="G646" s="50" t="n">
        <v>0.76</v>
      </c>
      <c r="H646" s="49" t="n">
        <v>4.5</v>
      </c>
      <c r="I646" s="50" t="n">
        <v>0.675</v>
      </c>
      <c r="J646" s="50" t="n">
        <v>3.76</v>
      </c>
      <c r="K646" s="50" t="inlineStr">
        <is>
          <t>Pass</t>
        </is>
      </c>
      <c r="L646" s="51" t="n"/>
      <c r="M646" s="51" t="n"/>
      <c r="N646" s="51" t="n"/>
    </row>
    <row r="647" ht="13.5" customHeight="1" s="38">
      <c r="A647" s="73" t="inlineStr">
        <is>
          <t>R_0644</t>
        </is>
      </c>
      <c r="B647" s="49" t="n">
        <v>3.4</v>
      </c>
      <c r="C647" s="50" t="n">
        <v>1.19</v>
      </c>
      <c r="D647" s="49" t="n">
        <v>3.9</v>
      </c>
      <c r="E647" s="50" t="n">
        <v>1.17</v>
      </c>
      <c r="F647" s="49" t="n">
        <v>3.6</v>
      </c>
      <c r="G647" s="50" t="n">
        <v>0.72</v>
      </c>
      <c r="H647" s="49" t="n">
        <v>4.7</v>
      </c>
      <c r="I647" s="50" t="n">
        <v>0.705</v>
      </c>
      <c r="J647" s="50" t="n">
        <v>3.79</v>
      </c>
      <c r="K647" s="50" t="inlineStr">
        <is>
          <t>Pass</t>
        </is>
      </c>
      <c r="L647" s="51" t="n"/>
      <c r="M647" s="51" t="n"/>
      <c r="N647" s="51" t="n"/>
    </row>
    <row r="648" ht="13.5" customHeight="1" s="38">
      <c r="A648" s="73" t="inlineStr">
        <is>
          <t>R_0645</t>
        </is>
      </c>
      <c r="B648" s="49" t="n">
        <v>3.1</v>
      </c>
      <c r="C648" s="50" t="n">
        <v>1.085</v>
      </c>
      <c r="D648" s="49" t="n">
        <v>3.6</v>
      </c>
      <c r="E648" s="50" t="n">
        <v>1.08</v>
      </c>
      <c r="F648" s="49" t="n">
        <v>3.3</v>
      </c>
      <c r="G648" s="50" t="n">
        <v>0.66</v>
      </c>
      <c r="H648" s="49" t="n">
        <v>2.8</v>
      </c>
      <c r="I648" s="50" t="n">
        <v>0.42</v>
      </c>
      <c r="J648" s="50" t="n">
        <v>3.25</v>
      </c>
      <c r="K648" s="50" t="inlineStr">
        <is>
          <t>Fail</t>
        </is>
      </c>
      <c r="L648" s="51" t="n"/>
      <c r="M648" s="51" t="n"/>
      <c r="N648" s="51" t="n"/>
    </row>
    <row r="649" ht="13.5" customHeight="1" s="38">
      <c r="A649" s="73" t="inlineStr">
        <is>
          <t>R_0646</t>
        </is>
      </c>
      <c r="B649" s="49" t="n">
        <v>3.6</v>
      </c>
      <c r="C649" s="50" t="n">
        <v>1.26</v>
      </c>
      <c r="D649" s="49" t="n">
        <v>3.9</v>
      </c>
      <c r="E649" s="50" t="n">
        <v>1.17</v>
      </c>
      <c r="F649" s="49" t="n">
        <v>3.4</v>
      </c>
      <c r="G649" s="50" t="n">
        <v>0.68</v>
      </c>
      <c r="H649" s="49" t="n">
        <v>3</v>
      </c>
      <c r="I649" s="50" t="n">
        <v>0.45</v>
      </c>
      <c r="J649" s="50" t="n">
        <v>3.56</v>
      </c>
      <c r="K649" s="50" t="inlineStr">
        <is>
          <t>Pass</t>
        </is>
      </c>
      <c r="L649" s="51" t="n"/>
      <c r="M649" s="51" t="n"/>
      <c r="N649" s="51" t="n"/>
    </row>
    <row r="650" ht="13.5" customHeight="1" s="38">
      <c r="A650" s="73" t="inlineStr">
        <is>
          <t>R_0647</t>
        </is>
      </c>
      <c r="B650" s="49" t="n">
        <v>3.7</v>
      </c>
      <c r="C650" s="50" t="n">
        <v>1.295</v>
      </c>
      <c r="D650" s="49" t="n">
        <v>3.9</v>
      </c>
      <c r="E650" s="50" t="n">
        <v>1.17</v>
      </c>
      <c r="F650" s="49" t="n">
        <v>3.8</v>
      </c>
      <c r="G650" s="50" t="n">
        <v>0.76</v>
      </c>
      <c r="H650" s="49" t="n">
        <v>3.3</v>
      </c>
      <c r="I650" s="50" t="n">
        <v>0.495</v>
      </c>
      <c r="J650" s="50" t="n">
        <v>3.72</v>
      </c>
      <c r="K650" s="50" t="inlineStr">
        <is>
          <t>Pass</t>
        </is>
      </c>
      <c r="L650" s="51" t="n"/>
      <c r="M650" s="51" t="n"/>
      <c r="N650" s="51" t="n"/>
    </row>
    <row r="651" ht="13.5" customHeight="1" s="38">
      <c r="A651" s="73" t="inlineStr">
        <is>
          <t>R_0648</t>
        </is>
      </c>
      <c r="B651" s="49" t="n">
        <v>3.1</v>
      </c>
      <c r="C651" s="50" t="n">
        <v>1.085</v>
      </c>
      <c r="D651" s="49" t="n">
        <v>3</v>
      </c>
      <c r="E651" s="50" t="n">
        <v>0.9</v>
      </c>
      <c r="F651" s="49" t="n">
        <v>3.5</v>
      </c>
      <c r="G651" s="50" t="n">
        <v>0.7</v>
      </c>
      <c r="H651" s="49" t="n">
        <v>3</v>
      </c>
      <c r="I651" s="50" t="n">
        <v>0.45</v>
      </c>
      <c r="J651" s="50" t="n">
        <v>3.13</v>
      </c>
      <c r="K651" s="50" t="inlineStr">
        <is>
          <t>Fail</t>
        </is>
      </c>
      <c r="L651" s="51" t="n"/>
      <c r="M651" s="51" t="n"/>
      <c r="N651" s="51" t="n"/>
    </row>
    <row r="652" ht="13.5" customHeight="1" s="38">
      <c r="A652" s="73" t="inlineStr">
        <is>
          <t>R_0649</t>
        </is>
      </c>
      <c r="B652" s="49" t="n">
        <v>3.5</v>
      </c>
      <c r="C652" s="50" t="n">
        <v>1.225</v>
      </c>
      <c r="D652" s="49" t="n">
        <v>3.2</v>
      </c>
      <c r="E652" s="50" t="n">
        <v>0.96</v>
      </c>
      <c r="F652" s="49" t="n">
        <v>3.5</v>
      </c>
      <c r="G652" s="50" t="n">
        <v>0.7</v>
      </c>
      <c r="H652" s="49" t="n">
        <v>3</v>
      </c>
      <c r="I652" s="50" t="n">
        <v>0.45</v>
      </c>
      <c r="J652" s="50" t="n">
        <v>3.33</v>
      </c>
      <c r="K652" s="50" t="inlineStr">
        <is>
          <t>Fail</t>
        </is>
      </c>
      <c r="L652" s="51" t="n"/>
      <c r="M652" s="51" t="n"/>
      <c r="N652" s="51" t="n"/>
    </row>
    <row r="653" ht="13.5" customHeight="1" s="38">
      <c r="A653" s="73" t="inlineStr">
        <is>
          <t>R_0650</t>
        </is>
      </c>
      <c r="B653" s="49" t="n">
        <v>3.3</v>
      </c>
      <c r="C653" s="50" t="n">
        <v>1.155</v>
      </c>
      <c r="D653" s="49" t="n">
        <v>2.8</v>
      </c>
      <c r="E653" s="50" t="n">
        <v>0.84</v>
      </c>
      <c r="F653" s="49" t="n">
        <v>3.6</v>
      </c>
      <c r="G653" s="50" t="n">
        <v>0.72</v>
      </c>
      <c r="H653" s="49" t="n">
        <v>3.4</v>
      </c>
      <c r="I653" s="50" t="n">
        <v>0.51</v>
      </c>
      <c r="J653" s="50" t="n">
        <v>3.22</v>
      </c>
      <c r="K653" s="50" t="inlineStr">
        <is>
          <t>Fail</t>
        </is>
      </c>
      <c r="L653" s="51" t="n"/>
      <c r="M653" s="51" t="n"/>
      <c r="N653" s="51" t="n"/>
    </row>
    <row r="654" ht="13.5" customHeight="1" s="38">
      <c r="A654" s="73" t="inlineStr">
        <is>
          <t>R_0651</t>
        </is>
      </c>
      <c r="B654" s="49" t="n">
        <v>3.5</v>
      </c>
      <c r="C654" s="50" t="n">
        <v>1.225</v>
      </c>
      <c r="D654" s="49" t="n">
        <v>2.9</v>
      </c>
      <c r="E654" s="50" t="n">
        <v>0.87</v>
      </c>
      <c r="F654" s="49" t="n">
        <v>3.7</v>
      </c>
      <c r="G654" s="50" t="n">
        <v>0.74</v>
      </c>
      <c r="H654" s="49" t="n">
        <v>3.8</v>
      </c>
      <c r="I654" s="50" t="n">
        <v>0.57</v>
      </c>
      <c r="J654" s="50" t="n">
        <v>3.4</v>
      </c>
      <c r="K654" s="50" t="inlineStr">
        <is>
          <t>Fail</t>
        </is>
      </c>
      <c r="L654" s="51" t="n"/>
      <c r="M654" s="51" t="n"/>
      <c r="N654" s="51" t="n"/>
    </row>
    <row r="655" ht="13.5" customHeight="1" s="38">
      <c r="A655" s="73" t="inlineStr">
        <is>
          <t>R_0652</t>
        </is>
      </c>
      <c r="B655" s="49" t="n">
        <v>3.2</v>
      </c>
      <c r="C655" s="50" t="n">
        <v>1.12</v>
      </c>
      <c r="D655" s="49" t="n">
        <v>3.5</v>
      </c>
      <c r="E655" s="50" t="n">
        <v>1.05</v>
      </c>
      <c r="F655" s="49" t="n">
        <v>3.5</v>
      </c>
      <c r="G655" s="50" t="n">
        <v>0.7</v>
      </c>
      <c r="H655" s="49" t="n">
        <v>2.8</v>
      </c>
      <c r="I655" s="50" t="n">
        <v>0.42</v>
      </c>
      <c r="J655" s="50" t="n">
        <v>3.29</v>
      </c>
      <c r="K655" s="50" t="inlineStr">
        <is>
          <t>Fail</t>
        </is>
      </c>
      <c r="L655" s="51" t="n"/>
      <c r="M655" s="51" t="n"/>
      <c r="N655" s="51" t="n"/>
    </row>
    <row r="656" ht="13.5" customHeight="1" s="38">
      <c r="A656" s="73" t="inlineStr">
        <is>
          <t>R_0653</t>
        </is>
      </c>
      <c r="B656" s="49" t="n">
        <v>3.2</v>
      </c>
      <c r="C656" s="50" t="n">
        <v>1.12</v>
      </c>
      <c r="D656" s="49" t="n">
        <v>3.9</v>
      </c>
      <c r="E656" s="50" t="n">
        <v>1.17</v>
      </c>
      <c r="F656" s="49" t="n">
        <v>3.8</v>
      </c>
      <c r="G656" s="50" t="n">
        <v>0.76</v>
      </c>
      <c r="H656" s="49" t="n">
        <v>3.3</v>
      </c>
      <c r="I656" s="50" t="n">
        <v>0.495</v>
      </c>
      <c r="J656" s="50" t="n">
        <v>3.54</v>
      </c>
      <c r="K656" s="50" t="inlineStr">
        <is>
          <t>Pass</t>
        </is>
      </c>
      <c r="L656" s="51" t="n"/>
      <c r="M656" s="51" t="n"/>
      <c r="N656" s="51" t="n"/>
    </row>
    <row r="657" ht="13.5" customHeight="1" s="38">
      <c r="A657" s="73" t="inlineStr">
        <is>
          <t>R_0654</t>
        </is>
      </c>
      <c r="B657" s="49" t="n">
        <v>3.7</v>
      </c>
      <c r="C657" s="50" t="n">
        <v>1.295</v>
      </c>
      <c r="D657" s="49" t="n">
        <v>3.2</v>
      </c>
      <c r="E657" s="50" t="n">
        <v>0.96</v>
      </c>
      <c r="F657" s="49" t="n">
        <v>3.4</v>
      </c>
      <c r="G657" s="50" t="n">
        <v>0.68</v>
      </c>
      <c r="H657" s="49" t="n">
        <v>2.8</v>
      </c>
      <c r="I657" s="50" t="n">
        <v>0.42</v>
      </c>
      <c r="J657" s="50" t="n">
        <v>3.35</v>
      </c>
      <c r="K657" s="50" t="inlineStr">
        <is>
          <t>Fail</t>
        </is>
      </c>
      <c r="L657" s="51" t="n"/>
      <c r="M657" s="51" t="n"/>
      <c r="N657" s="51" t="n"/>
    </row>
    <row r="658" ht="13.5" customHeight="1" s="38">
      <c r="A658" s="73" t="inlineStr">
        <is>
          <t>R_0655</t>
        </is>
      </c>
      <c r="B658" s="49" t="n">
        <v>3.6</v>
      </c>
      <c r="C658" s="50" t="n">
        <v>1.26</v>
      </c>
      <c r="D658" s="49" t="n">
        <v>3.2</v>
      </c>
      <c r="E658" s="50" t="n">
        <v>0.96</v>
      </c>
      <c r="F658" s="49" t="n">
        <v>3.6</v>
      </c>
      <c r="G658" s="50" t="n">
        <v>0.72</v>
      </c>
      <c r="H658" s="49" t="n">
        <v>3.6</v>
      </c>
      <c r="I658" s="50" t="n">
        <v>0.54</v>
      </c>
      <c r="J658" s="50" t="n">
        <v>3.48</v>
      </c>
      <c r="K658" s="50" t="inlineStr">
        <is>
          <t>Fail</t>
        </is>
      </c>
      <c r="L658" s="51" t="n"/>
      <c r="M658" s="51" t="n"/>
      <c r="N658" s="51" t="n"/>
    </row>
    <row r="659" ht="13.5" customHeight="1" s="38">
      <c r="A659" s="73" t="inlineStr">
        <is>
          <t>R_0656</t>
        </is>
      </c>
      <c r="B659" s="49" t="n">
        <v>3.1</v>
      </c>
      <c r="C659" s="50" t="n">
        <v>1.085</v>
      </c>
      <c r="D659" s="49" t="n">
        <v>3.4</v>
      </c>
      <c r="E659" s="50" t="n">
        <v>1.02</v>
      </c>
      <c r="F659" s="49" t="n">
        <v>3.7</v>
      </c>
      <c r="G659" s="50" t="n">
        <v>0.74</v>
      </c>
      <c r="H659" s="49" t="n">
        <v>3.9</v>
      </c>
      <c r="I659" s="50" t="n">
        <v>0.585</v>
      </c>
      <c r="J659" s="50" t="n">
        <v>3.43</v>
      </c>
      <c r="K659" s="50" t="inlineStr">
        <is>
          <t>Fail</t>
        </is>
      </c>
      <c r="L659" s="51" t="n"/>
      <c r="M659" s="51" t="n"/>
      <c r="N659" s="51" t="n"/>
    </row>
    <row r="660" ht="13.5" customHeight="1" s="38">
      <c r="A660" s="73" t="inlineStr">
        <is>
          <t>R_0657</t>
        </is>
      </c>
      <c r="B660" s="49" t="n">
        <v>3.8</v>
      </c>
      <c r="C660" s="50" t="n">
        <v>1.33</v>
      </c>
      <c r="D660" s="49" t="n">
        <v>3.3</v>
      </c>
      <c r="E660" s="50" t="n">
        <v>0.99</v>
      </c>
      <c r="F660" s="49" t="n">
        <v>3.6</v>
      </c>
      <c r="G660" s="50" t="n">
        <v>0.72</v>
      </c>
      <c r="H660" s="49" t="n">
        <v>3.8</v>
      </c>
      <c r="I660" s="50" t="n">
        <v>0.57</v>
      </c>
      <c r="J660" s="50" t="n">
        <v>3.61</v>
      </c>
      <c r="K660" s="50" t="inlineStr">
        <is>
          <t>Pass</t>
        </is>
      </c>
      <c r="L660" s="51" t="n"/>
      <c r="M660" s="51" t="n"/>
      <c r="N660" s="51" t="n"/>
    </row>
    <row r="661" ht="13.5" customHeight="1" s="38">
      <c r="A661" s="73" t="inlineStr">
        <is>
          <t>R_0658</t>
        </is>
      </c>
      <c r="B661" s="49" t="n">
        <v>3.3</v>
      </c>
      <c r="C661" s="50" t="n">
        <v>1.155</v>
      </c>
      <c r="D661" s="49" t="n">
        <v>2.9</v>
      </c>
      <c r="E661" s="50" t="n">
        <v>0.87</v>
      </c>
      <c r="F661" s="49" t="n">
        <v>3.6</v>
      </c>
      <c r="G661" s="50" t="n">
        <v>0.72</v>
      </c>
      <c r="H661" s="49" t="n">
        <v>3.3</v>
      </c>
      <c r="I661" s="50" t="n">
        <v>0.495</v>
      </c>
      <c r="J661" s="50" t="n">
        <v>3.24</v>
      </c>
      <c r="K661" s="50" t="inlineStr">
        <is>
          <t>Fail</t>
        </is>
      </c>
      <c r="L661" s="51" t="n"/>
      <c r="M661" s="51" t="n"/>
      <c r="N661" s="51" t="n"/>
    </row>
    <row r="662" ht="13.5" customHeight="1" s="38">
      <c r="A662" s="73" t="inlineStr">
        <is>
          <t>R_0659</t>
        </is>
      </c>
      <c r="B662" s="49" t="n">
        <v>3.7</v>
      </c>
      <c r="C662" s="50" t="n">
        <v>1.295</v>
      </c>
      <c r="D662" s="49" t="n">
        <v>3.5</v>
      </c>
      <c r="E662" s="50" t="n">
        <v>1.05</v>
      </c>
      <c r="F662" s="49" t="n">
        <v>3.6</v>
      </c>
      <c r="G662" s="50" t="n">
        <v>0.72</v>
      </c>
      <c r="H662" s="49" t="n">
        <v>3.8</v>
      </c>
      <c r="I662" s="50" t="n">
        <v>0.57</v>
      </c>
      <c r="J662" s="50" t="n">
        <v>3.63</v>
      </c>
      <c r="K662" s="50" t="inlineStr">
        <is>
          <t>Pass</t>
        </is>
      </c>
      <c r="L662" s="51" t="n"/>
      <c r="M662" s="51" t="n"/>
      <c r="N662" s="51" t="n"/>
    </row>
    <row r="663" ht="13.5" customHeight="1" s="38">
      <c r="A663" s="73" t="inlineStr">
        <is>
          <t>R_0660</t>
        </is>
      </c>
      <c r="B663" s="49" t="n">
        <v>3.4</v>
      </c>
      <c r="C663" s="50" t="n">
        <v>1.19</v>
      </c>
      <c r="D663" s="49" t="n">
        <v>3.6</v>
      </c>
      <c r="E663" s="50" t="n">
        <v>1.08</v>
      </c>
      <c r="F663" s="49" t="n">
        <v>3.6</v>
      </c>
      <c r="G663" s="50" t="n">
        <v>0.72</v>
      </c>
      <c r="H663" s="49" t="n">
        <v>3</v>
      </c>
      <c r="I663" s="50" t="n">
        <v>0.45</v>
      </c>
      <c r="J663" s="50" t="n">
        <v>3.44</v>
      </c>
      <c r="K663" s="50" t="inlineStr">
        <is>
          <t>Fail</t>
        </is>
      </c>
      <c r="L663" s="51" t="n"/>
      <c r="M663" s="51" t="n"/>
      <c r="N663" s="51" t="n"/>
    </row>
    <row r="664" ht="13.5" customHeight="1" s="38">
      <c r="A664" s="73" t="inlineStr">
        <is>
          <t>R_0661</t>
        </is>
      </c>
      <c r="B664" s="49" t="n">
        <v>3.1</v>
      </c>
      <c r="C664" s="50" t="n">
        <v>1.085</v>
      </c>
      <c r="D664" s="49" t="n">
        <v>3.6</v>
      </c>
      <c r="E664" s="50" t="n">
        <v>1.08</v>
      </c>
      <c r="F664" s="49" t="n">
        <v>3.5</v>
      </c>
      <c r="G664" s="50" t="n">
        <v>0.7</v>
      </c>
      <c r="H664" s="49" t="n">
        <v>3.9</v>
      </c>
      <c r="I664" s="50" t="n">
        <v>0.585</v>
      </c>
      <c r="J664" s="50" t="n">
        <v>3.45</v>
      </c>
      <c r="K664" s="50" t="inlineStr">
        <is>
          <t>Fail</t>
        </is>
      </c>
      <c r="L664" s="51" t="n"/>
      <c r="M664" s="51" t="n"/>
      <c r="N664" s="51" t="n"/>
    </row>
    <row r="665" ht="13.5" customHeight="1" s="38">
      <c r="A665" s="73" t="inlineStr">
        <is>
          <t>R_0662</t>
        </is>
      </c>
      <c r="B665" s="49" t="n">
        <v>3.2</v>
      </c>
      <c r="C665" s="50" t="n">
        <v>1.12</v>
      </c>
      <c r="D665" s="49" t="n">
        <v>3.5</v>
      </c>
      <c r="E665" s="50" t="n">
        <v>1.05</v>
      </c>
      <c r="F665" s="49" t="n">
        <v>3.8</v>
      </c>
      <c r="G665" s="50" t="n">
        <v>0.76</v>
      </c>
      <c r="H665" s="49" t="n">
        <v>3.2</v>
      </c>
      <c r="I665" s="50" t="n">
        <v>0.48</v>
      </c>
      <c r="J665" s="50" t="n">
        <v>3.41</v>
      </c>
      <c r="K665" s="50" t="inlineStr">
        <is>
          <t>Fail</t>
        </is>
      </c>
      <c r="L665" s="51" t="n"/>
      <c r="M665" s="51" t="n"/>
      <c r="N665" s="51" t="n"/>
    </row>
    <row r="666" ht="13.5" customHeight="1" s="38">
      <c r="A666" s="73" t="inlineStr">
        <is>
          <t>R_0663</t>
        </is>
      </c>
      <c r="B666" s="49" t="n">
        <v>3.5</v>
      </c>
      <c r="C666" s="50" t="n">
        <v>1.225</v>
      </c>
      <c r="D666" s="49" t="n">
        <v>3.4</v>
      </c>
      <c r="E666" s="50" t="n">
        <v>1.02</v>
      </c>
      <c r="F666" s="49" t="n">
        <v>3.6</v>
      </c>
      <c r="G666" s="50" t="n">
        <v>0.72</v>
      </c>
      <c r="H666" s="49" t="n">
        <v>2.8</v>
      </c>
      <c r="I666" s="50" t="n">
        <v>0.42</v>
      </c>
      <c r="J666" s="50" t="n">
        <v>3.38</v>
      </c>
      <c r="K666" s="50" t="inlineStr">
        <is>
          <t>Fail</t>
        </is>
      </c>
      <c r="L666" s="51" t="n"/>
      <c r="M666" s="51" t="n"/>
      <c r="N666" s="51" t="n"/>
    </row>
    <row r="667" ht="13.5" customHeight="1" s="38">
      <c r="A667" s="73" t="inlineStr">
        <is>
          <t>R_0664</t>
        </is>
      </c>
      <c r="B667" s="49" t="inlineStr">
        <is>
          <t>3.5 | 3.7</t>
        </is>
      </c>
      <c r="C667" s="50" t="inlineStr">
        <is>
          <t>1.225 | 1.295</t>
        </is>
      </c>
      <c r="D667" s="49" t="inlineStr">
        <is>
          <t>3.2 | 4.1</t>
        </is>
      </c>
      <c r="E667" s="50" t="inlineStr">
        <is>
          <t>0.96 | 1.23</t>
        </is>
      </c>
      <c r="F667" s="49" t="inlineStr">
        <is>
          <t>3.6 | 4.1</t>
        </is>
      </c>
      <c r="G667" s="50" t="inlineStr">
        <is>
          <t>0.72 | 0.82</t>
        </is>
      </c>
      <c r="H667" s="49" t="inlineStr">
        <is>
          <t>3.6 | 4.2</t>
        </is>
      </c>
      <c r="I667" s="50" t="inlineStr">
        <is>
          <t>0.54 | 0.63</t>
        </is>
      </c>
      <c r="J667" s="50" t="inlineStr">
        <is>
          <t>3.45 | 3.975</t>
        </is>
      </c>
      <c r="K667" s="50" t="inlineStr">
        <is>
          <t>Fail | Pass</t>
        </is>
      </c>
      <c r="L667" s="51" t="n"/>
      <c r="M667" s="51" t="n"/>
      <c r="N667" s="51" t="n"/>
    </row>
    <row r="668" ht="13.5" customHeight="1" s="38">
      <c r="A668" s="73" t="inlineStr">
        <is>
          <t>R_0665</t>
        </is>
      </c>
      <c r="B668" s="49" t="inlineStr">
        <is>
          <t>3.3 | 3.6</t>
        </is>
      </c>
      <c r="C668" s="50" t="inlineStr">
        <is>
          <t>1.155 | 1.26</t>
        </is>
      </c>
      <c r="D668" s="49" t="inlineStr">
        <is>
          <t>3.1 | 3.1</t>
        </is>
      </c>
      <c r="E668" s="50" t="inlineStr">
        <is>
          <t>0.93 | 0.93</t>
        </is>
      </c>
      <c r="F668" s="49" t="inlineStr">
        <is>
          <t>3.5 | 3.4</t>
        </is>
      </c>
      <c r="G668" s="50" t="inlineStr">
        <is>
          <t>0.7 | 0.68</t>
        </is>
      </c>
      <c r="H668" s="49" t="inlineStr">
        <is>
          <t>3.3 | 4.2</t>
        </is>
      </c>
      <c r="I668" s="50" t="inlineStr">
        <is>
          <t>0.495 | 0.63</t>
        </is>
      </c>
      <c r="J668" s="50" t="inlineStr">
        <is>
          <t>3.28 | 3.5</t>
        </is>
      </c>
      <c r="K668" s="50" t="inlineStr">
        <is>
          <t>Fail | Pass</t>
        </is>
      </c>
      <c r="L668" s="51" t="n"/>
      <c r="M668" s="51" t="n"/>
      <c r="N668" s="51" t="n"/>
    </row>
    <row r="669" ht="13.5" customHeight="1" s="38">
      <c r="A669" s="73" t="inlineStr">
        <is>
          <t>R_0666</t>
        </is>
      </c>
      <c r="B669" s="49" t="n">
        <v>3.4</v>
      </c>
      <c r="C669" s="50" t="n">
        <v>1.19</v>
      </c>
      <c r="D669" s="49" t="n">
        <v>3.7</v>
      </c>
      <c r="E669" s="50" t="n">
        <v>1.11</v>
      </c>
      <c r="F669" s="49" t="n">
        <v>3.8</v>
      </c>
      <c r="G669" s="50" t="n">
        <v>0.76</v>
      </c>
      <c r="H669" s="49" t="n">
        <v>4.5</v>
      </c>
      <c r="I669" s="50" t="n">
        <v>0.675</v>
      </c>
      <c r="J669" s="50" t="n">
        <v>3.73</v>
      </c>
      <c r="K669" s="50" t="inlineStr">
        <is>
          <t>Pass</t>
        </is>
      </c>
      <c r="L669" s="51" t="n"/>
      <c r="M669" s="51" t="n"/>
      <c r="N669" s="51" t="n"/>
    </row>
    <row r="670" ht="13.5" customHeight="1" s="38">
      <c r="A670" s="73" t="inlineStr">
        <is>
          <t>R_0667</t>
        </is>
      </c>
      <c r="B670" s="49" t="n">
        <v>3.6</v>
      </c>
      <c r="C670" s="50" t="n">
        <v>1.26</v>
      </c>
      <c r="D670" s="49" t="n">
        <v>3.9</v>
      </c>
      <c r="E670" s="50" t="n">
        <v>1.17</v>
      </c>
      <c r="F670" s="49" t="n">
        <v>3.3</v>
      </c>
      <c r="G670" s="50" t="n">
        <v>0.66</v>
      </c>
      <c r="H670" s="49" t="n">
        <v>2.8</v>
      </c>
      <c r="I670" s="50" t="n">
        <v>0.42</v>
      </c>
      <c r="J670" s="50" t="n">
        <v>3.51</v>
      </c>
      <c r="K670" s="50" t="inlineStr">
        <is>
          <t>Pass</t>
        </is>
      </c>
      <c r="L670" s="51" t="n"/>
      <c r="M670" s="51" t="n"/>
      <c r="N670" s="51" t="n"/>
    </row>
    <row r="671" ht="13.5" customHeight="1" s="38">
      <c r="A671" s="73" t="inlineStr">
        <is>
          <t>R_0668</t>
        </is>
      </c>
      <c r="B671" s="49" t="n">
        <v>2.9</v>
      </c>
      <c r="C671" s="50" t="n">
        <v>1.015</v>
      </c>
      <c r="D671" s="49" t="n">
        <v>3.3</v>
      </c>
      <c r="E671" s="50" t="n">
        <v>0.99</v>
      </c>
      <c r="F671" s="49" t="n">
        <v>3.6</v>
      </c>
      <c r="G671" s="50" t="n">
        <v>0.72</v>
      </c>
      <c r="H671" s="49" t="n">
        <v>3.2</v>
      </c>
      <c r="I671" s="50" t="n">
        <v>0.48</v>
      </c>
      <c r="J671" s="50" t="n">
        <v>3.21</v>
      </c>
      <c r="K671" s="50" t="inlineStr">
        <is>
          <t>Fail</t>
        </is>
      </c>
      <c r="L671" s="51" t="n"/>
      <c r="M671" s="51" t="n"/>
      <c r="N671" s="51" t="n"/>
    </row>
    <row r="672" ht="13.5" customHeight="1" s="38">
      <c r="A672" s="73" t="inlineStr">
        <is>
          <t>R_0669</t>
        </is>
      </c>
      <c r="B672" s="49" t="n">
        <v>3.4</v>
      </c>
      <c r="C672" s="50" t="n">
        <v>1.19</v>
      </c>
      <c r="D672" s="49" t="n">
        <v>3.3</v>
      </c>
      <c r="E672" s="50" t="n">
        <v>0.99</v>
      </c>
      <c r="F672" s="49" t="n">
        <v>3.6</v>
      </c>
      <c r="G672" s="50" t="n">
        <v>0.72</v>
      </c>
      <c r="H672" s="49" t="n">
        <v>2.8</v>
      </c>
      <c r="I672" s="50" t="n">
        <v>0.42</v>
      </c>
      <c r="J672" s="50" t="n">
        <v>3.32</v>
      </c>
      <c r="K672" s="50" t="inlineStr">
        <is>
          <t>Fail</t>
        </is>
      </c>
      <c r="L672" s="51" t="n"/>
      <c r="M672" s="51" t="n"/>
      <c r="N672" s="51" t="n"/>
    </row>
    <row r="673" ht="13.5" customHeight="1" s="38">
      <c r="A673" s="73" t="inlineStr">
        <is>
          <t>R_0670</t>
        </is>
      </c>
      <c r="B673" s="49" t="n">
        <v>3.1</v>
      </c>
      <c r="C673" s="50" t="n">
        <v>1.085</v>
      </c>
      <c r="D673" s="49" t="n">
        <v>3.4</v>
      </c>
      <c r="E673" s="50" t="n">
        <v>1.02</v>
      </c>
      <c r="F673" s="49" t="n">
        <v>3.7</v>
      </c>
      <c r="G673" s="50" t="n">
        <v>0.74</v>
      </c>
      <c r="H673" s="49" t="n">
        <v>3.2</v>
      </c>
      <c r="I673" s="50" t="n">
        <v>0.48</v>
      </c>
      <c r="J673" s="50" t="n">
        <v>3.33</v>
      </c>
      <c r="K673" s="50" t="inlineStr">
        <is>
          <t>Fail</t>
        </is>
      </c>
      <c r="L673" s="51" t="n"/>
      <c r="M673" s="51" t="n"/>
      <c r="N673" s="51" t="n"/>
    </row>
    <row r="674" ht="13.5" customHeight="1" s="38">
      <c r="A674" s="73" t="inlineStr">
        <is>
          <t>R_0671</t>
        </is>
      </c>
      <c r="B674" s="49" t="n">
        <v>3.5</v>
      </c>
      <c r="C674" s="50" t="n">
        <v>1.225</v>
      </c>
      <c r="D674" s="49" t="n">
        <v>4.1</v>
      </c>
      <c r="E674" s="50" t="n">
        <v>1.23</v>
      </c>
      <c r="F674" s="49" t="n">
        <v>3.3</v>
      </c>
      <c r="G674" s="50" t="n">
        <v>0.66</v>
      </c>
      <c r="H674" s="49" t="n">
        <v>3</v>
      </c>
      <c r="I674" s="50" t="n">
        <v>0.45</v>
      </c>
      <c r="J674" s="50" t="n">
        <v>3.57</v>
      </c>
      <c r="K674" s="50" t="inlineStr">
        <is>
          <t>Pass</t>
        </is>
      </c>
      <c r="L674" s="51" t="n"/>
      <c r="M674" s="51" t="n"/>
      <c r="N674" s="51" t="n"/>
    </row>
    <row r="675" ht="13.5" customHeight="1" s="38">
      <c r="A675" s="73" t="inlineStr">
        <is>
          <t>R_0672</t>
        </is>
      </c>
      <c r="B675" s="49" t="n">
        <v>3.6</v>
      </c>
      <c r="C675" s="50" t="n">
        <v>1.26</v>
      </c>
      <c r="D675" s="49" t="n">
        <v>3.2</v>
      </c>
      <c r="E675" s="50" t="n">
        <v>0.96</v>
      </c>
      <c r="F675" s="49" t="n">
        <v>3.6</v>
      </c>
      <c r="G675" s="50" t="n">
        <v>0.72</v>
      </c>
      <c r="H675" s="49" t="n">
        <v>3.8</v>
      </c>
      <c r="I675" s="50" t="n">
        <v>0.57</v>
      </c>
      <c r="J675" s="50" t="n">
        <v>3.51</v>
      </c>
      <c r="K675" s="50" t="inlineStr">
        <is>
          <t>Pass</t>
        </is>
      </c>
      <c r="L675" s="51" t="n"/>
      <c r="M675" s="51" t="n"/>
      <c r="N675" s="51" t="n"/>
    </row>
    <row r="676" ht="13.5" customHeight="1" s="38">
      <c r="A676" s="73" t="inlineStr">
        <is>
          <t>R_0673</t>
        </is>
      </c>
      <c r="B676" s="49" t="n">
        <v>3.6</v>
      </c>
      <c r="C676" s="50" t="n">
        <v>1.26</v>
      </c>
      <c r="D676" s="49" t="n">
        <v>3.9</v>
      </c>
      <c r="E676" s="50" t="n">
        <v>1.17</v>
      </c>
      <c r="F676" s="49" t="n">
        <v>3.3</v>
      </c>
      <c r="G676" s="50" t="n">
        <v>0.66</v>
      </c>
      <c r="H676" s="49" t="n">
        <v>3</v>
      </c>
      <c r="I676" s="50" t="n">
        <v>0.45</v>
      </c>
      <c r="J676" s="50" t="n">
        <v>3.54</v>
      </c>
      <c r="K676" s="50" t="inlineStr">
        <is>
          <t>Pass</t>
        </is>
      </c>
      <c r="L676" s="51" t="n"/>
      <c r="M676" s="51" t="n"/>
      <c r="N676" s="51" t="n"/>
    </row>
    <row r="677" ht="13.5" customHeight="1" s="38">
      <c r="A677" s="73" t="inlineStr">
        <is>
          <t>R_0674</t>
        </is>
      </c>
      <c r="B677" s="49" t="n">
        <v>3.9</v>
      </c>
      <c r="C677" s="50" t="n">
        <v>1.365</v>
      </c>
      <c r="D677" s="49" t="n">
        <v>3.3</v>
      </c>
      <c r="E677" s="50" t="n">
        <v>0.99</v>
      </c>
      <c r="F677" s="49" t="n">
        <v>3.4</v>
      </c>
      <c r="G677" s="50" t="n">
        <v>0.68</v>
      </c>
      <c r="H677" s="49" t="n">
        <v>3</v>
      </c>
      <c r="I677" s="50" t="n">
        <v>0.45</v>
      </c>
      <c r="J677" s="50" t="n">
        <v>3.49</v>
      </c>
      <c r="K677" s="50" t="inlineStr">
        <is>
          <t>Fail</t>
        </is>
      </c>
      <c r="L677" s="51" t="n"/>
      <c r="M677" s="51" t="n"/>
      <c r="N677" s="51" t="n"/>
    </row>
    <row r="678" ht="13.5" customHeight="1" s="38">
      <c r="A678" s="73" t="inlineStr">
        <is>
          <t>R_0675</t>
        </is>
      </c>
      <c r="B678" s="49" t="n">
        <v>3.2</v>
      </c>
      <c r="C678" s="50" t="n">
        <v>1.12</v>
      </c>
      <c r="D678" s="49" t="n">
        <v>3.7</v>
      </c>
      <c r="E678" s="50" t="n">
        <v>1.11</v>
      </c>
      <c r="F678" s="49" t="n">
        <v>3.7</v>
      </c>
      <c r="G678" s="50" t="n">
        <v>0.74</v>
      </c>
      <c r="H678" s="49" t="n">
        <v>3.2</v>
      </c>
      <c r="I678" s="50" t="n">
        <v>0.48</v>
      </c>
      <c r="J678" s="50" t="n">
        <v>3.45</v>
      </c>
      <c r="K678" s="50" t="inlineStr">
        <is>
          <t>Fail</t>
        </is>
      </c>
      <c r="L678" s="51" t="n"/>
      <c r="M678" s="51" t="n"/>
      <c r="N678" s="51" t="n"/>
    </row>
    <row r="679" ht="13.5" customHeight="1" s="38">
      <c r="A679" s="73" t="inlineStr">
        <is>
          <t>R_0676</t>
        </is>
      </c>
      <c r="B679" s="49" t="n">
        <v>3.4</v>
      </c>
      <c r="C679" s="50" t="n">
        <v>1.19</v>
      </c>
      <c r="D679" s="49" t="n">
        <v>3.7</v>
      </c>
      <c r="E679" s="50" t="n">
        <v>1.11</v>
      </c>
      <c r="F679" s="49" t="n">
        <v>3.7</v>
      </c>
      <c r="G679" s="50" t="n">
        <v>0.74</v>
      </c>
      <c r="H679" s="49" t="n">
        <v>3.2</v>
      </c>
      <c r="I679" s="50" t="n">
        <v>0.48</v>
      </c>
      <c r="J679" s="50" t="n">
        <v>3.52</v>
      </c>
      <c r="K679" s="50" t="inlineStr">
        <is>
          <t>Pass</t>
        </is>
      </c>
      <c r="L679" s="51" t="n"/>
      <c r="M679" s="51" t="n"/>
      <c r="N679" s="51" t="n"/>
    </row>
    <row r="680" ht="13.5" customHeight="1" s="38">
      <c r="A680" s="73" t="inlineStr">
        <is>
          <t>R_0677</t>
        </is>
      </c>
      <c r="B680" s="49" t="n">
        <v>3.6</v>
      </c>
      <c r="C680" s="50" t="n">
        <v>1.26</v>
      </c>
      <c r="D680" s="49" t="n">
        <v>4.1</v>
      </c>
      <c r="E680" s="50" t="n">
        <v>1.23</v>
      </c>
      <c r="F680" s="49" t="n">
        <v>3.3</v>
      </c>
      <c r="G680" s="50" t="n">
        <v>0.66</v>
      </c>
      <c r="H680" s="49" t="n">
        <v>3</v>
      </c>
      <c r="I680" s="50" t="n">
        <v>0.45</v>
      </c>
      <c r="J680" s="50" t="n">
        <v>3.6</v>
      </c>
      <c r="K680" s="50" t="inlineStr">
        <is>
          <t>Pass</t>
        </is>
      </c>
      <c r="L680" s="51" t="n"/>
      <c r="M680" s="51" t="n"/>
      <c r="N680" s="51" t="n"/>
    </row>
    <row r="681" ht="13.5" customHeight="1" s="38">
      <c r="A681" s="73" t="inlineStr">
        <is>
          <t>R_0678</t>
        </is>
      </c>
      <c r="B681" s="49" t="n">
        <v>3.5</v>
      </c>
      <c r="C681" s="50" t="n">
        <v>1.225</v>
      </c>
      <c r="D681" s="49" t="n">
        <v>4</v>
      </c>
      <c r="E681" s="50" t="n">
        <v>1.2</v>
      </c>
      <c r="F681" s="49" t="n">
        <v>3.8</v>
      </c>
      <c r="G681" s="50" t="n">
        <v>0.76</v>
      </c>
      <c r="H681" s="49" t="n">
        <v>4.7</v>
      </c>
      <c r="I681" s="50" t="n">
        <v>0.705</v>
      </c>
      <c r="J681" s="50" t="n">
        <v>3.89</v>
      </c>
      <c r="K681" s="50" t="inlineStr">
        <is>
          <t>Pass</t>
        </is>
      </c>
      <c r="L681" s="51" t="n"/>
      <c r="M681" s="51" t="n"/>
      <c r="N681" s="51" t="n"/>
    </row>
    <row r="682" ht="13.5" customHeight="1" s="38">
      <c r="A682" s="73" t="inlineStr">
        <is>
          <t>R_0679</t>
        </is>
      </c>
      <c r="B682" s="49" t="n">
        <v>3.5</v>
      </c>
      <c r="C682" s="50" t="n">
        <v>1.225</v>
      </c>
      <c r="D682" s="49" t="n">
        <v>3.8</v>
      </c>
      <c r="E682" s="50" t="n">
        <v>1.14</v>
      </c>
      <c r="F682" s="49" t="n">
        <v>3.3</v>
      </c>
      <c r="G682" s="50" t="n">
        <v>0.66</v>
      </c>
      <c r="H682" s="49" t="n">
        <v>3</v>
      </c>
      <c r="I682" s="50" t="n">
        <v>0.45</v>
      </c>
      <c r="J682" s="50" t="n">
        <v>3.48</v>
      </c>
      <c r="K682" s="50" t="inlineStr">
        <is>
          <t>Fail</t>
        </is>
      </c>
      <c r="L682" s="51" t="n"/>
      <c r="M682" s="51" t="n"/>
      <c r="N682" s="51" t="n"/>
    </row>
    <row r="683" ht="13.5" customHeight="1" s="38">
      <c r="A683" s="73" t="inlineStr">
        <is>
          <t>R_0680</t>
        </is>
      </c>
      <c r="B683" s="49" t="n">
        <v>3.3</v>
      </c>
      <c r="C683" s="50" t="n">
        <v>1.155</v>
      </c>
      <c r="D683" s="49" t="n">
        <v>3.6</v>
      </c>
      <c r="E683" s="50" t="n">
        <v>1.08</v>
      </c>
      <c r="F683" s="49" t="n">
        <v>3.6</v>
      </c>
      <c r="G683" s="50" t="n">
        <v>0.72</v>
      </c>
      <c r="H683" s="49" t="n">
        <v>4.3</v>
      </c>
      <c r="I683" s="50" t="n">
        <v>0.645</v>
      </c>
      <c r="J683" s="50" t="n">
        <v>3.6</v>
      </c>
      <c r="K683" s="50" t="inlineStr">
        <is>
          <t>Pass</t>
        </is>
      </c>
      <c r="L683" s="51" t="n"/>
      <c r="M683" s="51" t="n"/>
      <c r="N683" s="51" t="n"/>
    </row>
    <row r="684" ht="13.5" customHeight="1" s="38">
      <c r="A684" s="73" t="inlineStr">
        <is>
          <t>R_0681</t>
        </is>
      </c>
      <c r="B684" s="49" t="n">
        <v>3.7</v>
      </c>
      <c r="C684" s="50" t="n">
        <v>1.295</v>
      </c>
      <c r="D684" s="49" t="n">
        <v>4.1</v>
      </c>
      <c r="E684" s="50" t="n">
        <v>1.23</v>
      </c>
      <c r="F684" s="49" t="n">
        <v>3.4</v>
      </c>
      <c r="G684" s="50" t="n">
        <v>0.68</v>
      </c>
      <c r="H684" s="49" t="n">
        <v>3</v>
      </c>
      <c r="I684" s="50" t="n">
        <v>0.45</v>
      </c>
      <c r="J684" s="50" t="n">
        <v>3.66</v>
      </c>
      <c r="K684" s="50" t="inlineStr">
        <is>
          <t>Pass</t>
        </is>
      </c>
      <c r="L684" s="51" t="n"/>
      <c r="M684" s="51" t="n"/>
      <c r="N684" s="51" t="n"/>
    </row>
    <row r="685" ht="13.5" customHeight="1" s="38">
      <c r="A685" s="73" t="inlineStr">
        <is>
          <t>R_0682</t>
        </is>
      </c>
      <c r="B685" s="49" t="n">
        <v>3.7</v>
      </c>
      <c r="C685" s="50" t="n">
        <v>1.295</v>
      </c>
      <c r="D685" s="49" t="n">
        <v>4.2</v>
      </c>
      <c r="E685" s="50" t="n">
        <v>1.26</v>
      </c>
      <c r="F685" s="49" t="n">
        <v>3.2</v>
      </c>
      <c r="G685" s="50" t="n">
        <v>0.64</v>
      </c>
      <c r="H685" s="49" t="n">
        <v>3</v>
      </c>
      <c r="I685" s="50" t="n">
        <v>0.45</v>
      </c>
      <c r="J685" s="50" t="n">
        <v>3.65</v>
      </c>
      <c r="K685" s="50" t="inlineStr">
        <is>
          <t>Pass</t>
        </is>
      </c>
      <c r="L685" s="51" t="n"/>
      <c r="M685" s="51" t="n"/>
      <c r="N685" s="51" t="n"/>
    </row>
    <row r="686" ht="13.5" customHeight="1" s="38">
      <c r="A686" s="73" t="inlineStr">
        <is>
          <t>R_0683</t>
        </is>
      </c>
      <c r="B686" s="49" t="n">
        <v>3.6</v>
      </c>
      <c r="C686" s="50" t="n">
        <v>1.26</v>
      </c>
      <c r="D686" s="49" t="n">
        <v>3</v>
      </c>
      <c r="E686" s="50" t="n">
        <v>0.9</v>
      </c>
      <c r="F686" s="49" t="n">
        <v>3.6</v>
      </c>
      <c r="G686" s="50" t="n">
        <v>0.72</v>
      </c>
      <c r="H686" s="49" t="n">
        <v>3.8</v>
      </c>
      <c r="I686" s="50" t="n">
        <v>0.57</v>
      </c>
      <c r="J686" s="50" t="n">
        <v>3.45</v>
      </c>
      <c r="K686" s="50" t="inlineStr">
        <is>
          <t>Fail</t>
        </is>
      </c>
      <c r="L686" s="51" t="n"/>
      <c r="M686" s="51" t="n"/>
      <c r="N686" s="51" t="n"/>
    </row>
    <row r="687" ht="13.5" customHeight="1" s="38">
      <c r="A687" s="73" t="inlineStr">
        <is>
          <t>R_0684</t>
        </is>
      </c>
      <c r="B687" s="49" t="n">
        <v>3.7</v>
      </c>
      <c r="C687" s="50" t="n">
        <v>1.295</v>
      </c>
      <c r="D687" s="49" t="n">
        <v>3.2</v>
      </c>
      <c r="E687" s="50" t="n">
        <v>0.96</v>
      </c>
      <c r="F687" s="49" t="n">
        <v>3.4</v>
      </c>
      <c r="G687" s="50" t="n">
        <v>0.68</v>
      </c>
      <c r="H687" s="49" t="n">
        <v>2.8</v>
      </c>
      <c r="I687" s="50" t="n">
        <v>0.42</v>
      </c>
      <c r="J687" s="50" t="n">
        <v>3.35</v>
      </c>
      <c r="K687" s="50" t="inlineStr">
        <is>
          <t>Fail</t>
        </is>
      </c>
      <c r="L687" s="51" t="n"/>
      <c r="M687" s="51" t="n"/>
      <c r="N687" s="51" t="n"/>
    </row>
    <row r="688" ht="13.5" customHeight="1" s="38">
      <c r="A688" s="73" t="inlineStr">
        <is>
          <t>R_0685</t>
        </is>
      </c>
      <c r="B688" s="49" t="n">
        <v>3.6</v>
      </c>
      <c r="C688" s="50" t="n">
        <v>1.26</v>
      </c>
      <c r="D688" s="49" t="n">
        <v>3.2</v>
      </c>
      <c r="E688" s="50" t="n">
        <v>0.96</v>
      </c>
      <c r="F688" s="49" t="n">
        <v>3.7</v>
      </c>
      <c r="G688" s="50" t="n">
        <v>0.74</v>
      </c>
      <c r="H688" s="49" t="n">
        <v>3</v>
      </c>
      <c r="I688" s="50" t="n">
        <v>0.45</v>
      </c>
      <c r="J688" s="50" t="n">
        <v>3.41</v>
      </c>
      <c r="K688" s="50" t="inlineStr">
        <is>
          <t>Fail</t>
        </is>
      </c>
      <c r="L688" s="51" t="n"/>
      <c r="M688" s="51" t="n"/>
      <c r="N688" s="51" t="n"/>
    </row>
    <row r="689" ht="13.5" customHeight="1" s="38">
      <c r="A689" s="73" t="inlineStr">
        <is>
          <t>R_0686</t>
        </is>
      </c>
      <c r="B689" s="49" t="n">
        <v>3.2</v>
      </c>
      <c r="C689" s="50" t="n">
        <v>1.12</v>
      </c>
      <c r="D689" s="49" t="n">
        <v>3.6</v>
      </c>
      <c r="E689" s="50" t="n">
        <v>1.08</v>
      </c>
      <c r="F689" s="49" t="n">
        <v>3.7</v>
      </c>
      <c r="G689" s="50" t="n">
        <v>0.74</v>
      </c>
      <c r="H689" s="49" t="n">
        <v>3.2</v>
      </c>
      <c r="I689" s="50" t="n">
        <v>0.48</v>
      </c>
      <c r="J689" s="50" t="n">
        <v>3.42</v>
      </c>
      <c r="K689" s="50" t="inlineStr">
        <is>
          <t>Fail</t>
        </is>
      </c>
      <c r="L689" s="51" t="n"/>
      <c r="M689" s="51" t="n"/>
      <c r="N689" s="51" t="n"/>
    </row>
    <row r="690" ht="13.5" customHeight="1" s="38">
      <c r="A690" s="73" t="inlineStr">
        <is>
          <t>R_0687</t>
        </is>
      </c>
      <c r="B690" s="49" t="n">
        <v>3.5</v>
      </c>
      <c r="C690" s="50" t="n">
        <v>1.225</v>
      </c>
      <c r="D690" s="49" t="n">
        <v>3.2</v>
      </c>
      <c r="E690" s="50" t="n">
        <v>0.96</v>
      </c>
      <c r="F690" s="49" t="n">
        <v>3.6</v>
      </c>
      <c r="G690" s="50" t="n">
        <v>0.72</v>
      </c>
      <c r="H690" s="49" t="n">
        <v>3.6</v>
      </c>
      <c r="I690" s="50" t="n">
        <v>0.54</v>
      </c>
      <c r="J690" s="50" t="n">
        <v>3.45</v>
      </c>
      <c r="K690" s="50" t="inlineStr">
        <is>
          <t>Fail</t>
        </is>
      </c>
      <c r="L690" s="51" t="n"/>
      <c r="M690" s="51" t="n"/>
      <c r="N690" s="51" t="n"/>
    </row>
    <row r="691" ht="13.5" customHeight="1" s="38">
      <c r="A691" s="73" t="inlineStr">
        <is>
          <t>R_0688</t>
        </is>
      </c>
      <c r="B691" s="49" t="n">
        <v>3.5</v>
      </c>
      <c r="C691" s="50" t="n">
        <v>1.225</v>
      </c>
      <c r="D691" s="49" t="n">
        <v>3.6</v>
      </c>
      <c r="E691" s="50" t="n">
        <v>1.08</v>
      </c>
      <c r="F691" s="49" t="n">
        <v>3.7</v>
      </c>
      <c r="G691" s="50" t="n">
        <v>0.74</v>
      </c>
      <c r="H691" s="49" t="n">
        <v>3.3</v>
      </c>
      <c r="I691" s="50" t="n">
        <v>0.495</v>
      </c>
      <c r="J691" s="50" t="n">
        <v>3.54</v>
      </c>
      <c r="K691" s="50" t="inlineStr">
        <is>
          <t>Pass</t>
        </is>
      </c>
      <c r="L691" s="51" t="n"/>
      <c r="M691" s="51" t="n"/>
      <c r="N691" s="51" t="n"/>
    </row>
    <row r="692" ht="13.5" customHeight="1" s="38">
      <c r="A692" s="73" t="inlineStr">
        <is>
          <t>R_0689</t>
        </is>
      </c>
      <c r="B692" s="49" t="n">
        <v>3.4</v>
      </c>
      <c r="C692" s="50" t="n">
        <v>1.19</v>
      </c>
      <c r="D692" s="49" t="n">
        <v>2.9</v>
      </c>
      <c r="E692" s="50" t="n">
        <v>0.87</v>
      </c>
      <c r="F692" s="49" t="n">
        <v>3.5</v>
      </c>
      <c r="G692" s="50" t="n">
        <v>0.7</v>
      </c>
      <c r="H692" s="49" t="n">
        <v>3.1</v>
      </c>
      <c r="I692" s="50" t="n">
        <v>0.465</v>
      </c>
      <c r="J692" s="50" t="n">
        <v>3.22</v>
      </c>
      <c r="K692" s="50" t="inlineStr">
        <is>
          <t>Fail</t>
        </is>
      </c>
      <c r="L692" s="51" t="n"/>
      <c r="M692" s="51" t="n"/>
      <c r="N692" s="51" t="n"/>
    </row>
    <row r="693" ht="13.5" customHeight="1" s="38">
      <c r="A693" s="73" t="inlineStr">
        <is>
          <t>R_0690</t>
        </is>
      </c>
      <c r="B693" s="49" t="n">
        <v>2.8</v>
      </c>
      <c r="C693" s="50" t="n">
        <v>0.98</v>
      </c>
      <c r="D693" s="49" t="n">
        <v>2.9</v>
      </c>
      <c r="E693" s="50" t="n">
        <v>0.87</v>
      </c>
      <c r="F693" s="49" t="n">
        <v>3</v>
      </c>
      <c r="G693" s="50" t="n">
        <v>0.6</v>
      </c>
      <c r="H693" s="49" t="n">
        <v>3.2</v>
      </c>
      <c r="I693" s="50" t="n">
        <v>0.48</v>
      </c>
      <c r="J693" s="50" t="n">
        <v>2.93</v>
      </c>
      <c r="K693" s="50" t="inlineStr">
        <is>
          <t>Fail</t>
        </is>
      </c>
      <c r="L693" s="51" t="n"/>
      <c r="M693" s="51" t="n"/>
      <c r="N693" s="51" t="n"/>
    </row>
    <row r="694" ht="13.5" customHeight="1" s="38">
      <c r="A694" s="73" t="inlineStr">
        <is>
          <t>R_0691</t>
        </is>
      </c>
      <c r="B694" s="49" t="inlineStr">
        <is>
          <t>3.6 | 2.9</t>
        </is>
      </c>
      <c r="C694" s="50" t="inlineStr">
        <is>
          <t>1.26 | 1.015</t>
        </is>
      </c>
      <c r="D694" s="49" t="inlineStr">
        <is>
          <t>3.0 | 3.3</t>
        </is>
      </c>
      <c r="E694" s="50" t="inlineStr">
        <is>
          <t>0.9 | 0.99</t>
        </is>
      </c>
      <c r="F694" s="49" t="inlineStr">
        <is>
          <t>3.5 | 3.4</t>
        </is>
      </c>
      <c r="G694" s="50" t="inlineStr">
        <is>
          <t>0.7 | 0.68</t>
        </is>
      </c>
      <c r="H694" s="49" t="inlineStr">
        <is>
          <t>3.8 | 4.1</t>
        </is>
      </c>
      <c r="I694" s="50" t="inlineStr">
        <is>
          <t>0.57 | 0.615</t>
        </is>
      </c>
      <c r="J694" s="50" t="inlineStr">
        <is>
          <t>3.43 | 3.3</t>
        </is>
      </c>
      <c r="K694" s="50" t="inlineStr">
        <is>
          <t>Fail | Fail</t>
        </is>
      </c>
      <c r="L694" s="51" t="n"/>
      <c r="M694" s="51" t="n"/>
      <c r="N694" s="51" t="n"/>
    </row>
    <row r="695" ht="13.5" customHeight="1" s="38">
      <c r="A695" s="73" t="inlineStr">
        <is>
          <t>R_0692</t>
        </is>
      </c>
      <c r="B695" s="49" t="inlineStr">
        <is>
          <t>3.4 | 3.9</t>
        </is>
      </c>
      <c r="C695" s="50" t="inlineStr">
        <is>
          <t>1.19 | 1.365</t>
        </is>
      </c>
      <c r="D695" s="49" t="inlineStr">
        <is>
          <t>2.9 | 3.9</t>
        </is>
      </c>
      <c r="E695" s="50" t="inlineStr">
        <is>
          <t>0.87 | 1.17</t>
        </is>
      </c>
      <c r="F695" s="49" t="inlineStr">
        <is>
          <t>3.5 | 4.0</t>
        </is>
      </c>
      <c r="G695" s="50" t="inlineStr">
        <is>
          <t>0.7 | 0.8</t>
        </is>
      </c>
      <c r="H695" s="49" t="inlineStr">
        <is>
          <t>3.5 | 4.1</t>
        </is>
      </c>
      <c r="I695" s="50" t="inlineStr">
        <is>
          <t>0.525 | 0.615</t>
        </is>
      </c>
      <c r="J695" s="50" t="inlineStr">
        <is>
          <t>3.28 | 3.95</t>
        </is>
      </c>
      <c r="K695" s="50" t="inlineStr">
        <is>
          <t>Fail | Pass</t>
        </is>
      </c>
      <c r="L695" s="51" t="n"/>
      <c r="M695" s="51" t="n"/>
      <c r="N695" s="51" t="n"/>
    </row>
    <row r="696" ht="13.5" customHeight="1" s="38">
      <c r="A696" s="73" t="inlineStr">
        <is>
          <t>R_0693</t>
        </is>
      </c>
      <c r="B696" s="49" t="n">
        <v>3.6</v>
      </c>
      <c r="C696" s="50" t="n">
        <v>1.26</v>
      </c>
      <c r="D696" s="49" t="n">
        <v>3.9</v>
      </c>
      <c r="E696" s="50" t="n">
        <v>1.17</v>
      </c>
      <c r="F696" s="49" t="n">
        <v>3.3</v>
      </c>
      <c r="G696" s="50" t="n">
        <v>0.66</v>
      </c>
      <c r="H696" s="49" t="n">
        <v>3</v>
      </c>
      <c r="I696" s="50" t="n">
        <v>0.45</v>
      </c>
      <c r="J696" s="50" t="n">
        <v>3.54</v>
      </c>
      <c r="K696" s="50" t="inlineStr">
        <is>
          <t>Pass</t>
        </is>
      </c>
      <c r="L696" s="51" t="n"/>
      <c r="M696" s="51" t="n"/>
      <c r="N696" s="51" t="n"/>
    </row>
    <row r="697" ht="13.5" customHeight="1" s="38">
      <c r="A697" s="73" t="inlineStr">
        <is>
          <t>R_0694</t>
        </is>
      </c>
      <c r="B697" s="49" t="n">
        <v>2.7</v>
      </c>
      <c r="C697" s="50" t="n">
        <v>0.945</v>
      </c>
      <c r="D697" s="49" t="n">
        <v>3.6</v>
      </c>
      <c r="E697" s="50" t="n">
        <v>1.08</v>
      </c>
      <c r="F697" s="49" t="n">
        <v>3.3</v>
      </c>
      <c r="G697" s="50" t="n">
        <v>0.66</v>
      </c>
      <c r="H697" s="49" t="n">
        <v>2.8</v>
      </c>
      <c r="I697" s="50" t="n">
        <v>0.42</v>
      </c>
      <c r="J697" s="50" t="n">
        <v>3.1</v>
      </c>
      <c r="K697" s="50" t="inlineStr">
        <is>
          <t>Fail</t>
        </is>
      </c>
      <c r="L697" s="51" t="n"/>
      <c r="M697" s="51" t="n"/>
      <c r="N697" s="51" t="n"/>
    </row>
    <row r="698" ht="13.5" customHeight="1" s="38">
      <c r="A698" s="73" t="inlineStr">
        <is>
          <t>R_0695</t>
        </is>
      </c>
      <c r="B698" s="49" t="n">
        <v>3.5</v>
      </c>
      <c r="C698" s="50" t="n">
        <v>1.225</v>
      </c>
      <c r="D698" s="49" t="n">
        <v>3.9</v>
      </c>
      <c r="E698" s="50" t="n">
        <v>1.17</v>
      </c>
      <c r="F698" s="49" t="n">
        <v>3.2</v>
      </c>
      <c r="G698" s="50" t="n">
        <v>0.64</v>
      </c>
      <c r="H698" s="49" t="n">
        <v>3</v>
      </c>
      <c r="I698" s="50" t="n">
        <v>0.45</v>
      </c>
      <c r="J698" s="50" t="n">
        <v>3.49</v>
      </c>
      <c r="K698" s="50" t="inlineStr">
        <is>
          <t>Fail</t>
        </is>
      </c>
      <c r="L698" s="51" t="n"/>
      <c r="M698" s="51" t="n"/>
      <c r="N698" s="51" t="n"/>
    </row>
    <row r="699" ht="13.5" customHeight="1" s="38">
      <c r="A699" s="73" t="inlineStr">
        <is>
          <t>R_0696</t>
        </is>
      </c>
      <c r="B699" s="49" t="n">
        <v>3.4</v>
      </c>
      <c r="C699" s="50" t="n">
        <v>1.19</v>
      </c>
      <c r="D699" s="49" t="n">
        <v>3.4</v>
      </c>
      <c r="E699" s="50" t="n">
        <v>1.02</v>
      </c>
      <c r="F699" s="49" t="n">
        <v>3.6</v>
      </c>
      <c r="G699" s="50" t="n">
        <v>0.72</v>
      </c>
      <c r="H699" s="49" t="n">
        <v>2.8</v>
      </c>
      <c r="I699" s="50" t="n">
        <v>0.42</v>
      </c>
      <c r="J699" s="50" t="n">
        <v>3.35</v>
      </c>
      <c r="K699" s="50" t="inlineStr">
        <is>
          <t>Fail</t>
        </is>
      </c>
      <c r="L699" s="51" t="n"/>
      <c r="M699" s="51" t="n"/>
      <c r="N699" s="51" t="n"/>
    </row>
    <row r="700" ht="13.5" customHeight="1" s="38">
      <c r="A700" s="73" t="inlineStr">
        <is>
          <t>R_0697</t>
        </is>
      </c>
      <c r="B700" s="49" t="n">
        <v>3.4</v>
      </c>
      <c r="C700" s="50" t="n">
        <v>1.19</v>
      </c>
      <c r="D700" s="49" t="n">
        <v>3.7</v>
      </c>
      <c r="E700" s="50" t="n">
        <v>1.11</v>
      </c>
      <c r="F700" s="49" t="n">
        <v>3.8</v>
      </c>
      <c r="G700" s="50" t="n">
        <v>0.76</v>
      </c>
      <c r="H700" s="49" t="n">
        <v>4.7</v>
      </c>
      <c r="I700" s="50" t="n">
        <v>0.705</v>
      </c>
      <c r="J700" s="50" t="n">
        <v>3.76</v>
      </c>
      <c r="K700" s="50" t="inlineStr">
        <is>
          <t>Pass</t>
        </is>
      </c>
      <c r="L700" s="51" t="n"/>
      <c r="M700" s="51" t="n"/>
      <c r="N700" s="51" t="n"/>
    </row>
    <row r="701" ht="13.5" customHeight="1" s="38">
      <c r="A701" s="73" t="inlineStr">
        <is>
          <t>R_0698</t>
        </is>
      </c>
      <c r="B701" s="49" t="inlineStr">
        <is>
          <t>3.6 | 2.8</t>
        </is>
      </c>
      <c r="C701" s="50" t="inlineStr">
        <is>
          <t>1.26 | 0.98</t>
        </is>
      </c>
      <c r="D701" s="49" t="inlineStr">
        <is>
          <t>3.2 | 3.5</t>
        </is>
      </c>
      <c r="E701" s="50" t="inlineStr">
        <is>
          <t>0.96 | 1.05</t>
        </is>
      </c>
      <c r="F701" s="49" t="inlineStr">
        <is>
          <t>3.6 | 3.1</t>
        </is>
      </c>
      <c r="G701" s="50" t="inlineStr">
        <is>
          <t>0.72 | 0.62</t>
        </is>
      </c>
      <c r="H701" s="49" t="inlineStr">
        <is>
          <t>2.8 | 3.6</t>
        </is>
      </c>
      <c r="I701" s="50" t="inlineStr">
        <is>
          <t>0.42 | 0.54</t>
        </is>
      </c>
      <c r="J701" s="50" t="inlineStr">
        <is>
          <t>3.36 | 3.19</t>
        </is>
      </c>
      <c r="K701" s="50" t="inlineStr">
        <is>
          <t>Fail | Fail</t>
        </is>
      </c>
      <c r="L701" s="51" t="n"/>
      <c r="M701" s="51" t="n"/>
      <c r="N701" s="51" t="n"/>
    </row>
    <row r="702" ht="13.5" customHeight="1" s="38">
      <c r="A702" s="73" t="inlineStr">
        <is>
          <t>R_0699</t>
        </is>
      </c>
      <c r="B702" s="49" t="inlineStr">
        <is>
          <t>3.7 | 2.9</t>
        </is>
      </c>
      <c r="C702" s="50" t="inlineStr">
        <is>
          <t>1.295 | 1.015</t>
        </is>
      </c>
      <c r="D702" s="49" t="inlineStr">
        <is>
          <t>3.2| 2.9</t>
        </is>
      </c>
      <c r="E702" s="50" t="inlineStr">
        <is>
          <t>0.96 | 0.87</t>
        </is>
      </c>
      <c r="F702" s="49" t="inlineStr">
        <is>
          <t>3.6 | 2.8</t>
        </is>
      </c>
      <c r="G702" s="50" t="inlineStr">
        <is>
          <t>0.72 | 0.56</t>
        </is>
      </c>
      <c r="H702" s="49" t="inlineStr">
        <is>
          <t>3.8 | 4.2</t>
        </is>
      </c>
      <c r="I702" s="50" t="inlineStr">
        <is>
          <t>0.57 | 0.63</t>
        </is>
      </c>
      <c r="J702" s="50" t="inlineStr">
        <is>
          <t>3.54 | 3.075</t>
        </is>
      </c>
      <c r="K702" s="50" t="inlineStr">
        <is>
          <t>Pass | Fail</t>
        </is>
      </c>
      <c r="L702" s="51" t="n"/>
      <c r="M702" s="51" t="n"/>
      <c r="N702" s="51" t="n"/>
    </row>
    <row r="703" ht="13.5" customHeight="1" s="38">
      <c r="A703" s="73" t="inlineStr">
        <is>
          <t>R_0700</t>
        </is>
      </c>
      <c r="B703" s="49" t="n">
        <v>3.5</v>
      </c>
      <c r="C703" s="50" t="n">
        <v>1.225</v>
      </c>
      <c r="D703" s="49" t="n">
        <v>3.2</v>
      </c>
      <c r="E703" s="50" t="n">
        <v>0.96</v>
      </c>
      <c r="F703" s="49" t="n">
        <v>3.6</v>
      </c>
      <c r="G703" s="50" t="n">
        <v>0.72</v>
      </c>
      <c r="H703" s="49" t="n">
        <v>3.6</v>
      </c>
      <c r="I703" s="50" t="n">
        <v>0.54</v>
      </c>
      <c r="J703" s="50" t="n">
        <v>3.45</v>
      </c>
      <c r="K703" s="50" t="inlineStr">
        <is>
          <t>Fail</t>
        </is>
      </c>
      <c r="L703" s="51" t="n"/>
      <c r="M703" s="51" t="n"/>
      <c r="N703" s="51" t="n"/>
    </row>
    <row r="704" ht="13.5" customHeight="1" s="38">
      <c r="A704" s="73" t="inlineStr">
        <is>
          <t>R_0701</t>
        </is>
      </c>
      <c r="B704" s="49" t="n">
        <v>3.7</v>
      </c>
      <c r="C704" s="50" t="n">
        <v>1.295</v>
      </c>
      <c r="D704" s="49" t="n">
        <v>3.7</v>
      </c>
      <c r="E704" s="50" t="n">
        <v>1.11</v>
      </c>
      <c r="F704" s="49" t="n">
        <v>3.2</v>
      </c>
      <c r="G704" s="50" t="n">
        <v>0.64</v>
      </c>
      <c r="H704" s="49" t="n">
        <v>3</v>
      </c>
      <c r="I704" s="50" t="n">
        <v>0.45</v>
      </c>
      <c r="J704" s="50" t="n">
        <v>3.5</v>
      </c>
      <c r="K704" s="50" t="inlineStr">
        <is>
          <t>Pass</t>
        </is>
      </c>
      <c r="L704" s="51" t="n"/>
      <c r="M704" s="51" t="n"/>
      <c r="N704" s="51" t="n"/>
    </row>
    <row r="705" ht="13.5" customHeight="1" s="38">
      <c r="A705" s="73" t="inlineStr">
        <is>
          <t>R_0702</t>
        </is>
      </c>
      <c r="B705" s="49" t="n">
        <v>3.1</v>
      </c>
      <c r="C705" s="50" t="n">
        <v>1.085</v>
      </c>
      <c r="D705" s="49" t="n">
        <v>3.4</v>
      </c>
      <c r="E705" s="50" t="n">
        <v>1.02</v>
      </c>
      <c r="F705" s="49" t="n">
        <v>3.5</v>
      </c>
      <c r="G705" s="50" t="n">
        <v>0.7</v>
      </c>
      <c r="H705" s="49" t="n">
        <v>3.9</v>
      </c>
      <c r="I705" s="50" t="n">
        <v>0.585</v>
      </c>
      <c r="J705" s="50" t="n">
        <v>3.39</v>
      </c>
      <c r="K705" s="50" t="inlineStr">
        <is>
          <t>Fail</t>
        </is>
      </c>
      <c r="L705" s="51" t="n"/>
      <c r="M705" s="51" t="n"/>
      <c r="N705" s="51" t="n"/>
    </row>
    <row r="706" ht="13.5" customHeight="1" s="38">
      <c r="A706" s="73" t="inlineStr">
        <is>
          <t>R_0703</t>
        </is>
      </c>
      <c r="B706" s="49" t="n">
        <v>3.6</v>
      </c>
      <c r="C706" s="50" t="n">
        <v>1.26</v>
      </c>
      <c r="D706" s="49" t="n">
        <v>3</v>
      </c>
      <c r="E706" s="50" t="n">
        <v>0.9</v>
      </c>
      <c r="F706" s="49" t="n">
        <v>3.5</v>
      </c>
      <c r="G706" s="50" t="n">
        <v>0.7</v>
      </c>
      <c r="H706" s="49" t="n">
        <v>3.8</v>
      </c>
      <c r="I706" s="50" t="n">
        <v>0.57</v>
      </c>
      <c r="J706" s="50" t="n">
        <v>3.43</v>
      </c>
      <c r="K706" s="50" t="inlineStr">
        <is>
          <t>Fail</t>
        </is>
      </c>
      <c r="L706" s="51" t="n"/>
      <c r="M706" s="51" t="n"/>
      <c r="N706" s="51" t="n"/>
    </row>
    <row r="707" ht="13.5" customHeight="1" s="38">
      <c r="A707" s="73" t="inlineStr">
        <is>
          <t>R_0704</t>
        </is>
      </c>
      <c r="B707" s="49" t="n">
        <v>3.3</v>
      </c>
      <c r="C707" s="50" t="n">
        <v>1.155</v>
      </c>
      <c r="D707" s="49" t="n">
        <v>3.1</v>
      </c>
      <c r="E707" s="50" t="n">
        <v>0.93</v>
      </c>
      <c r="F707" s="49" t="n">
        <v>3.5</v>
      </c>
      <c r="G707" s="50" t="n">
        <v>0.7</v>
      </c>
      <c r="H707" s="49" t="n">
        <v>2.8</v>
      </c>
      <c r="I707" s="50" t="n">
        <v>0.42</v>
      </c>
      <c r="J707" s="50" t="n">
        <v>3.21</v>
      </c>
      <c r="K707" s="50" t="inlineStr">
        <is>
          <t>Fail</t>
        </is>
      </c>
      <c r="L707" s="51" t="n"/>
      <c r="M707" s="51" t="n"/>
      <c r="N707" s="51" t="n"/>
    </row>
    <row r="708" ht="13.5" customHeight="1" s="38">
      <c r="A708" s="73" t="inlineStr">
        <is>
          <t>R_0705</t>
        </is>
      </c>
      <c r="B708" s="49" t="n">
        <v>3.1</v>
      </c>
      <c r="C708" s="50" t="n">
        <v>1.085</v>
      </c>
      <c r="D708" s="49" t="n">
        <v>3.3</v>
      </c>
      <c r="E708" s="50" t="n">
        <v>0.99</v>
      </c>
      <c r="F708" s="49" t="n">
        <v>3.7</v>
      </c>
      <c r="G708" s="50" t="n">
        <v>0.74</v>
      </c>
      <c r="H708" s="49" t="n">
        <v>3.9</v>
      </c>
      <c r="I708" s="50" t="n">
        <v>0.585</v>
      </c>
      <c r="J708" s="50" t="n">
        <v>3.4</v>
      </c>
      <c r="K708" s="50" t="inlineStr">
        <is>
          <t>Fail</t>
        </is>
      </c>
      <c r="L708" s="51" t="n"/>
      <c r="M708" s="51" t="n"/>
      <c r="N708" s="51" t="n"/>
    </row>
    <row r="709" ht="13.5" customHeight="1" s="38">
      <c r="A709" s="73" t="inlineStr">
        <is>
          <t>R_0706</t>
        </is>
      </c>
      <c r="B709" s="49" t="n">
        <v>3.3</v>
      </c>
      <c r="C709" s="50" t="n">
        <v>1.155</v>
      </c>
      <c r="D709" s="49" t="n">
        <v>3.5</v>
      </c>
      <c r="E709" s="50" t="n">
        <v>1.05</v>
      </c>
      <c r="F709" s="49" t="n">
        <v>3.6</v>
      </c>
      <c r="G709" s="50" t="n">
        <v>0.72</v>
      </c>
      <c r="H709" s="49" t="n">
        <v>4.3</v>
      </c>
      <c r="I709" s="50" t="n">
        <v>0.645</v>
      </c>
      <c r="J709" s="50" t="n">
        <v>3.57</v>
      </c>
      <c r="K709" s="50" t="inlineStr">
        <is>
          <t>Pass</t>
        </is>
      </c>
      <c r="L709" s="51" t="n"/>
      <c r="M709" s="51" t="n"/>
      <c r="N709" s="51" t="n"/>
    </row>
    <row r="710" ht="13.5" customHeight="1" s="38">
      <c r="A710" s="73" t="inlineStr">
        <is>
          <t>R_0707</t>
        </is>
      </c>
      <c r="B710" s="49" t="n">
        <v>3.5</v>
      </c>
      <c r="C710" s="50" t="n">
        <v>1.225</v>
      </c>
      <c r="D710" s="49" t="n">
        <v>3.8</v>
      </c>
      <c r="E710" s="50" t="n">
        <v>1.14</v>
      </c>
      <c r="F710" s="49" t="n">
        <v>3.7</v>
      </c>
      <c r="G710" s="50" t="n">
        <v>0.74</v>
      </c>
      <c r="H710" s="49" t="n">
        <v>3.2</v>
      </c>
      <c r="I710" s="50" t="n">
        <v>0.48</v>
      </c>
      <c r="J710" s="50" t="n">
        <v>3.58</v>
      </c>
      <c r="K710" s="50" t="inlineStr">
        <is>
          <t>Pass</t>
        </is>
      </c>
      <c r="L710" s="51" t="n"/>
      <c r="M710" s="51" t="n"/>
      <c r="N710" s="51" t="n"/>
    </row>
    <row r="711" ht="13.5" customHeight="1" s="38">
      <c r="A711" s="73" t="inlineStr">
        <is>
          <t>R_0708</t>
        </is>
      </c>
      <c r="B711" s="49" t="n">
        <v>3.2</v>
      </c>
      <c r="C711" s="50" t="n">
        <v>1.12</v>
      </c>
      <c r="D711" s="49" t="n">
        <v>3.6</v>
      </c>
      <c r="E711" s="50" t="n">
        <v>1.08</v>
      </c>
      <c r="F711" s="49" t="n">
        <v>3.4</v>
      </c>
      <c r="G711" s="50" t="n">
        <v>0.68</v>
      </c>
      <c r="H711" s="49" t="n">
        <v>4.3</v>
      </c>
      <c r="I711" s="50" t="n">
        <v>0.645</v>
      </c>
      <c r="J711" s="50" t="n">
        <v>3.53</v>
      </c>
      <c r="K711" s="50" t="inlineStr">
        <is>
          <t>Pass</t>
        </is>
      </c>
      <c r="L711" s="51" t="n"/>
      <c r="M711" s="51" t="n"/>
      <c r="N711" s="51" t="n"/>
    </row>
    <row r="712" ht="13.5" customHeight="1" s="38">
      <c r="A712" s="73" t="inlineStr">
        <is>
          <t>R_0709</t>
        </is>
      </c>
      <c r="B712" s="49" t="n">
        <v>2.8</v>
      </c>
      <c r="C712" s="50" t="n">
        <v>0.98</v>
      </c>
      <c r="D712" s="49" t="n">
        <v>3.5</v>
      </c>
      <c r="E712" s="50" t="n">
        <v>1.05</v>
      </c>
      <c r="F712" s="49" t="n">
        <v>3.5</v>
      </c>
      <c r="G712" s="50" t="n">
        <v>0.7</v>
      </c>
      <c r="H712" s="49" t="n">
        <v>4.1</v>
      </c>
      <c r="I712" s="50" t="n">
        <v>0.615</v>
      </c>
      <c r="J712" s="50" t="n">
        <v>3.34</v>
      </c>
      <c r="K712" s="50" t="inlineStr">
        <is>
          <t>Fail</t>
        </is>
      </c>
      <c r="L712" s="51" t="n"/>
      <c r="M712" s="51" t="n"/>
      <c r="N712" s="51" t="n"/>
    </row>
    <row r="713" ht="13.5" customHeight="1" s="38">
      <c r="A713" s="73" t="inlineStr">
        <is>
          <t>R_0710</t>
        </is>
      </c>
      <c r="B713" s="49" t="n">
        <v>3.5</v>
      </c>
      <c r="C713" s="50" t="n">
        <v>1.225</v>
      </c>
      <c r="D713" s="49" t="n">
        <v>3.2</v>
      </c>
      <c r="E713" s="50" t="n">
        <v>0.96</v>
      </c>
      <c r="F713" s="49" t="n">
        <v>3.5</v>
      </c>
      <c r="G713" s="50" t="n">
        <v>0.7</v>
      </c>
      <c r="H713" s="49" t="n">
        <v>3</v>
      </c>
      <c r="I713" s="50" t="n">
        <v>0.45</v>
      </c>
      <c r="J713" s="50" t="n">
        <v>3.33</v>
      </c>
      <c r="K713" s="50" t="inlineStr">
        <is>
          <t>Fail</t>
        </is>
      </c>
      <c r="L713" s="51" t="n"/>
      <c r="M713" s="51" t="n"/>
      <c r="N713" s="51" t="n"/>
    </row>
    <row r="714" ht="13.5" customHeight="1" s="38">
      <c r="A714" s="73" t="inlineStr">
        <is>
          <t>R_0711</t>
        </is>
      </c>
      <c r="B714" s="49" t="inlineStr">
        <is>
          <t>3.8 | 2.4</t>
        </is>
      </c>
      <c r="C714" s="50" t="inlineStr">
        <is>
          <t>1.33 | 0.84</t>
        </is>
      </c>
      <c r="D714" s="49" t="inlineStr">
        <is>
          <t>3.9 | 3.1</t>
        </is>
      </c>
      <c r="E714" s="50" t="inlineStr">
        <is>
          <t>1.17 | 0.93</t>
        </is>
      </c>
      <c r="F714" s="49" t="inlineStr">
        <is>
          <t>3.2 | 1.8</t>
        </is>
      </c>
      <c r="G714" s="50" t="inlineStr">
        <is>
          <t>0.64 | 0.36</t>
        </is>
      </c>
      <c r="H714" s="49" t="inlineStr">
        <is>
          <t>3.0 | 2.8</t>
        </is>
      </c>
      <c r="I714" s="50" t="inlineStr">
        <is>
          <t>0.45 | 0.42</t>
        </is>
      </c>
      <c r="J714" s="50" t="inlineStr">
        <is>
          <t>3.59 | 2.82</t>
        </is>
      </c>
      <c r="K714" s="50" t="inlineStr">
        <is>
          <t>Pass | Fail</t>
        </is>
      </c>
      <c r="L714" s="51" t="n"/>
      <c r="M714" s="51" t="n"/>
      <c r="N714" s="51" t="n"/>
    </row>
    <row r="715" ht="13.5" customHeight="1" s="38">
      <c r="A715" s="73" t="inlineStr">
        <is>
          <t>R_0712</t>
        </is>
      </c>
      <c r="B715" s="49" t="inlineStr">
        <is>
          <t>3.3 | 2.8</t>
        </is>
      </c>
      <c r="C715" s="50" t="inlineStr">
        <is>
          <t>1.155 | 0.98</t>
        </is>
      </c>
      <c r="D715" s="49" t="inlineStr">
        <is>
          <t>2.9 | 3.0</t>
        </is>
      </c>
      <c r="E715" s="50" t="inlineStr">
        <is>
          <t>0.87 | 0.9</t>
        </is>
      </c>
      <c r="F715" s="49" t="inlineStr">
        <is>
          <t>3.5 | 2.8</t>
        </is>
      </c>
      <c r="G715" s="50" t="inlineStr">
        <is>
          <t>0.7 | 0.56</t>
        </is>
      </c>
      <c r="H715" s="49" t="inlineStr">
        <is>
          <t>2.8 | 4.0</t>
        </is>
      </c>
      <c r="I715" s="50" t="inlineStr">
        <is>
          <t>0.42 | 0.6</t>
        </is>
      </c>
      <c r="J715" s="50" t="inlineStr">
        <is>
          <t>3.14 | 3.04</t>
        </is>
      </c>
      <c r="K715" s="50" t="inlineStr">
        <is>
          <t>Fail | Fail</t>
        </is>
      </c>
      <c r="L715" s="51" t="n"/>
      <c r="M715" s="51" t="n"/>
      <c r="N715" s="51" t="n"/>
    </row>
    <row r="716" ht="13.5" customHeight="1" s="38">
      <c r="A716" s="73" t="inlineStr">
        <is>
          <t>R_0713</t>
        </is>
      </c>
      <c r="B716" s="49" t="n">
        <v>3.2</v>
      </c>
      <c r="C716" s="50" t="n">
        <v>1.12</v>
      </c>
      <c r="D716" s="49" t="n">
        <v>3.5</v>
      </c>
      <c r="E716" s="50" t="n">
        <v>1.05</v>
      </c>
      <c r="F716" s="49" t="n">
        <v>3.6</v>
      </c>
      <c r="G716" s="50" t="n">
        <v>0.72</v>
      </c>
      <c r="H716" s="49" t="n">
        <v>4.3</v>
      </c>
      <c r="I716" s="50" t="n">
        <v>0.645</v>
      </c>
      <c r="J716" s="50" t="n">
        <v>3.54</v>
      </c>
      <c r="K716" s="50" t="inlineStr">
        <is>
          <t>Pass</t>
        </is>
      </c>
      <c r="L716" s="51" t="n"/>
      <c r="M716" s="51" t="n"/>
      <c r="N716" s="51" t="n"/>
    </row>
    <row r="717" ht="13.5" customHeight="1" s="38">
      <c r="A717" s="73" t="inlineStr">
        <is>
          <t>R_0714</t>
        </is>
      </c>
      <c r="B717" s="49" t="n">
        <v>3.4</v>
      </c>
      <c r="C717" s="50" t="n">
        <v>1.19</v>
      </c>
      <c r="D717" s="49" t="n">
        <v>3.2</v>
      </c>
      <c r="E717" s="50" t="n">
        <v>0.96</v>
      </c>
      <c r="F717" s="49" t="n">
        <v>3.5</v>
      </c>
      <c r="G717" s="50" t="n">
        <v>0.7</v>
      </c>
      <c r="H717" s="49" t="n">
        <v>3</v>
      </c>
      <c r="I717" s="50" t="n">
        <v>0.45</v>
      </c>
      <c r="J717" s="50" t="n">
        <v>3.3</v>
      </c>
      <c r="K717" s="50" t="inlineStr">
        <is>
          <t>Fail</t>
        </is>
      </c>
      <c r="L717" s="51" t="n"/>
      <c r="M717" s="51" t="n"/>
      <c r="N717" s="51" t="n"/>
    </row>
    <row r="718" ht="13.5" customHeight="1" s="38">
      <c r="A718" s="73" t="inlineStr">
        <is>
          <t>R_0715</t>
        </is>
      </c>
      <c r="B718" s="49" t="n">
        <v>3.6</v>
      </c>
      <c r="C718" s="50" t="n">
        <v>1.26</v>
      </c>
      <c r="D718" s="49" t="n">
        <v>3.3</v>
      </c>
      <c r="E718" s="50" t="n">
        <v>0.99</v>
      </c>
      <c r="F718" s="49" t="n">
        <v>3.7</v>
      </c>
      <c r="G718" s="50" t="n">
        <v>0.74</v>
      </c>
      <c r="H718" s="49" t="n">
        <v>3.8</v>
      </c>
      <c r="I718" s="50" t="n">
        <v>0.57</v>
      </c>
      <c r="J718" s="50" t="n">
        <v>3.56</v>
      </c>
      <c r="K718" s="50" t="inlineStr">
        <is>
          <t>Pass</t>
        </is>
      </c>
      <c r="L718" s="51" t="n"/>
      <c r="M718" s="51" t="n"/>
      <c r="N718" s="51" t="n"/>
    </row>
    <row r="719" ht="13.5" customHeight="1" s="38">
      <c r="A719" s="73" t="inlineStr">
        <is>
          <t>R_0716</t>
        </is>
      </c>
      <c r="B719" s="49" t="n">
        <v>2.7</v>
      </c>
      <c r="C719" s="50" t="n">
        <v>0.945</v>
      </c>
      <c r="D719" s="49" t="n">
        <v>3.2</v>
      </c>
      <c r="E719" s="50" t="n">
        <v>0.96</v>
      </c>
      <c r="F719" s="49" t="n">
        <v>3.6</v>
      </c>
      <c r="G719" s="50" t="n">
        <v>0.72</v>
      </c>
      <c r="H719" s="49" t="n">
        <v>2.8</v>
      </c>
      <c r="I719" s="50" t="n">
        <v>0.42</v>
      </c>
      <c r="J719" s="50" t="n">
        <v>3.04</v>
      </c>
      <c r="K719" s="50" t="inlineStr">
        <is>
          <t>Fail</t>
        </is>
      </c>
      <c r="L719" s="51" t="n"/>
      <c r="M719" s="51" t="n"/>
      <c r="N719" s="51" t="n"/>
    </row>
    <row r="720" ht="13.5" customHeight="1" s="38">
      <c r="A720" s="73" t="inlineStr">
        <is>
          <t>R_0717</t>
        </is>
      </c>
      <c r="B720" s="49" t="n">
        <v>3.4</v>
      </c>
      <c r="C720" s="50" t="n">
        <v>1.19</v>
      </c>
      <c r="D720" s="49" t="n">
        <v>3</v>
      </c>
      <c r="E720" s="50" t="n">
        <v>0.9</v>
      </c>
      <c r="F720" s="49" t="n">
        <v>3.5</v>
      </c>
      <c r="G720" s="50" t="n">
        <v>0.7</v>
      </c>
      <c r="H720" s="49" t="n">
        <v>2.8</v>
      </c>
      <c r="I720" s="50" t="n">
        <v>0.42</v>
      </c>
      <c r="J720" s="50" t="n">
        <v>3.21</v>
      </c>
      <c r="K720" s="50" t="inlineStr">
        <is>
          <t>Fail</t>
        </is>
      </c>
      <c r="L720" s="51" t="n"/>
      <c r="M720" s="51" t="n"/>
      <c r="N720" s="51" t="n"/>
    </row>
    <row r="721" ht="13.5" customHeight="1" s="38">
      <c r="A721" s="73" t="inlineStr">
        <is>
          <t>R_0718</t>
        </is>
      </c>
      <c r="B721" s="49" t="n">
        <v>3.2</v>
      </c>
      <c r="C721" s="50" t="n">
        <v>1.12</v>
      </c>
      <c r="D721" s="49" t="n">
        <v>3.9</v>
      </c>
      <c r="E721" s="50" t="n">
        <v>1.17</v>
      </c>
      <c r="F721" s="49" t="n">
        <v>3.6</v>
      </c>
      <c r="G721" s="50" t="n">
        <v>0.72</v>
      </c>
      <c r="H721" s="49" t="n">
        <v>3.3</v>
      </c>
      <c r="I721" s="50" t="n">
        <v>0.495</v>
      </c>
      <c r="J721" s="50" t="n">
        <v>3.51</v>
      </c>
      <c r="K721" s="50" t="inlineStr">
        <is>
          <t>Pass</t>
        </is>
      </c>
      <c r="L721" s="51" t="n"/>
      <c r="M721" s="51" t="n"/>
      <c r="N721" s="51" t="n"/>
    </row>
    <row r="722" ht="13.5" customHeight="1" s="38">
      <c r="A722" s="73" t="inlineStr">
        <is>
          <t>R_0719</t>
        </is>
      </c>
      <c r="B722" s="49" t="n">
        <v>3.4</v>
      </c>
      <c r="C722" s="50" t="n">
        <v>1.19</v>
      </c>
      <c r="D722" s="49" t="n">
        <v>3.6</v>
      </c>
      <c r="E722" s="50" t="n">
        <v>1.08</v>
      </c>
      <c r="F722" s="49" t="n">
        <v>3.8</v>
      </c>
      <c r="G722" s="50" t="n">
        <v>0.76</v>
      </c>
      <c r="H722" s="49" t="n">
        <v>4.5</v>
      </c>
      <c r="I722" s="50" t="n">
        <v>0.675</v>
      </c>
      <c r="J722" s="50" t="n">
        <v>3.71</v>
      </c>
      <c r="K722" s="50" t="inlineStr">
        <is>
          <t>Pass</t>
        </is>
      </c>
      <c r="L722" s="51" t="n"/>
      <c r="M722" s="51" t="n"/>
      <c r="N722" s="51" t="n"/>
    </row>
    <row r="723" ht="13.5" customHeight="1" s="38">
      <c r="A723" s="73" t="inlineStr">
        <is>
          <t>R_0720</t>
        </is>
      </c>
      <c r="B723" s="49" t="n">
        <v>3.6</v>
      </c>
      <c r="C723" s="50" t="n">
        <v>1.26</v>
      </c>
      <c r="D723" s="49" t="n">
        <v>3.9</v>
      </c>
      <c r="E723" s="50" t="n">
        <v>1.17</v>
      </c>
      <c r="F723" s="49" t="n">
        <v>3.5</v>
      </c>
      <c r="G723" s="50" t="n">
        <v>0.7</v>
      </c>
      <c r="H723" s="49" t="n">
        <v>3</v>
      </c>
      <c r="I723" s="50" t="n">
        <v>0.45</v>
      </c>
      <c r="J723" s="50" t="n">
        <v>3.58</v>
      </c>
      <c r="K723" s="50" t="inlineStr">
        <is>
          <t>Pass</t>
        </is>
      </c>
      <c r="L723" s="51" t="n"/>
      <c r="M723" s="51" t="n"/>
      <c r="N723" s="51" t="n"/>
    </row>
    <row r="724" ht="13.5" customHeight="1" s="38">
      <c r="A724" s="73" t="inlineStr">
        <is>
          <t>R_0721</t>
        </is>
      </c>
      <c r="B724" s="49" t="n">
        <v>2.8</v>
      </c>
      <c r="C724" s="50" t="n">
        <v>0.98</v>
      </c>
      <c r="D724" s="49" t="n">
        <v>3.1</v>
      </c>
      <c r="E724" s="50" t="n">
        <v>0.93</v>
      </c>
      <c r="F724" s="49" t="n">
        <v>3.3</v>
      </c>
      <c r="G724" s="50" t="n">
        <v>0.66</v>
      </c>
      <c r="H724" s="49" t="n">
        <v>2.8</v>
      </c>
      <c r="I724" s="50" t="n">
        <v>0.42</v>
      </c>
      <c r="J724" s="50" t="n">
        <v>2.99</v>
      </c>
      <c r="K724" s="50" t="inlineStr">
        <is>
          <t>Fail</t>
        </is>
      </c>
      <c r="L724" s="51" t="n"/>
      <c r="M724" s="51" t="n"/>
      <c r="N724" s="51" t="n"/>
    </row>
    <row r="725" ht="13.5" customHeight="1" s="38">
      <c r="A725" s="73" t="inlineStr">
        <is>
          <t>R_0722</t>
        </is>
      </c>
      <c r="B725" s="49" t="n">
        <v>3.4</v>
      </c>
      <c r="C725" s="50" t="n">
        <v>1.19</v>
      </c>
      <c r="D725" s="49" t="n">
        <v>3.3</v>
      </c>
      <c r="E725" s="50" t="n">
        <v>0.99</v>
      </c>
      <c r="F725" s="49" t="n">
        <v>3.8</v>
      </c>
      <c r="G725" s="50" t="n">
        <v>0.76</v>
      </c>
      <c r="H725" s="49" t="n">
        <v>4.2</v>
      </c>
      <c r="I725" s="50" t="n">
        <v>0.63</v>
      </c>
      <c r="J725" s="50" t="n">
        <v>3.57</v>
      </c>
      <c r="K725" s="50" t="inlineStr">
        <is>
          <t>Pass</t>
        </is>
      </c>
      <c r="L725" s="51" t="n"/>
      <c r="M725" s="51" t="n"/>
      <c r="N725" s="51" t="n"/>
    </row>
    <row r="726" ht="13.5" customHeight="1" s="38">
      <c r="A726" s="73" t="inlineStr">
        <is>
          <t>R_0723</t>
        </is>
      </c>
      <c r="B726" s="49" t="n">
        <v>3.5</v>
      </c>
      <c r="C726" s="50" t="n">
        <v>1.225</v>
      </c>
      <c r="D726" s="49" t="n">
        <v>3.8</v>
      </c>
      <c r="E726" s="50" t="n">
        <v>1.14</v>
      </c>
      <c r="F726" s="49" t="n">
        <v>3.2</v>
      </c>
      <c r="G726" s="50" t="n">
        <v>0.64</v>
      </c>
      <c r="H726" s="49" t="n">
        <v>3</v>
      </c>
      <c r="I726" s="50" t="n">
        <v>0.45</v>
      </c>
      <c r="J726" s="50" t="n">
        <v>3.46</v>
      </c>
      <c r="K726" s="50" t="inlineStr">
        <is>
          <t>Fail</t>
        </is>
      </c>
      <c r="L726" s="51" t="n"/>
      <c r="M726" s="51" t="n"/>
      <c r="N726" s="51" t="n"/>
    </row>
    <row r="727" ht="13.5" customHeight="1" s="38">
      <c r="A727" s="73" t="inlineStr">
        <is>
          <t>R_0724</t>
        </is>
      </c>
      <c r="B727" s="49" t="n">
        <v>3.4</v>
      </c>
      <c r="C727" s="50" t="n">
        <v>1.19</v>
      </c>
      <c r="D727" s="49" t="n">
        <v>3.2</v>
      </c>
      <c r="E727" s="50" t="n">
        <v>0.96</v>
      </c>
      <c r="F727" s="49" t="n">
        <v>3.6</v>
      </c>
      <c r="G727" s="50" t="n">
        <v>0.72</v>
      </c>
      <c r="H727" s="49" t="n">
        <v>2.8</v>
      </c>
      <c r="I727" s="50" t="n">
        <v>0.42</v>
      </c>
      <c r="J727" s="50" t="n">
        <v>3.29</v>
      </c>
      <c r="K727" s="50" t="inlineStr">
        <is>
          <t>Fail</t>
        </is>
      </c>
      <c r="L727" s="51" t="n"/>
      <c r="M727" s="51" t="n"/>
      <c r="N727" s="51" t="n"/>
    </row>
    <row r="728" ht="13.5" customHeight="1" s="38">
      <c r="A728" s="73" t="inlineStr">
        <is>
          <t>R_0725</t>
        </is>
      </c>
      <c r="B728" s="49" t="n">
        <v>3.6</v>
      </c>
      <c r="C728" s="50" t="n">
        <v>1.26</v>
      </c>
      <c r="D728" s="49" t="n">
        <v>3.9</v>
      </c>
      <c r="E728" s="50" t="n">
        <v>1.17</v>
      </c>
      <c r="F728" s="49" t="n">
        <v>3.8</v>
      </c>
      <c r="G728" s="50" t="n">
        <v>0.76</v>
      </c>
      <c r="H728" s="49" t="n">
        <v>3.3</v>
      </c>
      <c r="I728" s="50" t="n">
        <v>0.495</v>
      </c>
      <c r="J728" s="50" t="n">
        <v>3.68</v>
      </c>
      <c r="K728" s="50" t="inlineStr">
        <is>
          <t>Pass</t>
        </is>
      </c>
      <c r="L728" s="51" t="n"/>
      <c r="M728" s="51" t="n"/>
      <c r="N728" s="51" t="n"/>
    </row>
    <row r="729" ht="13.5" customHeight="1" s="38">
      <c r="A729" s="73" t="inlineStr">
        <is>
          <t>R_0726</t>
        </is>
      </c>
      <c r="B729" s="49" t="n">
        <v>3.3</v>
      </c>
      <c r="C729" s="50" t="n">
        <v>1.155</v>
      </c>
      <c r="D729" s="49" t="n">
        <v>2.9</v>
      </c>
      <c r="E729" s="50" t="n">
        <v>0.87</v>
      </c>
      <c r="F729" s="49" t="n">
        <v>3.5</v>
      </c>
      <c r="G729" s="50" t="n">
        <v>0.7</v>
      </c>
      <c r="H729" s="49" t="n">
        <v>3</v>
      </c>
      <c r="I729" s="50" t="n">
        <v>0.45</v>
      </c>
      <c r="J729" s="50" t="n">
        <v>3.17</v>
      </c>
      <c r="K729" s="50" t="inlineStr">
        <is>
          <t>Fail</t>
        </is>
      </c>
      <c r="L729" s="51" t="n"/>
      <c r="M729" s="51" t="n"/>
      <c r="N729" s="51" t="n"/>
    </row>
    <row r="730" ht="13.5" customHeight="1" s="38">
      <c r="A730" s="73" t="inlineStr">
        <is>
          <t>R_0727</t>
        </is>
      </c>
      <c r="B730" s="49" t="n">
        <v>3.3</v>
      </c>
      <c r="C730" s="50" t="n">
        <v>1.155</v>
      </c>
      <c r="D730" s="49" t="n">
        <v>2.9</v>
      </c>
      <c r="E730" s="50" t="n">
        <v>0.87</v>
      </c>
      <c r="F730" s="49" t="n">
        <v>3.5</v>
      </c>
      <c r="G730" s="50" t="n">
        <v>0.7</v>
      </c>
      <c r="H730" s="49" t="n">
        <v>3</v>
      </c>
      <c r="I730" s="50" t="n">
        <v>0.45</v>
      </c>
      <c r="J730" s="50" t="n">
        <v>3.17</v>
      </c>
      <c r="K730" s="50" t="inlineStr">
        <is>
          <t>Fail</t>
        </is>
      </c>
      <c r="L730" s="51" t="n"/>
      <c r="M730" s="51" t="n"/>
      <c r="N730" s="51" t="n"/>
    </row>
    <row r="731" ht="13.5" customHeight="1" s="38">
      <c r="A731" s="73" t="inlineStr">
        <is>
          <t>R_0728</t>
        </is>
      </c>
      <c r="B731" s="49" t="n">
        <v>3.7</v>
      </c>
      <c r="C731" s="50" t="n">
        <v>1.295</v>
      </c>
      <c r="D731" s="49" t="n">
        <v>3.2</v>
      </c>
      <c r="E731" s="50" t="n">
        <v>0.96</v>
      </c>
      <c r="F731" s="49" t="n">
        <v>3.4</v>
      </c>
      <c r="G731" s="50" t="n">
        <v>0.68</v>
      </c>
      <c r="H731" s="49" t="n">
        <v>3</v>
      </c>
      <c r="I731" s="50" t="n">
        <v>0.45</v>
      </c>
      <c r="J731" s="50" t="n">
        <v>3.39</v>
      </c>
      <c r="K731" s="50" t="inlineStr">
        <is>
          <t>Fail</t>
        </is>
      </c>
      <c r="L731" s="51" t="n"/>
      <c r="M731" s="51" t="n"/>
      <c r="N731" s="51" t="n"/>
    </row>
    <row r="732" ht="13.5" customHeight="1" s="38">
      <c r="A732" s="73" t="inlineStr">
        <is>
          <t>R_0729</t>
        </is>
      </c>
      <c r="B732" s="49" t="n">
        <v>3.3</v>
      </c>
      <c r="C732" s="50" t="n">
        <v>1.155</v>
      </c>
      <c r="D732" s="49" t="n">
        <v>2.8</v>
      </c>
      <c r="E732" s="50" t="n">
        <v>0.84</v>
      </c>
      <c r="F732" s="49" t="n">
        <v>3.5</v>
      </c>
      <c r="G732" s="50" t="n">
        <v>0.7</v>
      </c>
      <c r="H732" s="49" t="n">
        <v>3.5</v>
      </c>
      <c r="I732" s="50" t="n">
        <v>0.525</v>
      </c>
      <c r="J732" s="50" t="n">
        <v>3.22</v>
      </c>
      <c r="K732" s="50" t="inlineStr">
        <is>
          <t>Fail</t>
        </is>
      </c>
      <c r="L732" s="51" t="n"/>
      <c r="M732" s="51" t="n"/>
      <c r="N732" s="51" t="n"/>
    </row>
    <row r="733" ht="13.5" customHeight="1" s="38">
      <c r="A733" s="73" t="inlineStr">
        <is>
          <t>R_0730</t>
        </is>
      </c>
      <c r="B733" s="49" t="n">
        <v>3.2</v>
      </c>
      <c r="C733" s="50" t="n">
        <v>1.12</v>
      </c>
      <c r="D733" s="49" t="n">
        <v>3.9</v>
      </c>
      <c r="E733" s="50" t="n">
        <v>1.17</v>
      </c>
      <c r="F733" s="49" t="n">
        <v>3.6</v>
      </c>
      <c r="G733" s="50" t="n">
        <v>0.72</v>
      </c>
      <c r="H733" s="49" t="n">
        <v>3.3</v>
      </c>
      <c r="I733" s="50" t="n">
        <v>0.495</v>
      </c>
      <c r="J733" s="50" t="n">
        <v>3.51</v>
      </c>
      <c r="K733" s="50" t="inlineStr">
        <is>
          <t>Pass</t>
        </is>
      </c>
      <c r="L733" s="51" t="n"/>
      <c r="M733" s="51" t="n"/>
      <c r="N733" s="51" t="n"/>
    </row>
    <row r="734" ht="13.5" customHeight="1" s="38">
      <c r="A734" s="73" t="inlineStr">
        <is>
          <t>R_0731</t>
        </is>
      </c>
      <c r="B734" s="49" t="n">
        <v>3.5</v>
      </c>
      <c r="C734" s="50" t="n">
        <v>1.225</v>
      </c>
      <c r="D734" s="49" t="n">
        <v>3.8</v>
      </c>
      <c r="E734" s="50" t="n">
        <v>1.14</v>
      </c>
      <c r="F734" s="49" t="n">
        <v>3.7</v>
      </c>
      <c r="G734" s="50" t="n">
        <v>0.74</v>
      </c>
      <c r="H734" s="49" t="n">
        <v>3.2</v>
      </c>
      <c r="I734" s="50" t="n">
        <v>0.48</v>
      </c>
      <c r="J734" s="50" t="n">
        <v>3.58</v>
      </c>
      <c r="K734" s="50" t="inlineStr">
        <is>
          <t>Pass</t>
        </is>
      </c>
      <c r="L734" s="51" t="n"/>
      <c r="M734" s="51" t="n"/>
      <c r="N734" s="51" t="n"/>
    </row>
    <row r="735" ht="13.5" customHeight="1" s="38">
      <c r="A735" s="73" t="inlineStr">
        <is>
          <t>R_0732</t>
        </is>
      </c>
      <c r="B735" s="49" t="n">
        <v>3.7</v>
      </c>
      <c r="C735" s="50" t="n">
        <v>1.295</v>
      </c>
      <c r="D735" s="49" t="n">
        <v>3.8</v>
      </c>
      <c r="E735" s="50" t="n">
        <v>1.14</v>
      </c>
      <c r="F735" s="49" t="n">
        <v>3.3</v>
      </c>
      <c r="G735" s="50" t="n">
        <v>0.66</v>
      </c>
      <c r="H735" s="49" t="n">
        <v>3</v>
      </c>
      <c r="I735" s="50" t="n">
        <v>0.45</v>
      </c>
      <c r="J735" s="50" t="n">
        <v>3.54</v>
      </c>
      <c r="K735" s="50" t="inlineStr">
        <is>
          <t>Pass</t>
        </is>
      </c>
      <c r="L735" s="51" t="n"/>
      <c r="M735" s="51" t="n"/>
      <c r="N735" s="51" t="n"/>
    </row>
    <row r="736" ht="13.5" customHeight="1" s="38">
      <c r="A736" s="73" t="inlineStr">
        <is>
          <t>R_0733</t>
        </is>
      </c>
      <c r="B736" s="49" t="n">
        <v>3.7</v>
      </c>
      <c r="C736" s="50" t="n">
        <v>1.295</v>
      </c>
      <c r="D736" s="49" t="n">
        <v>3.8</v>
      </c>
      <c r="E736" s="50" t="n">
        <v>1.14</v>
      </c>
      <c r="F736" s="49" t="n">
        <v>3.3</v>
      </c>
      <c r="G736" s="50" t="n">
        <v>0.66</v>
      </c>
      <c r="H736" s="49" t="n">
        <v>3</v>
      </c>
      <c r="I736" s="50" t="n">
        <v>0.45</v>
      </c>
      <c r="J736" s="50" t="n">
        <v>3.54</v>
      </c>
      <c r="K736" s="50" t="inlineStr">
        <is>
          <t>Pass</t>
        </is>
      </c>
      <c r="L736" s="51" t="n"/>
      <c r="M736" s="51" t="n"/>
      <c r="N736" s="51" t="n"/>
    </row>
    <row r="737" ht="13.5" customHeight="1" s="38">
      <c r="A737" s="73" t="inlineStr">
        <is>
          <t>R_0734</t>
        </is>
      </c>
      <c r="B737" s="49" t="n">
        <v>3.4</v>
      </c>
      <c r="C737" s="50" t="n">
        <v>1.19</v>
      </c>
      <c r="D737" s="49" t="n">
        <v>3.6</v>
      </c>
      <c r="E737" s="50" t="n">
        <v>1.08</v>
      </c>
      <c r="F737" s="49" t="n">
        <v>3.8</v>
      </c>
      <c r="G737" s="50" t="n">
        <v>0.76</v>
      </c>
      <c r="H737" s="49" t="n">
        <v>4.5</v>
      </c>
      <c r="I737" s="50" t="n">
        <v>0.675</v>
      </c>
      <c r="J737" s="50" t="n">
        <v>3.71</v>
      </c>
      <c r="K737" s="50" t="inlineStr">
        <is>
          <t>Pass</t>
        </is>
      </c>
      <c r="L737" s="51" t="n"/>
      <c r="M737" s="51" t="n"/>
      <c r="N737" s="51" t="n"/>
    </row>
    <row r="738" ht="13.5" customHeight="1" s="38">
      <c r="A738" s="73" t="inlineStr">
        <is>
          <t>R_0735</t>
        </is>
      </c>
      <c r="B738" s="49" t="inlineStr">
        <is>
          <t>3.4 | 3.8</t>
        </is>
      </c>
      <c r="C738" s="50" t="inlineStr">
        <is>
          <t>1.19 | 1.33</t>
        </is>
      </c>
      <c r="D738" s="49" t="inlineStr">
        <is>
          <t>3.2 | 3.3</t>
        </is>
      </c>
      <c r="E738" s="50" t="inlineStr">
        <is>
          <t>0.96 | 0.99</t>
        </is>
      </c>
      <c r="F738" s="49" t="inlineStr">
        <is>
          <t>3.5 | 3.1</t>
        </is>
      </c>
      <c r="G738" s="50" t="inlineStr">
        <is>
          <t>0.7 | 0.62</t>
        </is>
      </c>
      <c r="H738" s="49" t="inlineStr">
        <is>
          <t>3.0 | 3.0</t>
        </is>
      </c>
      <c r="I738" s="50" t="inlineStr">
        <is>
          <t>0.45 | 0.45</t>
        </is>
      </c>
      <c r="J738" s="50" t="inlineStr">
        <is>
          <t>3.3 | 3.39</t>
        </is>
      </c>
      <c r="K738" s="50" t="inlineStr">
        <is>
          <t>Fail | Fail</t>
        </is>
      </c>
      <c r="L738" s="51" t="n"/>
      <c r="M738" s="51" t="n"/>
      <c r="N738" s="51" t="n"/>
    </row>
    <row r="739" ht="13.5" customHeight="1" s="38">
      <c r="A739" s="73" t="inlineStr">
        <is>
          <t>R_0736</t>
        </is>
      </c>
      <c r="B739" s="49" t="n">
        <v>3.6</v>
      </c>
      <c r="C739" s="50" t="n">
        <v>1.26</v>
      </c>
      <c r="D739" s="49" t="n">
        <v>3</v>
      </c>
      <c r="E739" s="50" t="n">
        <v>0.9</v>
      </c>
      <c r="F739" s="49" t="n">
        <v>3.6</v>
      </c>
      <c r="G739" s="50" t="n">
        <v>0.72</v>
      </c>
      <c r="H739" s="49" t="n">
        <v>3.8</v>
      </c>
      <c r="I739" s="50" t="n">
        <v>0.57</v>
      </c>
      <c r="J739" s="50" t="n">
        <v>3.45</v>
      </c>
      <c r="K739" s="50" t="inlineStr">
        <is>
          <t>Fail</t>
        </is>
      </c>
      <c r="L739" s="51" t="n"/>
      <c r="M739" s="51" t="n"/>
      <c r="N739" s="51" t="n"/>
    </row>
    <row r="740" ht="13.5" customHeight="1" s="38">
      <c r="A740" s="73" t="inlineStr">
        <is>
          <t>R_0737</t>
        </is>
      </c>
      <c r="B740" s="49" t="inlineStr">
        <is>
          <t>3.6 | 3.4</t>
        </is>
      </c>
      <c r="C740" s="50" t="inlineStr">
        <is>
          <t>1.26 | 1.19</t>
        </is>
      </c>
      <c r="D740" s="49" t="inlineStr">
        <is>
          <t>3.3 | 3.1</t>
        </is>
      </c>
      <c r="E740" s="50" t="inlineStr">
        <is>
          <t>0.99 | 0.93</t>
        </is>
      </c>
      <c r="F740" s="49" t="inlineStr">
        <is>
          <t>3.7 | 3.0</t>
        </is>
      </c>
      <c r="G740" s="50" t="inlineStr">
        <is>
          <t>0.74 | 0.60</t>
        </is>
      </c>
      <c r="H740" s="49" t="inlineStr">
        <is>
          <t>3.8 | 4.2</t>
        </is>
      </c>
      <c r="I740" s="50" t="inlineStr">
        <is>
          <t>0.57 | 0.63</t>
        </is>
      </c>
      <c r="J740" s="50" t="inlineStr">
        <is>
          <t>3.56 | 3.35</t>
        </is>
      </c>
      <c r="K740" s="50" t="inlineStr">
        <is>
          <t>Pass | Fail</t>
        </is>
      </c>
      <c r="L740" s="51" t="n"/>
      <c r="M740" s="51" t="n"/>
      <c r="N740" s="51" t="n"/>
    </row>
    <row r="741" ht="13.5" customHeight="1" s="38">
      <c r="A741" s="73" t="inlineStr">
        <is>
          <t>R_0738</t>
        </is>
      </c>
      <c r="B741" s="49" t="inlineStr">
        <is>
          <t>3.4 | 2.7</t>
        </is>
      </c>
      <c r="C741" s="50" t="inlineStr">
        <is>
          <t>1.19 | 0.945</t>
        </is>
      </c>
      <c r="D741" s="49" t="inlineStr">
        <is>
          <t>3.0 | 3.0</t>
        </is>
      </c>
      <c r="E741" s="50" t="inlineStr">
        <is>
          <t>0.9 | 0.9</t>
        </is>
      </c>
      <c r="F741" s="49" t="inlineStr">
        <is>
          <t>3.5 | 3.7</t>
        </is>
      </c>
      <c r="G741" s="50" t="inlineStr">
        <is>
          <t>0.7 | 0.74</t>
        </is>
      </c>
      <c r="H741" s="49" t="inlineStr">
        <is>
          <t>2.8 | 3.7</t>
        </is>
      </c>
      <c r="I741" s="50" t="inlineStr">
        <is>
          <t>0.42 | 0.555</t>
        </is>
      </c>
      <c r="J741" s="50" t="inlineStr">
        <is>
          <t>3.21 | 3.14</t>
        </is>
      </c>
      <c r="K741" s="50" t="inlineStr">
        <is>
          <t>Fail | Fail</t>
        </is>
      </c>
      <c r="L741" s="51" t="n"/>
      <c r="M741" s="51" t="n"/>
      <c r="N741" s="51" t="n"/>
    </row>
    <row r="742" ht="13.5" customHeight="1" s="38">
      <c r="A742" s="73" t="inlineStr">
        <is>
          <t>R_0739</t>
        </is>
      </c>
      <c r="B742" s="49" t="n">
        <v>3.3</v>
      </c>
      <c r="C742" s="50" t="n">
        <v>1.155</v>
      </c>
      <c r="D742" s="49" t="n">
        <v>3.6</v>
      </c>
      <c r="E742" s="50" t="n">
        <v>1.08</v>
      </c>
      <c r="F742" s="49" t="n">
        <v>3.8</v>
      </c>
      <c r="G742" s="50" t="n">
        <v>0.76</v>
      </c>
      <c r="H742" s="49" t="n">
        <v>4.7</v>
      </c>
      <c r="I742" s="50" t="n">
        <v>0.705</v>
      </c>
      <c r="J742" s="50" t="n">
        <v>3.7</v>
      </c>
      <c r="K742" s="50" t="inlineStr">
        <is>
          <t>Pass</t>
        </is>
      </c>
      <c r="L742" s="51" t="n"/>
      <c r="M742" s="51" t="n"/>
      <c r="N742" s="51" t="n"/>
    </row>
    <row r="743" ht="13.5" customHeight="1" s="38">
      <c r="A743" s="73" t="inlineStr">
        <is>
          <t>R_0740</t>
        </is>
      </c>
      <c r="B743" s="49" t="n">
        <v>3.7</v>
      </c>
      <c r="C743" s="50" t="n">
        <v>1.295</v>
      </c>
      <c r="D743" s="49" t="n">
        <v>3.2</v>
      </c>
      <c r="E743" s="50" t="n">
        <v>0.96</v>
      </c>
      <c r="F743" s="49" t="n">
        <v>3.7</v>
      </c>
      <c r="G743" s="50" t="n">
        <v>0.74</v>
      </c>
      <c r="H743" s="49" t="n">
        <v>3.8</v>
      </c>
      <c r="I743" s="50" t="n">
        <v>0.57</v>
      </c>
      <c r="J743" s="50" t="n">
        <v>3.56</v>
      </c>
      <c r="K743" s="50" t="inlineStr">
        <is>
          <t>Pass</t>
        </is>
      </c>
      <c r="L743" s="51" t="n"/>
      <c r="M743" s="51" t="n"/>
      <c r="N743" s="51" t="n"/>
    </row>
    <row r="744" ht="13.5" customHeight="1" s="38">
      <c r="A744" s="73" t="inlineStr">
        <is>
          <t>R_0741</t>
        </is>
      </c>
      <c r="B744" s="49" t="n">
        <v>3.3</v>
      </c>
      <c r="C744" s="50" t="n">
        <v>1.155</v>
      </c>
      <c r="D744" s="49" t="n">
        <v>3.7</v>
      </c>
      <c r="E744" s="50" t="n">
        <v>1.11</v>
      </c>
      <c r="F744" s="49" t="n">
        <v>3.7</v>
      </c>
      <c r="G744" s="50" t="n">
        <v>0.74</v>
      </c>
      <c r="H744" s="49" t="n">
        <v>3.3</v>
      </c>
      <c r="I744" s="50" t="n">
        <v>0.495</v>
      </c>
      <c r="J744" s="50" t="n">
        <v>3.5</v>
      </c>
      <c r="K744" s="50" t="inlineStr">
        <is>
          <t>Pass</t>
        </is>
      </c>
      <c r="L744" s="51" t="n"/>
      <c r="M744" s="51" t="n"/>
      <c r="N744" s="51" t="n"/>
    </row>
    <row r="745" ht="13.5" customHeight="1" s="38">
      <c r="A745" s="73" t="inlineStr">
        <is>
          <t>R_0742</t>
        </is>
      </c>
      <c r="B745" s="49" t="n">
        <v>3.1</v>
      </c>
      <c r="C745" s="50" t="n">
        <v>1.085</v>
      </c>
      <c r="D745" s="49" t="n">
        <v>3</v>
      </c>
      <c r="E745" s="50" t="n">
        <v>0.9</v>
      </c>
      <c r="F745" s="49" t="n">
        <v>3.5</v>
      </c>
      <c r="G745" s="50" t="n">
        <v>0.7</v>
      </c>
      <c r="H745" s="49" t="n">
        <v>3</v>
      </c>
      <c r="I745" s="50" t="n">
        <v>0.45</v>
      </c>
      <c r="J745" s="50" t="n">
        <v>3.13</v>
      </c>
      <c r="K745" s="50" t="inlineStr">
        <is>
          <t>Fail</t>
        </is>
      </c>
      <c r="L745" s="51" t="n"/>
      <c r="M745" s="51" t="n"/>
      <c r="N745" s="51" t="n"/>
    </row>
    <row r="746" ht="13.5" customHeight="1" s="38">
      <c r="A746" s="73" t="inlineStr">
        <is>
          <t>R_0743</t>
        </is>
      </c>
      <c r="B746" s="49" t="n">
        <v>2.7</v>
      </c>
      <c r="C746" s="50" t="n">
        <v>0.945</v>
      </c>
      <c r="D746" s="49" t="n">
        <v>2.8</v>
      </c>
      <c r="E746" s="50" t="n">
        <v>0.84</v>
      </c>
      <c r="F746" s="49" t="n">
        <v>3</v>
      </c>
      <c r="G746" s="50" t="n">
        <v>0.6</v>
      </c>
      <c r="H746" s="49" t="n">
        <v>2.8</v>
      </c>
      <c r="I746" s="50" t="n">
        <v>0.42</v>
      </c>
      <c r="J746" s="50" t="n">
        <v>2.8</v>
      </c>
      <c r="K746" s="50" t="inlineStr">
        <is>
          <t>Fail</t>
        </is>
      </c>
      <c r="L746" s="51" t="n"/>
      <c r="M746" s="51" t="n"/>
      <c r="N746" s="51" t="n"/>
    </row>
    <row r="747" ht="13.5" customHeight="1" s="38">
      <c r="A747" s="73" t="inlineStr">
        <is>
          <t>R_0744</t>
        </is>
      </c>
      <c r="B747" s="49" t="n">
        <v>3.5</v>
      </c>
      <c r="C747" s="50" t="n">
        <v>1.225</v>
      </c>
      <c r="D747" s="49" t="n">
        <v>2.9</v>
      </c>
      <c r="E747" s="50" t="n">
        <v>0.87</v>
      </c>
      <c r="F747" s="49" t="n">
        <v>3.6</v>
      </c>
      <c r="G747" s="50" t="n">
        <v>0.72</v>
      </c>
      <c r="H747" s="49" t="n">
        <v>3</v>
      </c>
      <c r="I747" s="50" t="n">
        <v>0.45</v>
      </c>
      <c r="J747" s="50" t="n">
        <v>3.27</v>
      </c>
      <c r="K747" s="50" t="inlineStr">
        <is>
          <t>Fail</t>
        </is>
      </c>
      <c r="L747" s="51" t="n"/>
      <c r="M747" s="51" t="n"/>
      <c r="N747" s="51" t="n"/>
    </row>
    <row r="748" ht="13.5" customHeight="1" s="38">
      <c r="A748" s="73" t="inlineStr">
        <is>
          <t>R_0745</t>
        </is>
      </c>
      <c r="B748" s="49" t="n">
        <v>3.3</v>
      </c>
      <c r="C748" s="50" t="n">
        <v>1.155</v>
      </c>
      <c r="D748" s="49" t="n">
        <v>3.6</v>
      </c>
      <c r="E748" s="50" t="n">
        <v>1.08</v>
      </c>
      <c r="F748" s="49" t="n">
        <v>3.4</v>
      </c>
      <c r="G748" s="50" t="n">
        <v>0.68</v>
      </c>
      <c r="H748" s="49" t="n">
        <v>3</v>
      </c>
      <c r="I748" s="50" t="n">
        <v>0.45</v>
      </c>
      <c r="J748" s="50" t="n">
        <v>3.37</v>
      </c>
      <c r="K748" s="50" t="inlineStr">
        <is>
          <t>Fail</t>
        </is>
      </c>
      <c r="L748" s="51" t="n"/>
      <c r="M748" s="51" t="n"/>
      <c r="N748" s="51" t="n"/>
    </row>
    <row r="749" ht="13.5" customHeight="1" s="38">
      <c r="A749" s="73" t="inlineStr">
        <is>
          <t>R_0746</t>
        </is>
      </c>
      <c r="B749" s="49" t="n">
        <v>2.8</v>
      </c>
      <c r="C749" s="50" t="n">
        <v>0.98</v>
      </c>
      <c r="D749" s="49" t="n">
        <v>3.3</v>
      </c>
      <c r="E749" s="50" t="n">
        <v>0.99</v>
      </c>
      <c r="F749" s="49" t="n">
        <v>3.5</v>
      </c>
      <c r="G749" s="50" t="n">
        <v>0.7</v>
      </c>
      <c r="H749" s="49" t="n">
        <v>4.3</v>
      </c>
      <c r="I749" s="50" t="n">
        <v>0.645</v>
      </c>
      <c r="J749" s="50" t="n">
        <v>3.31</v>
      </c>
      <c r="K749" s="50" t="inlineStr">
        <is>
          <t>Fail</t>
        </is>
      </c>
      <c r="L749" s="51" t="n"/>
      <c r="M749" s="51" t="n"/>
      <c r="N749" s="51" t="n"/>
    </row>
    <row r="750" ht="13.5" customHeight="1" s="38">
      <c r="A750" s="73" t="inlineStr">
        <is>
          <t>R_0747</t>
        </is>
      </c>
      <c r="B750" s="49" t="n">
        <v>3.6</v>
      </c>
      <c r="C750" s="50" t="n">
        <v>1.26</v>
      </c>
      <c r="D750" s="49" t="n">
        <v>3</v>
      </c>
      <c r="E750" s="50" t="n">
        <v>0.9</v>
      </c>
      <c r="F750" s="49" t="n">
        <v>3.6</v>
      </c>
      <c r="G750" s="50" t="n">
        <v>0.72</v>
      </c>
      <c r="H750" s="49" t="n">
        <v>3.8</v>
      </c>
      <c r="I750" s="50" t="n">
        <v>0.57</v>
      </c>
      <c r="J750" s="50" t="n">
        <v>3.45</v>
      </c>
      <c r="K750" s="50" t="inlineStr">
        <is>
          <t>Fail</t>
        </is>
      </c>
      <c r="L750" s="51" t="n"/>
      <c r="M750" s="51" t="n"/>
      <c r="N750" s="51" t="n"/>
    </row>
    <row r="751" ht="13.5" customHeight="1" s="38">
      <c r="A751" s="73" t="inlineStr">
        <is>
          <t>R_0748</t>
        </is>
      </c>
      <c r="B751" s="49" t="n">
        <v>3.9</v>
      </c>
      <c r="C751" s="50" t="n">
        <v>1.365</v>
      </c>
      <c r="D751" s="49" t="n">
        <v>3</v>
      </c>
      <c r="E751" s="50" t="n">
        <v>0.9</v>
      </c>
      <c r="F751" s="49" t="n">
        <v>3.6</v>
      </c>
      <c r="G751" s="50" t="n">
        <v>0.72</v>
      </c>
      <c r="H751" s="49" t="n">
        <v>3.8</v>
      </c>
      <c r="I751" s="50" t="n">
        <v>0.57</v>
      </c>
      <c r="J751" s="50" t="n">
        <v>3.56</v>
      </c>
      <c r="K751" s="50" t="inlineStr">
        <is>
          <t>Pass</t>
        </is>
      </c>
      <c r="L751" s="51" t="n"/>
      <c r="M751" s="51" t="n"/>
      <c r="N751" s="51" t="n"/>
    </row>
    <row r="752" ht="13.5" customHeight="1" s="38">
      <c r="A752" s="73" t="inlineStr">
        <is>
          <t>R_0749</t>
        </is>
      </c>
      <c r="B752" s="49" t="n">
        <v>3.1</v>
      </c>
      <c r="C752" s="50" t="n">
        <v>1.085</v>
      </c>
      <c r="D752" s="49" t="n">
        <v>3.6</v>
      </c>
      <c r="E752" s="50" t="n">
        <v>1.08</v>
      </c>
      <c r="F752" s="49" t="n">
        <v>3.5</v>
      </c>
      <c r="G752" s="50" t="n">
        <v>0.7</v>
      </c>
      <c r="H752" s="49" t="n">
        <v>3.9</v>
      </c>
      <c r="I752" s="50" t="n">
        <v>0.585</v>
      </c>
      <c r="J752" s="50" t="n">
        <v>3.45</v>
      </c>
      <c r="K752" s="50" t="inlineStr">
        <is>
          <t>Fail</t>
        </is>
      </c>
      <c r="L752" s="51" t="n"/>
      <c r="M752" s="51" t="n"/>
      <c r="N752" s="51" t="n"/>
    </row>
    <row r="753" ht="13.5" customHeight="1" s="38">
      <c r="A753" s="73" t="inlineStr">
        <is>
          <t>R_0750</t>
        </is>
      </c>
      <c r="B753" s="49" t="n">
        <v>3.5</v>
      </c>
      <c r="C753" s="50" t="n">
        <v>1.225</v>
      </c>
      <c r="D753" s="49" t="n">
        <v>4</v>
      </c>
      <c r="E753" s="50" t="n">
        <v>1.2</v>
      </c>
      <c r="F753" s="49" t="n">
        <v>3.8</v>
      </c>
      <c r="G753" s="50" t="n">
        <v>0.76</v>
      </c>
      <c r="H753" s="49" t="n">
        <v>3.3</v>
      </c>
      <c r="I753" s="50" t="n">
        <v>0.495</v>
      </c>
      <c r="J753" s="50" t="n">
        <v>3.68</v>
      </c>
      <c r="K753" s="50" t="inlineStr">
        <is>
          <t>Pass</t>
        </is>
      </c>
      <c r="L753" s="51" t="n"/>
      <c r="M753" s="51" t="n"/>
      <c r="N753" s="51" t="n"/>
    </row>
    <row r="754" ht="13.5" customHeight="1" s="38">
      <c r="A754" s="73" t="inlineStr">
        <is>
          <t>R_0751</t>
        </is>
      </c>
      <c r="B754" s="49" t="n">
        <v>3.2</v>
      </c>
      <c r="C754" s="50" t="n">
        <v>1.12</v>
      </c>
      <c r="D754" s="49" t="n">
        <v>3.5</v>
      </c>
      <c r="E754" s="50" t="n">
        <v>1.05</v>
      </c>
      <c r="F754" s="49" t="n">
        <v>3.2</v>
      </c>
      <c r="G754" s="50" t="n">
        <v>0.64</v>
      </c>
      <c r="H754" s="49" t="n">
        <v>2.8</v>
      </c>
      <c r="I754" s="50" t="n">
        <v>0.42</v>
      </c>
      <c r="J754" s="50" t="n">
        <v>3.23</v>
      </c>
      <c r="K754" s="50" t="inlineStr">
        <is>
          <t>Fail</t>
        </is>
      </c>
      <c r="L754" s="51" t="n"/>
      <c r="M754" s="51" t="n"/>
      <c r="N754" s="51" t="n"/>
    </row>
    <row r="755" ht="13.5" customHeight="1" s="38">
      <c r="A755" s="73" t="inlineStr">
        <is>
          <t>R_0752</t>
        </is>
      </c>
      <c r="B755" s="49" t="n">
        <v>3.5</v>
      </c>
      <c r="C755" s="50" t="n">
        <v>1.225</v>
      </c>
      <c r="D755" s="49" t="n">
        <v>3.4</v>
      </c>
      <c r="E755" s="50" t="n">
        <v>1.02</v>
      </c>
      <c r="F755" s="49" t="n">
        <v>3.6</v>
      </c>
      <c r="G755" s="50" t="n">
        <v>0.72</v>
      </c>
      <c r="H755" s="49" t="n">
        <v>2.5</v>
      </c>
      <c r="I755" s="50" t="n">
        <v>0.375</v>
      </c>
      <c r="J755" s="50" t="n">
        <v>3.34</v>
      </c>
      <c r="K755" s="50" t="inlineStr">
        <is>
          <t>Fail</t>
        </is>
      </c>
      <c r="L755" s="51" t="n"/>
      <c r="M755" s="51" t="n"/>
      <c r="N755" s="51" t="n"/>
    </row>
    <row r="756" ht="13.5" customHeight="1" s="38">
      <c r="A756" s="73" t="inlineStr">
        <is>
          <t>R_0753</t>
        </is>
      </c>
      <c r="B756" s="49" t="n">
        <v>3.7</v>
      </c>
      <c r="C756" s="50" t="n">
        <v>1.295</v>
      </c>
      <c r="D756" s="49" t="n">
        <v>3.8</v>
      </c>
      <c r="E756" s="50" t="n">
        <v>1.14</v>
      </c>
      <c r="F756" s="49" t="n">
        <v>3.2</v>
      </c>
      <c r="G756" s="50" t="n">
        <v>0.64</v>
      </c>
      <c r="H756" s="49" t="n">
        <v>3</v>
      </c>
      <c r="I756" s="50" t="n">
        <v>0.45</v>
      </c>
      <c r="J756" s="50" t="n">
        <v>3.52</v>
      </c>
      <c r="K756" s="50" t="inlineStr">
        <is>
          <t>Pass</t>
        </is>
      </c>
      <c r="L756" s="51" t="n"/>
      <c r="M756" s="51" t="n"/>
      <c r="N756" s="51" t="n"/>
    </row>
    <row r="757" ht="13.5" customHeight="1" s="38">
      <c r="A757" s="73" t="inlineStr">
        <is>
          <t>R_0754</t>
        </is>
      </c>
      <c r="B757" s="49" t="n">
        <v>3.3</v>
      </c>
      <c r="C757" s="50" t="n">
        <v>1.155</v>
      </c>
      <c r="D757" s="49" t="n">
        <v>2.9</v>
      </c>
      <c r="E757" s="50" t="n">
        <v>0.87</v>
      </c>
      <c r="F757" s="49" t="n">
        <v>3.6</v>
      </c>
      <c r="G757" s="50" t="n">
        <v>0.72</v>
      </c>
      <c r="H757" s="49" t="n">
        <v>3</v>
      </c>
      <c r="I757" s="50" t="n">
        <v>0.45</v>
      </c>
      <c r="J757" s="50" t="n">
        <v>3.2</v>
      </c>
      <c r="K757" s="50" t="inlineStr">
        <is>
          <t>Fail</t>
        </is>
      </c>
      <c r="L757" s="51" t="n"/>
      <c r="M757" s="51" t="n"/>
      <c r="N757" s="51" t="n"/>
    </row>
    <row r="758" ht="13.5" customHeight="1" s="38">
      <c r="A758" s="73" t="inlineStr">
        <is>
          <t>R_0755</t>
        </is>
      </c>
      <c r="B758" s="49" t="n">
        <v>3.6</v>
      </c>
      <c r="C758" s="50" t="n">
        <v>1.26</v>
      </c>
      <c r="D758" s="49" t="n">
        <v>3.9</v>
      </c>
      <c r="E758" s="50" t="n">
        <v>1.17</v>
      </c>
      <c r="F758" s="49" t="n">
        <v>3.3</v>
      </c>
      <c r="G758" s="50" t="n">
        <v>0.66</v>
      </c>
      <c r="H758" s="49" t="n">
        <v>3</v>
      </c>
      <c r="I758" s="50" t="n">
        <v>0.45</v>
      </c>
      <c r="J758" s="50" t="n">
        <v>3.54</v>
      </c>
      <c r="K758" s="50" t="inlineStr">
        <is>
          <t>Pass</t>
        </is>
      </c>
      <c r="L758" s="51" t="n"/>
      <c r="M758" s="51" t="n"/>
      <c r="N758" s="51" t="n"/>
    </row>
    <row r="759" ht="13.5" customHeight="1" s="38">
      <c r="A759" s="73" t="inlineStr">
        <is>
          <t>R_0756</t>
        </is>
      </c>
      <c r="B759" s="49" t="n">
        <v>2.8</v>
      </c>
      <c r="C759" s="50" t="n">
        <v>0.98</v>
      </c>
      <c r="D759" s="49" t="n">
        <v>3.5</v>
      </c>
      <c r="E759" s="50" t="n">
        <v>1.05</v>
      </c>
      <c r="F759" s="49" t="n">
        <v>3.5</v>
      </c>
      <c r="G759" s="50" t="n">
        <v>0.7</v>
      </c>
      <c r="H759" s="49" t="n">
        <v>4.1</v>
      </c>
      <c r="I759" s="50" t="n">
        <v>0.615</v>
      </c>
      <c r="J759" s="50" t="n">
        <v>3.34</v>
      </c>
      <c r="K759" s="50" t="inlineStr">
        <is>
          <t>Fail</t>
        </is>
      </c>
      <c r="L759" s="51" t="n"/>
      <c r="M759" s="51" t="n"/>
      <c r="N759" s="51" t="n"/>
    </row>
    <row r="760" ht="13.5" customHeight="1" s="38">
      <c r="A760" s="73" t="inlineStr">
        <is>
          <t>R_0757</t>
        </is>
      </c>
      <c r="B760" s="49" t="n">
        <v>3.7</v>
      </c>
      <c r="C760" s="50" t="n">
        <v>1.295</v>
      </c>
      <c r="D760" s="49" t="n">
        <v>4.2</v>
      </c>
      <c r="E760" s="50" t="n">
        <v>1.26</v>
      </c>
      <c r="F760" s="49" t="n">
        <v>3.1</v>
      </c>
      <c r="G760" s="50" t="n">
        <v>0.62</v>
      </c>
      <c r="H760" s="49" t="n">
        <v>3</v>
      </c>
      <c r="I760" s="50" t="n">
        <v>0.45</v>
      </c>
      <c r="J760" s="50" t="n">
        <v>3.62</v>
      </c>
      <c r="K760" s="50" t="inlineStr">
        <is>
          <t>Pass</t>
        </is>
      </c>
      <c r="L760" s="51" t="n"/>
      <c r="M760" s="51" t="n"/>
      <c r="N760" s="51" t="n"/>
    </row>
    <row r="761" ht="13.5" customHeight="1" s="38">
      <c r="A761" s="73" t="inlineStr">
        <is>
          <t>R_0758</t>
        </is>
      </c>
      <c r="B761" s="49" t="n">
        <v>3.5</v>
      </c>
      <c r="C761" s="50" t="n">
        <v>1.225</v>
      </c>
      <c r="D761" s="49" t="n">
        <v>3.7</v>
      </c>
      <c r="E761" s="50" t="n">
        <v>1.11</v>
      </c>
      <c r="F761" s="49" t="n">
        <v>3.5</v>
      </c>
      <c r="G761" s="50" t="n">
        <v>0.7</v>
      </c>
      <c r="H761" s="49" t="n">
        <v>3</v>
      </c>
      <c r="I761" s="50" t="n">
        <v>0.45</v>
      </c>
      <c r="J761" s="50" t="n">
        <v>3.49</v>
      </c>
      <c r="K761" s="50" t="inlineStr">
        <is>
          <t>Fail</t>
        </is>
      </c>
      <c r="L761" s="51" t="n"/>
      <c r="M761" s="51" t="n"/>
      <c r="N761" s="51" t="n"/>
    </row>
    <row r="762" ht="13.5" customHeight="1" s="38">
      <c r="A762" s="73" t="inlineStr">
        <is>
          <t>R_0759</t>
        </is>
      </c>
      <c r="B762" s="49" t="n">
        <v>3.5</v>
      </c>
      <c r="C762" s="50" t="n">
        <v>1.225</v>
      </c>
      <c r="D762" s="49" t="n">
        <v>3.4</v>
      </c>
      <c r="E762" s="50" t="n">
        <v>1.02</v>
      </c>
      <c r="F762" s="49" t="n">
        <v>3.6</v>
      </c>
      <c r="G762" s="50" t="n">
        <v>0.72</v>
      </c>
      <c r="H762" s="49" t="n">
        <v>3</v>
      </c>
      <c r="I762" s="50" t="n">
        <v>0.45</v>
      </c>
      <c r="J762" s="50" t="n">
        <v>3.42</v>
      </c>
      <c r="K762" s="50" t="inlineStr">
        <is>
          <t>Fail</t>
        </is>
      </c>
      <c r="L762" s="51" t="n"/>
      <c r="M762" s="51" t="n"/>
      <c r="N762" s="51" t="n"/>
    </row>
    <row r="763" ht="13.5" customHeight="1" s="38">
      <c r="A763" s="73" t="inlineStr">
        <is>
          <t>R_0760</t>
        </is>
      </c>
      <c r="B763" s="49" t="n">
        <v>3.4</v>
      </c>
      <c r="C763" s="50" t="n">
        <v>1.19</v>
      </c>
      <c r="D763" s="49" t="n">
        <v>2.9</v>
      </c>
      <c r="E763" s="50" t="n">
        <v>0.87</v>
      </c>
      <c r="F763" s="49" t="n">
        <v>3.5</v>
      </c>
      <c r="G763" s="50" t="n">
        <v>0.7</v>
      </c>
      <c r="H763" s="49" t="n">
        <v>3.5</v>
      </c>
      <c r="I763" s="50" t="n">
        <v>0.525</v>
      </c>
      <c r="J763" s="50" t="n">
        <v>3.28</v>
      </c>
      <c r="K763" s="50" t="inlineStr">
        <is>
          <t>Fail</t>
        </is>
      </c>
      <c r="L763" s="51" t="n"/>
      <c r="M763" s="51" t="n"/>
      <c r="N763" s="51" t="n"/>
    </row>
    <row r="764" ht="13.5" customHeight="1" s="38">
      <c r="A764" s="73" t="inlineStr">
        <is>
          <t>R_0761</t>
        </is>
      </c>
      <c r="B764" s="49" t="n">
        <v>3.3</v>
      </c>
      <c r="C764" s="50" t="n">
        <v>1.155</v>
      </c>
      <c r="D764" s="49" t="n">
        <v>2.9</v>
      </c>
      <c r="E764" s="50" t="n">
        <v>0.87</v>
      </c>
      <c r="F764" s="49" t="n">
        <v>3.5</v>
      </c>
      <c r="G764" s="50" t="n">
        <v>0.7</v>
      </c>
      <c r="H764" s="49" t="n">
        <v>3.1</v>
      </c>
      <c r="I764" s="50" t="n">
        <v>0.465</v>
      </c>
      <c r="J764" s="50" t="n">
        <v>3.19</v>
      </c>
      <c r="K764" s="50" t="inlineStr">
        <is>
          <t>Fail</t>
        </is>
      </c>
      <c r="L764" s="51" t="n"/>
      <c r="M764" s="51" t="n"/>
      <c r="N764" s="51" t="n"/>
    </row>
    <row r="765" ht="13.5" customHeight="1" s="38">
      <c r="A765" s="73" t="inlineStr">
        <is>
          <t>R_0762</t>
        </is>
      </c>
      <c r="B765" s="49" t="n">
        <v>3</v>
      </c>
      <c r="C765" s="50" t="n">
        <v>1.05</v>
      </c>
      <c r="D765" s="49" t="n">
        <v>3.5</v>
      </c>
      <c r="E765" s="50" t="n">
        <v>1.05</v>
      </c>
      <c r="F765" s="49" t="n">
        <v>3.6</v>
      </c>
      <c r="G765" s="50" t="n">
        <v>0.72</v>
      </c>
      <c r="H765" s="49" t="n">
        <v>2.8</v>
      </c>
      <c r="I765" s="50" t="n">
        <v>0.42</v>
      </c>
      <c r="J765" s="50" t="n">
        <v>3.24</v>
      </c>
      <c r="K765" s="50" t="inlineStr">
        <is>
          <t>Fail</t>
        </is>
      </c>
      <c r="L765" s="51" t="n"/>
      <c r="M765" s="51" t="n"/>
      <c r="N765" s="51" t="n"/>
    </row>
    <row r="766" ht="13.5" customHeight="1" s="38">
      <c r="A766" s="73" t="inlineStr">
        <is>
          <t>R_0763</t>
        </is>
      </c>
      <c r="B766" s="49" t="n">
        <v>3.5</v>
      </c>
      <c r="C766" s="50" t="n">
        <v>1.225</v>
      </c>
      <c r="D766" s="49" t="n">
        <v>2.9</v>
      </c>
      <c r="E766" s="50" t="n">
        <v>0.87</v>
      </c>
      <c r="F766" s="49" t="n">
        <v>3.6</v>
      </c>
      <c r="G766" s="50" t="n">
        <v>0.72</v>
      </c>
      <c r="H766" s="49" t="n">
        <v>3.8</v>
      </c>
      <c r="I766" s="50" t="n">
        <v>0.57</v>
      </c>
      <c r="J766" s="50" t="n">
        <v>3.39</v>
      </c>
      <c r="K766" s="50" t="inlineStr">
        <is>
          <t>Fail</t>
        </is>
      </c>
      <c r="L766" s="51" t="n"/>
      <c r="M766" s="51" t="n"/>
      <c r="N766" s="51" t="n"/>
    </row>
    <row r="767" ht="13.5" customHeight="1" s="38">
      <c r="A767" s="73" t="inlineStr">
        <is>
          <t>R_0764</t>
        </is>
      </c>
      <c r="B767" s="49" t="n">
        <v>3.6</v>
      </c>
      <c r="C767" s="50" t="n">
        <v>1.26</v>
      </c>
      <c r="D767" s="49" t="n">
        <v>3.4</v>
      </c>
      <c r="E767" s="50" t="n">
        <v>1.02</v>
      </c>
      <c r="F767" s="49" t="n">
        <v>3.6</v>
      </c>
      <c r="G767" s="50" t="n">
        <v>0.72</v>
      </c>
      <c r="H767" s="49" t="n">
        <v>3</v>
      </c>
      <c r="I767" s="50" t="n">
        <v>0.45</v>
      </c>
      <c r="J767" s="50" t="n">
        <v>3.45</v>
      </c>
      <c r="K767" s="50" t="inlineStr">
        <is>
          <t>Fail</t>
        </is>
      </c>
      <c r="L767" s="51" t="n"/>
      <c r="M767" s="51" t="n"/>
      <c r="N767" s="51" t="n"/>
    </row>
    <row r="768" ht="13.5" customHeight="1" s="38">
      <c r="A768" s="73" t="inlineStr">
        <is>
          <t>R_0765</t>
        </is>
      </c>
      <c r="B768" s="49" t="n">
        <v>3.5</v>
      </c>
      <c r="C768" s="50" t="n">
        <v>1.225</v>
      </c>
      <c r="D768" s="49" t="n">
        <v>2.9</v>
      </c>
      <c r="E768" s="50" t="n">
        <v>0.87</v>
      </c>
      <c r="F768" s="49" t="n">
        <v>3.6</v>
      </c>
      <c r="G768" s="50" t="n">
        <v>0.72</v>
      </c>
      <c r="H768" s="49" t="n">
        <v>3.8</v>
      </c>
      <c r="I768" s="50" t="n">
        <v>0.57</v>
      </c>
      <c r="J768" s="50" t="n">
        <v>3.39</v>
      </c>
      <c r="K768" s="50" t="inlineStr">
        <is>
          <t>Fail</t>
        </is>
      </c>
      <c r="L768" s="51" t="n"/>
      <c r="M768" s="51" t="n"/>
      <c r="N768" s="51" t="n"/>
    </row>
    <row r="769" ht="13.5" customHeight="1" s="38">
      <c r="A769" s="73" t="inlineStr">
        <is>
          <t>R_0766</t>
        </is>
      </c>
      <c r="B769" s="49" t="n">
        <v>3.3</v>
      </c>
      <c r="C769" s="50" t="n">
        <v>1.155</v>
      </c>
      <c r="D769" s="49" t="n">
        <v>3.7</v>
      </c>
      <c r="E769" s="50" t="n">
        <v>1.11</v>
      </c>
      <c r="F769" s="49" t="n">
        <v>3.7</v>
      </c>
      <c r="G769" s="50" t="n">
        <v>0.74</v>
      </c>
      <c r="H769" s="49" t="n">
        <v>3.2</v>
      </c>
      <c r="I769" s="50" t="n">
        <v>0.48</v>
      </c>
      <c r="J769" s="50" t="n">
        <v>3.48</v>
      </c>
      <c r="K769" s="50" t="inlineStr">
        <is>
          <t>Fail</t>
        </is>
      </c>
      <c r="L769" s="51" t="n"/>
      <c r="M769" s="51" t="n"/>
      <c r="N769" s="51" t="n"/>
    </row>
    <row r="770" ht="13.5" customHeight="1" s="38">
      <c r="A770" s="73" t="inlineStr">
        <is>
          <t>R_0767</t>
        </is>
      </c>
      <c r="B770" s="49" t="n">
        <v>3.6</v>
      </c>
      <c r="C770" s="50" t="n">
        <v>1.26</v>
      </c>
      <c r="D770" s="49" t="n">
        <v>3.9</v>
      </c>
      <c r="E770" s="50" t="n">
        <v>1.17</v>
      </c>
      <c r="F770" s="49" t="n">
        <v>3.3</v>
      </c>
      <c r="G770" s="50" t="n">
        <v>0.66</v>
      </c>
      <c r="H770" s="49" t="n">
        <v>3</v>
      </c>
      <c r="I770" s="50" t="n">
        <v>0.45</v>
      </c>
      <c r="J770" s="50" t="n">
        <v>3.54</v>
      </c>
      <c r="K770" s="50" t="inlineStr">
        <is>
          <t>Pass</t>
        </is>
      </c>
      <c r="L770" s="51" t="n"/>
      <c r="M770" s="51" t="n"/>
      <c r="N770" s="51" t="n"/>
    </row>
    <row r="771" ht="13.5" customHeight="1" s="38">
      <c r="A771" s="73" t="inlineStr">
        <is>
          <t>R_0768</t>
        </is>
      </c>
      <c r="B771" s="49" t="n">
        <v>3.2</v>
      </c>
      <c r="C771" s="50" t="n">
        <v>1.12</v>
      </c>
      <c r="D771" s="49" t="n">
        <v>3.7</v>
      </c>
      <c r="E771" s="50" t="n">
        <v>1.11</v>
      </c>
      <c r="F771" s="49" t="n">
        <v>3.7</v>
      </c>
      <c r="G771" s="50" t="n">
        <v>0.74</v>
      </c>
      <c r="H771" s="49" t="n">
        <v>3.2</v>
      </c>
      <c r="I771" s="50" t="n">
        <v>0.48</v>
      </c>
      <c r="J771" s="50" t="n">
        <v>3.45</v>
      </c>
      <c r="K771" s="50" t="inlineStr">
        <is>
          <t>Fail</t>
        </is>
      </c>
      <c r="L771" s="51" t="n"/>
      <c r="M771" s="51" t="n"/>
      <c r="N771" s="51" t="n"/>
    </row>
    <row r="772" ht="13.5" customHeight="1" s="38">
      <c r="A772" s="73" t="inlineStr">
        <is>
          <t>R_0769</t>
        </is>
      </c>
      <c r="B772" s="49" t="n">
        <v>3.8</v>
      </c>
      <c r="C772" s="50" t="n">
        <v>1.33</v>
      </c>
      <c r="D772" s="49" t="n">
        <v>3.2</v>
      </c>
      <c r="E772" s="50" t="n">
        <v>0.96</v>
      </c>
      <c r="F772" s="49" t="n">
        <v>3.6</v>
      </c>
      <c r="G772" s="50" t="n">
        <v>0.72</v>
      </c>
      <c r="H772" s="49" t="n">
        <v>3.8</v>
      </c>
      <c r="I772" s="50" t="n">
        <v>0.57</v>
      </c>
      <c r="J772" s="50" t="n">
        <v>3.58</v>
      </c>
      <c r="K772" s="50" t="inlineStr">
        <is>
          <t>Pass</t>
        </is>
      </c>
      <c r="L772" s="51" t="n"/>
      <c r="M772" s="51" t="n"/>
      <c r="N772" s="51" t="n"/>
    </row>
    <row r="773" ht="13.5" customHeight="1" s="38">
      <c r="A773" s="73" t="inlineStr">
        <is>
          <t>R_0770</t>
        </is>
      </c>
      <c r="B773" s="49" t="n">
        <v>3.7</v>
      </c>
      <c r="C773" s="50" t="n">
        <v>1.295</v>
      </c>
      <c r="D773" s="49" t="n">
        <v>3.8</v>
      </c>
      <c r="E773" s="50" t="n">
        <v>1.14</v>
      </c>
      <c r="F773" s="49" t="n">
        <v>3.3</v>
      </c>
      <c r="G773" s="50" t="n">
        <v>0.66</v>
      </c>
      <c r="H773" s="49" t="n">
        <v>3</v>
      </c>
      <c r="I773" s="50" t="n">
        <v>0.45</v>
      </c>
      <c r="J773" s="50" t="n">
        <v>3.54</v>
      </c>
      <c r="K773" s="50" t="inlineStr">
        <is>
          <t>Pass</t>
        </is>
      </c>
      <c r="L773" s="51" t="n"/>
      <c r="M773" s="51" t="n"/>
      <c r="N773" s="51" t="n"/>
    </row>
    <row r="774" ht="13.5" customHeight="1" s="38">
      <c r="A774" s="73" t="inlineStr">
        <is>
          <t>R_0771</t>
        </is>
      </c>
      <c r="B774" s="49" t="n">
        <v>3.3</v>
      </c>
      <c r="C774" s="50" t="n">
        <v>1.155</v>
      </c>
      <c r="D774" s="49" t="n">
        <v>2.9</v>
      </c>
      <c r="E774" s="50" t="n">
        <v>0.87</v>
      </c>
      <c r="F774" s="49" t="n">
        <v>3.5</v>
      </c>
      <c r="G774" s="50" t="n">
        <v>0.7</v>
      </c>
      <c r="H774" s="49" t="n">
        <v>2.8</v>
      </c>
      <c r="I774" s="50" t="n">
        <v>0.42</v>
      </c>
      <c r="J774" s="50" t="n">
        <v>3.14</v>
      </c>
      <c r="K774" s="50" t="inlineStr">
        <is>
          <t>Fail</t>
        </is>
      </c>
      <c r="L774" s="51" t="n"/>
      <c r="M774" s="51" t="n"/>
      <c r="N774" s="51" t="n"/>
    </row>
    <row r="775" ht="13.5" customHeight="1" s="38">
      <c r="A775" s="73" t="inlineStr">
        <is>
          <t>R_0772</t>
        </is>
      </c>
      <c r="B775" s="49" t="n">
        <v>3.4</v>
      </c>
      <c r="C775" s="50" t="n">
        <v>1.19</v>
      </c>
      <c r="D775" s="49" t="n">
        <v>2.9</v>
      </c>
      <c r="E775" s="50" t="n">
        <v>0.87</v>
      </c>
      <c r="F775" s="49" t="n">
        <v>3.6</v>
      </c>
      <c r="G775" s="50" t="n">
        <v>0.72</v>
      </c>
      <c r="H775" s="49" t="n">
        <v>3.1</v>
      </c>
      <c r="I775" s="50" t="n">
        <v>0.465</v>
      </c>
      <c r="J775" s="50" t="n">
        <v>3.25</v>
      </c>
      <c r="K775" s="50" t="inlineStr">
        <is>
          <t>Fail</t>
        </is>
      </c>
      <c r="L775" s="51" t="n"/>
      <c r="M775" s="51" t="n"/>
      <c r="N775" s="51" t="n"/>
    </row>
    <row r="776" ht="13.5" customHeight="1" s="38">
      <c r="A776" s="73" t="inlineStr">
        <is>
          <t>R_0773</t>
        </is>
      </c>
      <c r="B776" s="49" t="inlineStr">
        <is>
          <t>3.2 | 3.8</t>
        </is>
      </c>
      <c r="C776" s="50" t="inlineStr">
        <is>
          <t>1.12 | 1.33</t>
        </is>
      </c>
      <c r="D776" s="49" t="inlineStr">
        <is>
          <t>3.0 | 3.4</t>
        </is>
      </c>
      <c r="E776" s="50" t="inlineStr">
        <is>
          <t>0.9 | 1.02</t>
        </is>
      </c>
      <c r="F776" s="49" t="inlineStr">
        <is>
          <t>3.5 | 3.2</t>
        </is>
      </c>
      <c r="G776" s="50" t="inlineStr">
        <is>
          <t>0.7 | 0.64</t>
        </is>
      </c>
      <c r="H776" s="49" t="inlineStr">
        <is>
          <t>3.0 | 3.7</t>
        </is>
      </c>
      <c r="I776" s="50" t="inlineStr">
        <is>
          <t>0.45 | 0.555</t>
        </is>
      </c>
      <c r="J776" s="50" t="inlineStr">
        <is>
          <t>3.17 | 3.545</t>
        </is>
      </c>
      <c r="K776" s="50" t="inlineStr">
        <is>
          <t>Fail | Pass</t>
        </is>
      </c>
      <c r="L776" s="51" t="n"/>
      <c r="M776" s="51" t="n"/>
      <c r="N776" s="51" t="n"/>
    </row>
    <row r="777" ht="13.5" customHeight="1" s="38">
      <c r="A777" s="73" t="inlineStr">
        <is>
          <t>R_0774</t>
        </is>
      </c>
      <c r="B777" s="49" t="n">
        <v>3.4</v>
      </c>
      <c r="C777" s="50" t="n">
        <v>1.19</v>
      </c>
      <c r="D777" s="49" t="n">
        <v>3</v>
      </c>
      <c r="E777" s="50" t="n">
        <v>0.9</v>
      </c>
      <c r="F777" s="49" t="n">
        <v>3.6</v>
      </c>
      <c r="G777" s="50" t="n">
        <v>0.72</v>
      </c>
      <c r="H777" s="49" t="n">
        <v>3.8</v>
      </c>
      <c r="I777" s="50" t="n">
        <v>0.57</v>
      </c>
      <c r="J777" s="50" t="n">
        <v>3.38</v>
      </c>
      <c r="K777" s="50" t="inlineStr">
        <is>
          <t>Fail</t>
        </is>
      </c>
      <c r="L777" s="51" t="n"/>
      <c r="M777" s="51" t="n"/>
      <c r="N777" s="51" t="n"/>
    </row>
    <row r="778" ht="13.5" customHeight="1" s="38">
      <c r="A778" s="73" t="inlineStr">
        <is>
          <t>R_0775</t>
        </is>
      </c>
      <c r="B778" s="49" t="n">
        <v>2.8</v>
      </c>
      <c r="C778" s="50" t="n">
        <v>0.98</v>
      </c>
      <c r="D778" s="49" t="n">
        <v>3.5</v>
      </c>
      <c r="E778" s="50" t="n">
        <v>1.05</v>
      </c>
      <c r="F778" s="49" t="n">
        <v>3.4</v>
      </c>
      <c r="G778" s="50" t="n">
        <v>0.68</v>
      </c>
      <c r="H778" s="49" t="n">
        <v>4</v>
      </c>
      <c r="I778" s="50" t="n">
        <v>0.6</v>
      </c>
      <c r="J778" s="50" t="n">
        <v>3.31</v>
      </c>
      <c r="K778" s="50" t="inlineStr">
        <is>
          <t>Fail</t>
        </is>
      </c>
      <c r="L778" s="51" t="n"/>
      <c r="M778" s="51" t="n"/>
      <c r="N778" s="51" t="n"/>
    </row>
    <row r="779" ht="13.5" customHeight="1" s="38">
      <c r="A779" s="73" t="inlineStr">
        <is>
          <t>R_0776</t>
        </is>
      </c>
      <c r="B779" s="49" t="n">
        <v>3.5</v>
      </c>
      <c r="C779" s="50" t="n">
        <v>1.225</v>
      </c>
      <c r="D779" s="49" t="n">
        <v>3.9</v>
      </c>
      <c r="E779" s="50" t="n">
        <v>1.17</v>
      </c>
      <c r="F779" s="49" t="n">
        <v>3.2</v>
      </c>
      <c r="G779" s="50" t="n">
        <v>0.64</v>
      </c>
      <c r="H779" s="49" t="n">
        <v>3</v>
      </c>
      <c r="I779" s="50" t="n">
        <v>0.45</v>
      </c>
      <c r="J779" s="50" t="n">
        <v>3.49</v>
      </c>
      <c r="K779" s="50" t="inlineStr">
        <is>
          <t>Fail</t>
        </is>
      </c>
      <c r="L779" s="51" t="n"/>
      <c r="M779" s="51" t="n"/>
      <c r="N779" s="51" t="n"/>
    </row>
    <row r="780" ht="13.5" customHeight="1" s="38">
      <c r="A780" s="73" t="inlineStr">
        <is>
          <t>R_0777</t>
        </is>
      </c>
      <c r="B780" s="49" t="n">
        <v>3.6</v>
      </c>
      <c r="C780" s="50" t="n">
        <v>1.26</v>
      </c>
      <c r="D780" s="49" t="n">
        <v>3.8</v>
      </c>
      <c r="E780" s="50" t="n">
        <v>1.14</v>
      </c>
      <c r="F780" s="49" t="n">
        <v>3.3</v>
      </c>
      <c r="G780" s="50" t="n">
        <v>0.66</v>
      </c>
      <c r="H780" s="49" t="n">
        <v>3</v>
      </c>
      <c r="I780" s="50" t="n">
        <v>0.45</v>
      </c>
      <c r="J780" s="50" t="n">
        <v>3.51</v>
      </c>
      <c r="K780" s="50" t="inlineStr">
        <is>
          <t>Pass</t>
        </is>
      </c>
      <c r="L780" s="51" t="n"/>
      <c r="M780" s="51" t="n"/>
      <c r="N780" s="51" t="n"/>
    </row>
    <row r="781" ht="13.5" customHeight="1" s="38">
      <c r="A781" s="73" t="inlineStr">
        <is>
          <t>R_0778</t>
        </is>
      </c>
      <c r="B781" s="49" t="n">
        <v>3.7</v>
      </c>
      <c r="C781" s="50" t="n">
        <v>1.295</v>
      </c>
      <c r="D781" s="49" t="n">
        <v>3.4</v>
      </c>
      <c r="E781" s="50" t="n">
        <v>1.02</v>
      </c>
      <c r="F781" s="49" t="n">
        <v>3.6</v>
      </c>
      <c r="G781" s="50" t="n">
        <v>0.72</v>
      </c>
      <c r="H781" s="49" t="n">
        <v>3.8</v>
      </c>
      <c r="I781" s="50" t="n">
        <v>0.57</v>
      </c>
      <c r="J781" s="50" t="n">
        <v>3.6</v>
      </c>
      <c r="K781" s="50" t="inlineStr">
        <is>
          <t>Pass</t>
        </is>
      </c>
      <c r="L781" s="51" t="n"/>
      <c r="M781" s="51" t="n"/>
      <c r="N781" s="51" t="n"/>
    </row>
    <row r="782" ht="13.5" customHeight="1" s="38">
      <c r="A782" s="73" t="inlineStr">
        <is>
          <t>R_0779</t>
        </is>
      </c>
      <c r="B782" s="49" t="n">
        <v>3.3</v>
      </c>
      <c r="C782" s="50" t="n">
        <v>1.155</v>
      </c>
      <c r="D782" s="49" t="n">
        <v>3.6</v>
      </c>
      <c r="E782" s="50" t="n">
        <v>1.08</v>
      </c>
      <c r="F782" s="49" t="n">
        <v>3.7</v>
      </c>
      <c r="G782" s="50" t="n">
        <v>0.74</v>
      </c>
      <c r="H782" s="49" t="n">
        <v>3.2</v>
      </c>
      <c r="I782" s="50" t="n">
        <v>0.48</v>
      </c>
      <c r="J782" s="50" t="n">
        <v>3.46</v>
      </c>
      <c r="K782" s="50" t="inlineStr">
        <is>
          <t>Fail</t>
        </is>
      </c>
      <c r="L782" s="51" t="n"/>
      <c r="M782" s="51" t="n"/>
      <c r="N782" s="51" t="n"/>
    </row>
    <row r="783" ht="13.5" customHeight="1" s="38">
      <c r="A783" s="73" t="inlineStr">
        <is>
          <t>R_0780</t>
        </is>
      </c>
      <c r="B783" s="49" t="n">
        <v>3.2</v>
      </c>
      <c r="C783" s="50" t="n">
        <v>1.12</v>
      </c>
      <c r="D783" s="49" t="n">
        <v>3.9</v>
      </c>
      <c r="E783" s="50" t="n">
        <v>1.17</v>
      </c>
      <c r="F783" s="49" t="n">
        <v>3.8</v>
      </c>
      <c r="G783" s="50" t="n">
        <v>0.76</v>
      </c>
      <c r="H783" s="49" t="n">
        <v>3.3</v>
      </c>
      <c r="I783" s="50" t="n">
        <v>0.495</v>
      </c>
      <c r="J783" s="50" t="n">
        <v>3.54</v>
      </c>
      <c r="K783" s="50" t="inlineStr">
        <is>
          <t>Pass</t>
        </is>
      </c>
      <c r="L783" s="51" t="n"/>
      <c r="M783" s="51" t="n"/>
      <c r="N783" s="51" t="n"/>
    </row>
    <row r="784" ht="13.5" customHeight="1" s="38">
      <c r="A784" s="73" t="inlineStr">
        <is>
          <t>R_0781</t>
        </is>
      </c>
      <c r="B784" s="49" t="n">
        <v>3.3</v>
      </c>
      <c r="C784" s="50" t="n">
        <v>1.155</v>
      </c>
      <c r="D784" s="49" t="n">
        <v>3.8</v>
      </c>
      <c r="E784" s="50" t="n">
        <v>1.14</v>
      </c>
      <c r="F784" s="49" t="n">
        <v>3.6</v>
      </c>
      <c r="G784" s="50" t="n">
        <v>0.72</v>
      </c>
      <c r="H784" s="49" t="n">
        <v>3.3</v>
      </c>
      <c r="I784" s="50" t="n">
        <v>0.495</v>
      </c>
      <c r="J784" s="50" t="n">
        <v>3.51</v>
      </c>
      <c r="K784" s="50" t="inlineStr">
        <is>
          <t>Pass</t>
        </is>
      </c>
      <c r="L784" s="51" t="n"/>
      <c r="M784" s="51" t="n"/>
      <c r="N784" s="51" t="n"/>
    </row>
    <row r="785" ht="13.5" customHeight="1" s="38">
      <c r="A785" s="73" t="inlineStr">
        <is>
          <t>R_0782</t>
        </is>
      </c>
      <c r="B785" s="49" t="n">
        <v>3.8</v>
      </c>
      <c r="C785" s="50" t="n">
        <v>1.33</v>
      </c>
      <c r="D785" s="49" t="n">
        <v>3.4</v>
      </c>
      <c r="E785" s="50" t="n">
        <v>1.02</v>
      </c>
      <c r="F785" s="49" t="n">
        <v>3.6</v>
      </c>
      <c r="G785" s="50" t="n">
        <v>0.72</v>
      </c>
      <c r="H785" s="49" t="n">
        <v>3.8</v>
      </c>
      <c r="I785" s="50" t="n">
        <v>0.57</v>
      </c>
      <c r="J785" s="50" t="n">
        <v>3.64</v>
      </c>
      <c r="K785" s="50" t="inlineStr">
        <is>
          <t>Pass</t>
        </is>
      </c>
      <c r="L785" s="51" t="n"/>
      <c r="M785" s="51" t="n"/>
      <c r="N785" s="51" t="n"/>
    </row>
    <row r="786" ht="13.5" customHeight="1" s="38">
      <c r="A786" s="73" t="inlineStr">
        <is>
          <t>R_0783</t>
        </is>
      </c>
      <c r="B786" s="49" t="n">
        <v>3.5</v>
      </c>
      <c r="C786" s="50" t="n">
        <v>1.225</v>
      </c>
      <c r="D786" s="49" t="n">
        <v>3.9</v>
      </c>
      <c r="E786" s="50" t="n">
        <v>1.17</v>
      </c>
      <c r="F786" s="49" t="n">
        <v>3.3</v>
      </c>
      <c r="G786" s="50" t="n">
        <v>0.66</v>
      </c>
      <c r="H786" s="49" t="n">
        <v>3</v>
      </c>
      <c r="I786" s="50" t="n">
        <v>0.45</v>
      </c>
      <c r="J786" s="50" t="n">
        <v>3.51</v>
      </c>
      <c r="K786" s="50" t="inlineStr">
        <is>
          <t>Pass</t>
        </is>
      </c>
      <c r="L786" s="51" t="n"/>
      <c r="M786" s="51" t="n"/>
      <c r="N786" s="51" t="n"/>
    </row>
    <row r="787" ht="13.5" customHeight="1" s="38">
      <c r="A787" s="73" t="inlineStr">
        <is>
          <t>R_0784</t>
        </is>
      </c>
      <c r="B787" s="49" t="n">
        <v>3.7</v>
      </c>
      <c r="C787" s="50" t="n">
        <v>1.295</v>
      </c>
      <c r="D787" s="49" t="n">
        <v>4.1</v>
      </c>
      <c r="E787" s="50" t="n">
        <v>1.23</v>
      </c>
      <c r="F787" s="49" t="n">
        <v>3.2</v>
      </c>
      <c r="G787" s="50" t="n">
        <v>0.64</v>
      </c>
      <c r="H787" s="49" t="n">
        <v>3</v>
      </c>
      <c r="I787" s="50" t="n">
        <v>0.45</v>
      </c>
      <c r="J787" s="50" t="n">
        <v>3.62</v>
      </c>
      <c r="K787" s="50" t="inlineStr">
        <is>
          <t>Pass</t>
        </is>
      </c>
      <c r="L787" s="51" t="n"/>
      <c r="M787" s="51" t="n"/>
      <c r="N787" s="51" t="n"/>
    </row>
    <row r="788" ht="13.5" customHeight="1" s="38">
      <c r="A788" s="73" t="inlineStr">
        <is>
          <t>R_0785</t>
        </is>
      </c>
      <c r="B788" s="49" t="n">
        <v>3.6</v>
      </c>
      <c r="C788" s="50" t="n">
        <v>1.26</v>
      </c>
      <c r="D788" s="49" t="n">
        <v>3</v>
      </c>
      <c r="E788" s="50" t="n">
        <v>0.9</v>
      </c>
      <c r="F788" s="49" t="n">
        <v>3.5</v>
      </c>
      <c r="G788" s="50" t="n">
        <v>0.7</v>
      </c>
      <c r="H788" s="49" t="n">
        <v>3.8</v>
      </c>
      <c r="I788" s="50" t="n">
        <v>0.57</v>
      </c>
      <c r="J788" s="50" t="n">
        <v>3.43</v>
      </c>
      <c r="K788" s="50" t="inlineStr">
        <is>
          <t>Fail</t>
        </is>
      </c>
      <c r="L788" s="51" t="n"/>
      <c r="M788" s="51" t="n"/>
      <c r="N788" s="51" t="n"/>
    </row>
    <row r="789" ht="13.5" customHeight="1" s="38">
      <c r="A789" s="73" t="inlineStr">
        <is>
          <t>R_0786</t>
        </is>
      </c>
      <c r="B789" s="49" t="n">
        <v>3.6</v>
      </c>
      <c r="C789" s="50" t="n">
        <v>1.26</v>
      </c>
      <c r="D789" s="49" t="n">
        <v>3.8</v>
      </c>
      <c r="E789" s="50" t="n">
        <v>1.14</v>
      </c>
      <c r="F789" s="49" t="n">
        <v>3.5</v>
      </c>
      <c r="G789" s="50" t="n">
        <v>0.7</v>
      </c>
      <c r="H789" s="49" t="n">
        <v>3</v>
      </c>
      <c r="I789" s="50" t="n">
        <v>0.45</v>
      </c>
      <c r="J789" s="50" t="n">
        <v>3.55</v>
      </c>
      <c r="K789" s="50" t="inlineStr">
        <is>
          <t>Pass</t>
        </is>
      </c>
      <c r="L789" s="51" t="n"/>
      <c r="M789" s="51" t="n"/>
      <c r="N789" s="51" t="n"/>
    </row>
    <row r="790" ht="13.5" customHeight="1" s="38">
      <c r="A790" s="73" t="inlineStr">
        <is>
          <t>R_0787</t>
        </is>
      </c>
      <c r="B790" s="49" t="n">
        <v>3.1</v>
      </c>
      <c r="C790" s="50" t="n">
        <v>1.085</v>
      </c>
      <c r="D790" s="49" t="n">
        <v>3.3</v>
      </c>
      <c r="E790" s="50" t="n">
        <v>0.99</v>
      </c>
      <c r="F790" s="49" t="n">
        <v>3.7</v>
      </c>
      <c r="G790" s="50" t="n">
        <v>0.74</v>
      </c>
      <c r="H790" s="49" t="n">
        <v>3.9</v>
      </c>
      <c r="I790" s="50" t="n">
        <v>0.585</v>
      </c>
      <c r="J790" s="50" t="n">
        <v>3.4</v>
      </c>
      <c r="K790" s="50" t="inlineStr">
        <is>
          <t>Fail</t>
        </is>
      </c>
      <c r="L790" s="51" t="n"/>
      <c r="M790" s="51" t="n"/>
      <c r="N790" s="51" t="n"/>
    </row>
    <row r="791" ht="13.5" customHeight="1" s="38">
      <c r="A791" s="73" t="inlineStr">
        <is>
          <t>R_0788</t>
        </is>
      </c>
      <c r="B791" s="49" t="inlineStr">
        <is>
          <t>3.8 | 3.4</t>
        </is>
      </c>
      <c r="C791" s="50" t="inlineStr">
        <is>
          <t>1.33 | 1.19</t>
        </is>
      </c>
      <c r="D791" s="49" t="inlineStr">
        <is>
          <t>3.2 | 3.3</t>
        </is>
      </c>
      <c r="E791" s="50" t="inlineStr">
        <is>
          <t>0.96 | 0.99</t>
        </is>
      </c>
      <c r="F791" s="49" t="inlineStr">
        <is>
          <t>3.6 | 2.8</t>
        </is>
      </c>
      <c r="G791" s="50" t="inlineStr">
        <is>
          <t>0.72 | 0.56</t>
        </is>
      </c>
      <c r="H791" s="49" t="inlineStr">
        <is>
          <t>3.8 | 4.0</t>
        </is>
      </c>
      <c r="I791" s="50" t="inlineStr">
        <is>
          <t>0.57 | 0.6</t>
        </is>
      </c>
      <c r="J791" s="50" t="inlineStr">
        <is>
          <t>3.58 | 3.34</t>
        </is>
      </c>
      <c r="K791" s="50" t="inlineStr">
        <is>
          <t>Pass | Fail</t>
        </is>
      </c>
      <c r="L791" s="51" t="n"/>
      <c r="M791" s="51" t="n"/>
      <c r="N791" s="51" t="n"/>
    </row>
    <row r="792" ht="13.5" customHeight="1" s="38">
      <c r="A792" s="73" t="inlineStr">
        <is>
          <t>R_0789</t>
        </is>
      </c>
      <c r="B792" s="49" t="inlineStr">
        <is>
          <t>3.7 | 2.6</t>
        </is>
      </c>
      <c r="C792" s="50" t="inlineStr">
        <is>
          <t>1.295 | 0.91</t>
        </is>
      </c>
      <c r="D792" s="49" t="inlineStr">
        <is>
          <t>3.8 | 2.9</t>
        </is>
      </c>
      <c r="E792" s="50" t="inlineStr">
        <is>
          <t>1.14 | 0.87</t>
        </is>
      </c>
      <c r="F792" s="49" t="inlineStr">
        <is>
          <t>3.3 | 2.4</t>
        </is>
      </c>
      <c r="G792" s="50" t="inlineStr">
        <is>
          <t>0.66 | 0.48</t>
        </is>
      </c>
      <c r="H792" s="49" t="inlineStr">
        <is>
          <t>3.0 | 2.5</t>
        </is>
      </c>
      <c r="I792" s="50" t="inlineStr">
        <is>
          <t>0.45 | 0.375</t>
        </is>
      </c>
      <c r="J792" s="50" t="inlineStr">
        <is>
          <t>3.54 | 2.635</t>
        </is>
      </c>
      <c r="K792" s="50" t="inlineStr">
        <is>
          <t>Pass | Fail</t>
        </is>
      </c>
      <c r="L792" s="51" t="n"/>
      <c r="M792" s="51" t="n"/>
      <c r="N792" s="51" t="n"/>
    </row>
    <row r="793" ht="13.5" customHeight="1" s="38">
      <c r="A793" s="73" t="inlineStr">
        <is>
          <t>R_0790</t>
        </is>
      </c>
      <c r="B793" s="49" t="n">
        <v>3.9</v>
      </c>
      <c r="C793" s="50" t="n">
        <v>1.365</v>
      </c>
      <c r="D793" s="49" t="n">
        <v>3.3</v>
      </c>
      <c r="E793" s="50" t="n">
        <v>0.99</v>
      </c>
      <c r="F793" s="49" t="n">
        <v>3.4</v>
      </c>
      <c r="G793" s="50" t="n">
        <v>0.68</v>
      </c>
      <c r="H793" s="49" t="n">
        <v>3</v>
      </c>
      <c r="I793" s="50" t="n">
        <v>0.45</v>
      </c>
      <c r="J793" s="50" t="n">
        <v>3.49</v>
      </c>
      <c r="K793" s="50" t="inlineStr">
        <is>
          <t>Fail</t>
        </is>
      </c>
      <c r="L793" s="51" t="n"/>
      <c r="M793" s="51" t="n"/>
      <c r="N793" s="51" t="n"/>
    </row>
    <row r="794" ht="13.5" customHeight="1" s="38">
      <c r="A794" s="73" t="inlineStr">
        <is>
          <t>R_0791</t>
        </is>
      </c>
      <c r="B794" s="49" t="n">
        <v>3.5</v>
      </c>
      <c r="C794" s="50" t="n">
        <v>1.225</v>
      </c>
      <c r="D794" s="49" t="n">
        <v>3.2</v>
      </c>
      <c r="E794" s="50" t="n">
        <v>0.96</v>
      </c>
      <c r="F794" s="49" t="n">
        <v>3.5</v>
      </c>
      <c r="G794" s="50" t="n">
        <v>0.7</v>
      </c>
      <c r="H794" s="49" t="n">
        <v>3.1</v>
      </c>
      <c r="I794" s="50" t="n">
        <v>0.465</v>
      </c>
      <c r="J794" s="50" t="n">
        <v>3.35</v>
      </c>
      <c r="K794" s="50" t="inlineStr">
        <is>
          <t>Fail</t>
        </is>
      </c>
      <c r="L794" s="51" t="n"/>
      <c r="M794" s="51" t="n"/>
      <c r="N794" s="51" t="n"/>
    </row>
    <row r="795" ht="13.5" customHeight="1" s="38">
      <c r="A795" s="73" t="inlineStr">
        <is>
          <t>R_0792</t>
        </is>
      </c>
      <c r="B795" s="49" t="n">
        <v>3.5</v>
      </c>
      <c r="C795" s="50" t="n">
        <v>1.225</v>
      </c>
      <c r="D795" s="49" t="n">
        <v>4</v>
      </c>
      <c r="E795" s="50" t="n">
        <v>1.2</v>
      </c>
      <c r="F795" s="49" t="n">
        <v>3.7</v>
      </c>
      <c r="G795" s="50" t="n">
        <v>0.74</v>
      </c>
      <c r="H795" s="49" t="n">
        <v>4.7</v>
      </c>
      <c r="I795" s="50" t="n">
        <v>0.705</v>
      </c>
      <c r="J795" s="50" t="n">
        <v>3.87</v>
      </c>
      <c r="K795" s="50" t="inlineStr">
        <is>
          <t>Pass</t>
        </is>
      </c>
      <c r="L795" s="51" t="n"/>
      <c r="M795" s="51" t="n"/>
      <c r="N795" s="51" t="n"/>
    </row>
    <row r="796" ht="13.5" customHeight="1" s="38">
      <c r="A796" s="73" t="inlineStr">
        <is>
          <t>R_0793</t>
        </is>
      </c>
      <c r="B796" s="49" t="n">
        <v>3.4</v>
      </c>
      <c r="C796" s="50" t="n">
        <v>1.19</v>
      </c>
      <c r="D796" s="49" t="n">
        <v>3.1</v>
      </c>
      <c r="E796" s="50" t="n">
        <v>0.93</v>
      </c>
      <c r="F796" s="49" t="n">
        <v>3.5</v>
      </c>
      <c r="G796" s="50" t="n">
        <v>0.7</v>
      </c>
      <c r="H796" s="49" t="n">
        <v>3.3</v>
      </c>
      <c r="I796" s="50" t="n">
        <v>0.495</v>
      </c>
      <c r="J796" s="50" t="n">
        <v>3.32</v>
      </c>
      <c r="K796" s="50" t="inlineStr">
        <is>
          <t>Fail</t>
        </is>
      </c>
      <c r="L796" s="51" t="n"/>
      <c r="M796" s="51" t="n"/>
      <c r="N796" s="51" t="n"/>
    </row>
    <row r="797" ht="13.5" customHeight="1" s="38">
      <c r="A797" s="73" t="inlineStr">
        <is>
          <t>R_0794</t>
        </is>
      </c>
      <c r="B797" s="49" t="n">
        <v>3.6</v>
      </c>
      <c r="C797" s="50" t="n">
        <v>1.26</v>
      </c>
      <c r="D797" s="49" t="n">
        <v>3.9</v>
      </c>
      <c r="E797" s="50" t="n">
        <v>1.17</v>
      </c>
      <c r="F797" s="49" t="n">
        <v>3.5</v>
      </c>
      <c r="G797" s="50" t="n">
        <v>0.7</v>
      </c>
      <c r="H797" s="49" t="n">
        <v>3</v>
      </c>
      <c r="I797" s="50" t="n">
        <v>0.45</v>
      </c>
      <c r="J797" s="50" t="n">
        <v>3.58</v>
      </c>
      <c r="K797" s="50" t="inlineStr">
        <is>
          <t>Pass</t>
        </is>
      </c>
      <c r="L797" s="51" t="n"/>
      <c r="M797" s="51" t="n"/>
      <c r="N797" s="51" t="n"/>
    </row>
    <row r="798" ht="13.5" customHeight="1" s="38">
      <c r="A798" s="73" t="inlineStr">
        <is>
          <t>R_0795</t>
        </is>
      </c>
      <c r="B798" s="49" t="n">
        <v>3.2</v>
      </c>
      <c r="C798" s="50" t="n">
        <v>1.12</v>
      </c>
      <c r="D798" s="49" t="n">
        <v>3.5</v>
      </c>
      <c r="E798" s="50" t="n">
        <v>1.05</v>
      </c>
      <c r="F798" s="49" t="n">
        <v>3.7</v>
      </c>
      <c r="G798" s="50" t="n">
        <v>0.74</v>
      </c>
      <c r="H798" s="49" t="n">
        <v>3.9</v>
      </c>
      <c r="I798" s="50" t="n">
        <v>0.585</v>
      </c>
      <c r="J798" s="50" t="n">
        <v>3.5</v>
      </c>
      <c r="K798" s="50" t="inlineStr">
        <is>
          <t>Pass</t>
        </is>
      </c>
      <c r="L798" s="51" t="n"/>
      <c r="M798" s="51" t="n"/>
      <c r="N798" s="51" t="n"/>
    </row>
    <row r="799" ht="13.5" customHeight="1" s="38">
      <c r="A799" s="73" t="inlineStr">
        <is>
          <t>R_0796</t>
        </is>
      </c>
      <c r="B799" s="49" t="inlineStr">
        <is>
          <t>3.6 | 4.0</t>
        </is>
      </c>
      <c r="C799" s="50" t="inlineStr">
        <is>
          <t>1.26 | 1.4</t>
        </is>
      </c>
      <c r="D799" s="49" t="inlineStr">
        <is>
          <t>3.0 | 3.9</t>
        </is>
      </c>
      <c r="E799" s="50" t="inlineStr">
        <is>
          <t>0.9 | 1.17</t>
        </is>
      </c>
      <c r="F799" s="49" t="inlineStr">
        <is>
          <t>3.5 | 3.9</t>
        </is>
      </c>
      <c r="G799" s="50" t="inlineStr">
        <is>
          <t>0.7 | 0.78</t>
        </is>
      </c>
      <c r="H799" s="49" t="inlineStr">
        <is>
          <t>3.8 | 4.2</t>
        </is>
      </c>
      <c r="I799" s="50" t="inlineStr">
        <is>
          <t>0.57 | 0.63</t>
        </is>
      </c>
      <c r="J799" s="50" t="inlineStr">
        <is>
          <t>3.43 | 3.98</t>
        </is>
      </c>
      <c r="K799" s="50" t="inlineStr">
        <is>
          <t>Fail | Pass</t>
        </is>
      </c>
      <c r="L799" s="51" t="n"/>
      <c r="M799" s="51" t="n"/>
      <c r="N799" s="51" t="n"/>
    </row>
    <row r="800" ht="13.5" customHeight="1" s="38">
      <c r="A800" s="73" t="inlineStr">
        <is>
          <t>R_0797</t>
        </is>
      </c>
      <c r="B800" s="49" t="n">
        <v>3.2</v>
      </c>
      <c r="C800" s="50" t="n">
        <v>1.12</v>
      </c>
      <c r="D800" s="49" t="n">
        <v>3.9</v>
      </c>
      <c r="E800" s="50" t="n">
        <v>1.17</v>
      </c>
      <c r="F800" s="49" t="n">
        <v>3.8</v>
      </c>
      <c r="G800" s="50" t="n">
        <v>0.76</v>
      </c>
      <c r="H800" s="49" t="n">
        <v>3.3</v>
      </c>
      <c r="I800" s="50" t="n">
        <v>0.495</v>
      </c>
      <c r="J800" s="50" t="n">
        <v>3.54</v>
      </c>
      <c r="K800" s="50" t="inlineStr">
        <is>
          <t>Pass</t>
        </is>
      </c>
      <c r="L800" s="51" t="n"/>
      <c r="M800" s="51" t="n"/>
      <c r="N800" s="51" t="n"/>
    </row>
    <row r="801" ht="13.5" customHeight="1" s="38">
      <c r="A801" s="73" t="inlineStr">
        <is>
          <t>R_0798</t>
        </is>
      </c>
      <c r="B801" s="49" t="n">
        <v>3.5</v>
      </c>
      <c r="C801" s="50" t="n">
        <v>1.225</v>
      </c>
      <c r="D801" s="49" t="n">
        <v>3.7</v>
      </c>
      <c r="E801" s="50" t="n">
        <v>1.11</v>
      </c>
      <c r="F801" s="49" t="n">
        <v>3.8</v>
      </c>
      <c r="G801" s="50" t="n">
        <v>0.76</v>
      </c>
      <c r="H801" s="49" t="n">
        <v>3.3</v>
      </c>
      <c r="I801" s="50" t="n">
        <v>0.495</v>
      </c>
      <c r="J801" s="50" t="n">
        <v>3.59</v>
      </c>
      <c r="K801" s="50" t="inlineStr">
        <is>
          <t>Pass</t>
        </is>
      </c>
      <c r="L801" s="51" t="n"/>
      <c r="M801" s="51" t="n"/>
      <c r="N801" s="51" t="n"/>
    </row>
    <row r="802" ht="13.5" customHeight="1" s="38">
      <c r="A802" s="73" t="inlineStr">
        <is>
          <t>R_0799</t>
        </is>
      </c>
      <c r="B802" s="49" t="n">
        <v>3.5</v>
      </c>
      <c r="C802" s="50" t="n">
        <v>1.225</v>
      </c>
      <c r="D802" s="49" t="n">
        <v>3.8</v>
      </c>
      <c r="E802" s="50" t="n">
        <v>1.14</v>
      </c>
      <c r="F802" s="49" t="n">
        <v>3.7</v>
      </c>
      <c r="G802" s="50" t="n">
        <v>0.74</v>
      </c>
      <c r="H802" s="49" t="n">
        <v>3.2</v>
      </c>
      <c r="I802" s="50" t="n">
        <v>0.48</v>
      </c>
      <c r="J802" s="50" t="n">
        <v>3.58</v>
      </c>
      <c r="K802" s="50" t="inlineStr">
        <is>
          <t>Pass</t>
        </is>
      </c>
      <c r="L802" s="51" t="n"/>
      <c r="M802" s="51" t="n"/>
      <c r="N802" s="51" t="n"/>
    </row>
    <row r="803" ht="13.5" customHeight="1" s="38">
      <c r="A803" s="73" t="inlineStr">
        <is>
          <t>R_0800</t>
        </is>
      </c>
      <c r="B803" s="49" t="n">
        <v>3.5</v>
      </c>
      <c r="C803" s="50" t="n">
        <v>1.225</v>
      </c>
      <c r="D803" s="49" t="n">
        <v>3.1</v>
      </c>
      <c r="E803" s="50" t="n">
        <v>0.93</v>
      </c>
      <c r="F803" s="49" t="n">
        <v>3.5</v>
      </c>
      <c r="G803" s="50" t="n">
        <v>0.7</v>
      </c>
      <c r="H803" s="49" t="n">
        <v>3.8</v>
      </c>
      <c r="I803" s="50" t="n">
        <v>0.57</v>
      </c>
      <c r="J803" s="50" t="n">
        <v>3.43</v>
      </c>
      <c r="K803" s="50" t="inlineStr">
        <is>
          <t>Fail</t>
        </is>
      </c>
      <c r="L803" s="51" t="n"/>
      <c r="M803" s="51" t="n"/>
      <c r="N803" s="51" t="n"/>
    </row>
    <row r="804" ht="13.5" customHeight="1" s="38">
      <c r="A804" s="73" t="inlineStr">
        <is>
          <t>R_0801</t>
        </is>
      </c>
      <c r="B804" s="49" t="n">
        <v>3.5</v>
      </c>
      <c r="C804" s="50" t="n">
        <v>1.225</v>
      </c>
      <c r="D804" s="49" t="n">
        <v>3.7</v>
      </c>
      <c r="E804" s="50" t="n">
        <v>1.11</v>
      </c>
      <c r="F804" s="49" t="n">
        <v>3.7</v>
      </c>
      <c r="G804" s="50" t="n">
        <v>0.74</v>
      </c>
      <c r="H804" s="49" t="n">
        <v>3.3</v>
      </c>
      <c r="I804" s="50" t="n">
        <v>0.495</v>
      </c>
      <c r="J804" s="50" t="n">
        <v>3.57</v>
      </c>
      <c r="K804" s="50" t="inlineStr">
        <is>
          <t>Pass</t>
        </is>
      </c>
      <c r="L804" s="51" t="n"/>
      <c r="M804" s="51" t="n"/>
      <c r="N804" s="51" t="n"/>
    </row>
    <row r="805" ht="13.5" customHeight="1" s="38">
      <c r="A805" s="73" t="inlineStr">
        <is>
          <t>R_0802</t>
        </is>
      </c>
      <c r="B805" s="49" t="n">
        <v>3.2</v>
      </c>
      <c r="C805" s="50" t="n">
        <v>1.12</v>
      </c>
      <c r="D805" s="49" t="n">
        <v>3.6</v>
      </c>
      <c r="E805" s="50" t="n">
        <v>1.08</v>
      </c>
      <c r="F805" s="49" t="n">
        <v>3.7</v>
      </c>
      <c r="G805" s="50" t="n">
        <v>0.74</v>
      </c>
      <c r="H805" s="49" t="n">
        <v>3.2</v>
      </c>
      <c r="I805" s="50" t="n">
        <v>0.48</v>
      </c>
      <c r="J805" s="50" t="n">
        <v>3.42</v>
      </c>
      <c r="K805" s="50" t="inlineStr">
        <is>
          <t>Fail</t>
        </is>
      </c>
      <c r="L805" s="51" t="n"/>
      <c r="M805" s="51" t="n"/>
      <c r="N805" s="51" t="n"/>
    </row>
    <row r="806" ht="13.5" customHeight="1" s="38">
      <c r="A806" s="73" t="inlineStr">
        <is>
          <t>R_0803</t>
        </is>
      </c>
      <c r="B806" s="49" t="n">
        <v>3.9</v>
      </c>
      <c r="C806" s="50" t="n">
        <v>1.365</v>
      </c>
      <c r="D806" s="49" t="n">
        <v>3.4</v>
      </c>
      <c r="E806" s="50" t="n">
        <v>1.02</v>
      </c>
      <c r="F806" s="49" t="n">
        <v>3.4</v>
      </c>
      <c r="G806" s="50" t="n">
        <v>0.68</v>
      </c>
      <c r="H806" s="49" t="n">
        <v>3</v>
      </c>
      <c r="I806" s="50" t="n">
        <v>0.45</v>
      </c>
      <c r="J806" s="50" t="n">
        <v>3.52</v>
      </c>
      <c r="K806" s="50" t="inlineStr">
        <is>
          <t>Pass</t>
        </is>
      </c>
      <c r="L806" s="51" t="n"/>
      <c r="M806" s="51" t="n"/>
      <c r="N806" s="51" t="n"/>
    </row>
    <row r="807" ht="13.5" customHeight="1" s="38">
      <c r="A807" s="73" t="inlineStr">
        <is>
          <t>R_0804</t>
        </is>
      </c>
      <c r="B807" s="49" t="inlineStr">
        <is>
          <t>3.3 | 3.2</t>
        </is>
      </c>
      <c r="C807" s="50" t="inlineStr">
        <is>
          <t>1.155 | 1.12</t>
        </is>
      </c>
      <c r="D807" s="49" t="inlineStr">
        <is>
          <t>3.6 | 3.0</t>
        </is>
      </c>
      <c r="E807" s="50" t="inlineStr">
        <is>
          <t>1.08 | 0.9</t>
        </is>
      </c>
      <c r="F807" s="49" t="inlineStr">
        <is>
          <t>3.3 | 2.9</t>
        </is>
      </c>
      <c r="G807" s="50" t="inlineStr">
        <is>
          <t>0.66 | 0.58</t>
        </is>
      </c>
      <c r="H807" s="49" t="inlineStr">
        <is>
          <t>3.0 | 2.1</t>
        </is>
      </c>
      <c r="I807" s="50" t="inlineStr">
        <is>
          <t>0.45 | 0.315</t>
        </is>
      </c>
      <c r="J807" s="50" t="inlineStr">
        <is>
          <t>3.35 | 2.915</t>
        </is>
      </c>
      <c r="K807" s="50" t="inlineStr">
        <is>
          <t>Fail | Fail</t>
        </is>
      </c>
      <c r="L807" s="51" t="n"/>
      <c r="M807" s="51" t="n"/>
      <c r="N807" s="51" t="n"/>
    </row>
    <row r="808" ht="13.5" customHeight="1" s="38">
      <c r="A808" s="73" t="inlineStr">
        <is>
          <t>R_0805</t>
        </is>
      </c>
      <c r="B808" s="49" t="n">
        <v>3</v>
      </c>
      <c r="C808" s="50" t="n">
        <v>1.05</v>
      </c>
      <c r="D808" s="49" t="n">
        <v>3.9</v>
      </c>
      <c r="E808" s="50" t="n">
        <v>1.17</v>
      </c>
      <c r="F808" s="49" t="n">
        <v>3.5</v>
      </c>
      <c r="G808" s="50" t="n">
        <v>0.7</v>
      </c>
      <c r="H808" s="49" t="n">
        <v>3.9</v>
      </c>
      <c r="I808" s="50" t="n">
        <v>0.585</v>
      </c>
      <c r="J808" s="50" t="n">
        <v>3.5</v>
      </c>
      <c r="K808" s="50" t="inlineStr">
        <is>
          <t>Pass</t>
        </is>
      </c>
      <c r="L808" s="51" t="n"/>
      <c r="M808" s="51" t="n"/>
      <c r="N808" s="51" t="n"/>
    </row>
    <row r="809" ht="13.5" customHeight="1" s="38">
      <c r="A809" s="73" t="inlineStr">
        <is>
          <t>R_0806</t>
        </is>
      </c>
      <c r="B809" s="49" t="n">
        <v>3.6</v>
      </c>
      <c r="C809" s="50" t="n">
        <v>1.26</v>
      </c>
      <c r="D809" s="49" t="n">
        <v>4.1</v>
      </c>
      <c r="E809" s="50" t="n">
        <v>1.23</v>
      </c>
      <c r="F809" s="49" t="n">
        <v>3.3</v>
      </c>
      <c r="G809" s="50" t="n">
        <v>0.66</v>
      </c>
      <c r="H809" s="49" t="n">
        <v>3</v>
      </c>
      <c r="I809" s="50" t="n">
        <v>0.45</v>
      </c>
      <c r="J809" s="50" t="n">
        <v>3.6</v>
      </c>
      <c r="K809" s="50" t="inlineStr">
        <is>
          <t>Pass</t>
        </is>
      </c>
      <c r="L809" s="51" t="n"/>
      <c r="M809" s="51" t="n"/>
      <c r="N809" s="51" t="n"/>
    </row>
    <row r="810" ht="13.5" customHeight="1" s="38">
      <c r="A810" s="73" t="inlineStr">
        <is>
          <t>R_0807</t>
        </is>
      </c>
      <c r="B810" s="49" t="n">
        <v>3.5</v>
      </c>
      <c r="C810" s="50" t="n">
        <v>1.225</v>
      </c>
      <c r="D810" s="49" t="n">
        <v>3.2</v>
      </c>
      <c r="E810" s="50" t="n">
        <v>0.96</v>
      </c>
      <c r="F810" s="49" t="n">
        <v>3.5</v>
      </c>
      <c r="G810" s="50" t="n">
        <v>0.7</v>
      </c>
      <c r="H810" s="49" t="n">
        <v>3</v>
      </c>
      <c r="I810" s="50" t="n">
        <v>0.45</v>
      </c>
      <c r="J810" s="50" t="n">
        <v>3.33</v>
      </c>
      <c r="K810" s="50" t="inlineStr">
        <is>
          <t>Fail</t>
        </is>
      </c>
      <c r="L810" s="51" t="n"/>
      <c r="M810" s="51" t="n"/>
      <c r="N810" s="51" t="n"/>
    </row>
    <row r="811" ht="13.5" customHeight="1" s="38">
      <c r="A811" s="73" t="inlineStr">
        <is>
          <t>R_0808</t>
        </is>
      </c>
      <c r="B811" s="49" t="n">
        <v>3</v>
      </c>
      <c r="C811" s="50" t="n">
        <v>1.05</v>
      </c>
      <c r="D811" s="49" t="n">
        <v>3.5</v>
      </c>
      <c r="E811" s="50" t="n">
        <v>1.05</v>
      </c>
      <c r="F811" s="49" t="n">
        <v>3.5</v>
      </c>
      <c r="G811" s="50" t="n">
        <v>0.7</v>
      </c>
      <c r="H811" s="49" t="n">
        <v>3.9</v>
      </c>
      <c r="I811" s="50" t="n">
        <v>0.585</v>
      </c>
      <c r="J811" s="50" t="n">
        <v>3.38</v>
      </c>
      <c r="K811" s="50" t="inlineStr">
        <is>
          <t>Fail</t>
        </is>
      </c>
      <c r="L811" s="51" t="n"/>
      <c r="M811" s="51" t="n"/>
      <c r="N811" s="51" t="n"/>
    </row>
    <row r="812" ht="13.5" customHeight="1" s="38">
      <c r="A812" s="73" t="inlineStr">
        <is>
          <t>R_0809</t>
        </is>
      </c>
      <c r="B812" s="49" t="n">
        <v>3</v>
      </c>
      <c r="C812" s="50" t="n">
        <v>1.05</v>
      </c>
      <c r="D812" s="49" t="n">
        <v>3.6</v>
      </c>
      <c r="E812" s="50" t="n">
        <v>1.08</v>
      </c>
      <c r="F812" s="49" t="n">
        <v>3.5</v>
      </c>
      <c r="G812" s="50" t="n">
        <v>0.7</v>
      </c>
      <c r="H812" s="49" t="n">
        <v>2.8</v>
      </c>
      <c r="I812" s="50" t="n">
        <v>0.42</v>
      </c>
      <c r="J812" s="50" t="n">
        <v>3.25</v>
      </c>
      <c r="K812" s="50" t="inlineStr">
        <is>
          <t>Fail</t>
        </is>
      </c>
      <c r="L812" s="51" t="n"/>
      <c r="M812" s="51" t="n"/>
      <c r="N812" s="51" t="n"/>
    </row>
    <row r="813" ht="13.5" customHeight="1" s="38">
      <c r="A813" s="73" t="inlineStr">
        <is>
          <t>R_0810</t>
        </is>
      </c>
      <c r="B813" s="49" t="n">
        <v>3.4</v>
      </c>
      <c r="C813" s="50" t="n">
        <v>1.19</v>
      </c>
      <c r="D813" s="49" t="n">
        <v>3.1</v>
      </c>
      <c r="E813" s="50" t="n">
        <v>0.93</v>
      </c>
      <c r="F813" s="49" t="n">
        <v>3.6</v>
      </c>
      <c r="G813" s="50" t="n">
        <v>0.72</v>
      </c>
      <c r="H813" s="49" t="n">
        <v>3</v>
      </c>
      <c r="I813" s="50" t="n">
        <v>0.45</v>
      </c>
      <c r="J813" s="50" t="n">
        <v>3.29</v>
      </c>
      <c r="K813" s="50" t="inlineStr">
        <is>
          <t>Fail</t>
        </is>
      </c>
      <c r="L813" s="51" t="n"/>
      <c r="M813" s="51" t="n"/>
      <c r="N813" s="51" t="n"/>
    </row>
    <row r="814" ht="13.5" customHeight="1" s="38">
      <c r="A814" s="73" t="inlineStr">
        <is>
          <t>R_0811</t>
        </is>
      </c>
      <c r="B814" s="49" t="n">
        <v>3.6</v>
      </c>
      <c r="C814" s="50" t="n">
        <v>1.26</v>
      </c>
      <c r="D814" s="49" t="n">
        <v>3.3</v>
      </c>
      <c r="E814" s="50" t="n">
        <v>0.99</v>
      </c>
      <c r="F814" s="49" t="n">
        <v>3.6</v>
      </c>
      <c r="G814" s="50" t="n">
        <v>0.72</v>
      </c>
      <c r="H814" s="49" t="n">
        <v>3.8</v>
      </c>
      <c r="I814" s="50" t="n">
        <v>0.57</v>
      </c>
      <c r="J814" s="50" t="n">
        <v>3.54</v>
      </c>
      <c r="K814" s="50" t="inlineStr">
        <is>
          <t>Pass</t>
        </is>
      </c>
      <c r="L814" s="51" t="n"/>
      <c r="M814" s="51" t="n"/>
      <c r="N814" s="51" t="n"/>
    </row>
    <row r="815" ht="13.5" customHeight="1" s="38">
      <c r="A815" s="73" t="inlineStr">
        <is>
          <t>R_0812</t>
        </is>
      </c>
      <c r="B815" s="49" t="n">
        <v>3.4</v>
      </c>
      <c r="C815" s="50" t="n">
        <v>1.19</v>
      </c>
      <c r="D815" s="49" t="n">
        <v>3.8</v>
      </c>
      <c r="E815" s="50" t="n">
        <v>1.14</v>
      </c>
      <c r="F815" s="49" t="n">
        <v>3.8</v>
      </c>
      <c r="G815" s="50" t="n">
        <v>0.76</v>
      </c>
      <c r="H815" s="49" t="n">
        <v>4.5</v>
      </c>
      <c r="I815" s="50" t="n">
        <v>0.675</v>
      </c>
      <c r="J815" s="50" t="n">
        <v>3.76</v>
      </c>
      <c r="K815" s="50" t="inlineStr">
        <is>
          <t>Pass</t>
        </is>
      </c>
      <c r="L815" s="51" t="n"/>
      <c r="M815" s="51" t="n"/>
      <c r="N815" s="51" t="n"/>
    </row>
    <row r="816" ht="13.5" customHeight="1" s="38">
      <c r="A816" s="73" t="inlineStr">
        <is>
          <t>R_0813</t>
        </is>
      </c>
      <c r="B816" s="49" t="n">
        <v>3.5</v>
      </c>
      <c r="C816" s="50" t="n">
        <v>1.225</v>
      </c>
      <c r="D816" s="49" t="n">
        <v>3.1</v>
      </c>
      <c r="E816" s="50" t="n">
        <v>0.93</v>
      </c>
      <c r="F816" s="49" t="n">
        <v>3.6</v>
      </c>
      <c r="G816" s="50" t="n">
        <v>0.72</v>
      </c>
      <c r="H816" s="49" t="n">
        <v>3.8</v>
      </c>
      <c r="I816" s="50" t="n">
        <v>0.57</v>
      </c>
      <c r="J816" s="50" t="n">
        <v>3.44</v>
      </c>
      <c r="K816" s="50" t="inlineStr">
        <is>
          <t>Fail</t>
        </is>
      </c>
      <c r="L816" s="51" t="n"/>
      <c r="M816" s="51" t="n"/>
      <c r="N816" s="51" t="n"/>
    </row>
    <row r="817" ht="13.5" customHeight="1" s="38">
      <c r="A817" s="73" t="inlineStr">
        <is>
          <t>R_0814</t>
        </is>
      </c>
      <c r="B817" s="49" t="n">
        <v>3.5</v>
      </c>
      <c r="C817" s="50" t="n">
        <v>1.225</v>
      </c>
      <c r="D817" s="49" t="n">
        <v>3.2</v>
      </c>
      <c r="E817" s="50" t="n">
        <v>0.96</v>
      </c>
      <c r="F817" s="49" t="n">
        <v>3.5</v>
      </c>
      <c r="G817" s="50" t="n">
        <v>0.7</v>
      </c>
      <c r="H817" s="49" t="n">
        <v>3</v>
      </c>
      <c r="I817" s="50" t="n">
        <v>0.45</v>
      </c>
      <c r="J817" s="50" t="n">
        <v>3.33</v>
      </c>
      <c r="K817" s="50" t="inlineStr">
        <is>
          <t>Fail</t>
        </is>
      </c>
      <c r="L817" s="51" t="n"/>
      <c r="M817" s="51" t="n"/>
      <c r="N817" s="51" t="n"/>
    </row>
    <row r="818" ht="13.5" customHeight="1" s="38">
      <c r="A818" s="73" t="inlineStr">
        <is>
          <t>R_0815</t>
        </is>
      </c>
      <c r="B818" s="49" t="n">
        <v>3.5</v>
      </c>
      <c r="C818" s="50" t="n">
        <v>1.225</v>
      </c>
      <c r="D818" s="49" t="n">
        <v>3.3</v>
      </c>
      <c r="E818" s="50" t="n">
        <v>0.99</v>
      </c>
      <c r="F818" s="49" t="n">
        <v>3.5</v>
      </c>
      <c r="G818" s="50" t="n">
        <v>0.7</v>
      </c>
      <c r="H818" s="49" t="n">
        <v>2.8</v>
      </c>
      <c r="I818" s="50" t="n">
        <v>0.42</v>
      </c>
      <c r="J818" s="50" t="n">
        <v>3.33</v>
      </c>
      <c r="K818" s="50" t="inlineStr">
        <is>
          <t>Fail</t>
        </is>
      </c>
      <c r="L818" s="51" t="n"/>
      <c r="M818" s="51" t="n"/>
      <c r="N818" s="51" t="n"/>
    </row>
    <row r="819" ht="13.5" customHeight="1" s="38">
      <c r="A819" s="73" t="inlineStr">
        <is>
          <t>R_0816</t>
        </is>
      </c>
      <c r="B819" s="49" t="n">
        <v>3.5</v>
      </c>
      <c r="C819" s="50" t="n">
        <v>1.225</v>
      </c>
      <c r="D819" s="49" t="n">
        <v>3.9</v>
      </c>
      <c r="E819" s="50" t="n">
        <v>1.17</v>
      </c>
      <c r="F819" s="49" t="n">
        <v>3.3</v>
      </c>
      <c r="G819" s="50" t="n">
        <v>0.66</v>
      </c>
      <c r="H819" s="49" t="n">
        <v>3</v>
      </c>
      <c r="I819" s="50" t="n">
        <v>0.45</v>
      </c>
      <c r="J819" s="50" t="n">
        <v>3.51</v>
      </c>
      <c r="K819" s="50" t="inlineStr">
        <is>
          <t>Pass</t>
        </is>
      </c>
      <c r="L819" s="51" t="n"/>
      <c r="M819" s="51" t="n"/>
      <c r="N819" s="51" t="n"/>
    </row>
    <row r="820" ht="13.5" customHeight="1" s="38">
      <c r="A820" s="73" t="inlineStr">
        <is>
          <t>R_0817</t>
        </is>
      </c>
      <c r="B820" s="49" t="n">
        <v>3.4</v>
      </c>
      <c r="C820" s="50" t="n">
        <v>1.19</v>
      </c>
      <c r="D820" s="49" t="n">
        <v>3.3</v>
      </c>
      <c r="E820" s="50" t="n">
        <v>0.99</v>
      </c>
      <c r="F820" s="49" t="n">
        <v>3.6</v>
      </c>
      <c r="G820" s="50" t="n">
        <v>0.72</v>
      </c>
      <c r="H820" s="49" t="n">
        <v>2.8</v>
      </c>
      <c r="I820" s="50" t="n">
        <v>0.42</v>
      </c>
      <c r="J820" s="50" t="n">
        <v>3.32</v>
      </c>
      <c r="K820" s="50" t="inlineStr">
        <is>
          <t>Fail</t>
        </is>
      </c>
      <c r="L820" s="51" t="n"/>
      <c r="M820" s="51" t="n"/>
      <c r="N820" s="51" t="n"/>
    </row>
    <row r="821" ht="13.5" customHeight="1" s="38">
      <c r="A821" s="73" t="inlineStr">
        <is>
          <t>R_0818</t>
        </is>
      </c>
      <c r="B821" s="49" t="n">
        <v>3.5</v>
      </c>
      <c r="C821" s="50" t="n">
        <v>1.225</v>
      </c>
      <c r="D821" s="49" t="n">
        <v>3.2</v>
      </c>
      <c r="E821" s="50" t="n">
        <v>0.96</v>
      </c>
      <c r="F821" s="49" t="n">
        <v>3.5</v>
      </c>
      <c r="G821" s="50" t="n">
        <v>0.7</v>
      </c>
      <c r="H821" s="49" t="n">
        <v>3.3</v>
      </c>
      <c r="I821" s="50" t="n">
        <v>0.495</v>
      </c>
      <c r="J821" s="50" t="n">
        <v>3.38</v>
      </c>
      <c r="K821" s="50" t="inlineStr">
        <is>
          <t>Fail</t>
        </is>
      </c>
      <c r="L821" s="51" t="n"/>
      <c r="M821" s="51" t="n"/>
      <c r="N821" s="51" t="n"/>
    </row>
    <row r="822" ht="13.5" customHeight="1" s="38">
      <c r="A822" s="73" t="inlineStr">
        <is>
          <t>R_0819</t>
        </is>
      </c>
      <c r="B822" s="49" t="n">
        <v>3.5</v>
      </c>
      <c r="C822" s="50" t="n">
        <v>1.225</v>
      </c>
      <c r="D822" s="49" t="n">
        <v>4</v>
      </c>
      <c r="E822" s="50" t="n">
        <v>1.2</v>
      </c>
      <c r="F822" s="49" t="n">
        <v>3.2</v>
      </c>
      <c r="G822" s="50" t="n">
        <v>0.64</v>
      </c>
      <c r="H822" s="49" t="n">
        <v>3</v>
      </c>
      <c r="I822" s="50" t="n">
        <v>0.45</v>
      </c>
      <c r="J822" s="50" t="n">
        <v>3.52</v>
      </c>
      <c r="K822" s="50" t="inlineStr">
        <is>
          <t>Pass</t>
        </is>
      </c>
      <c r="L822" s="51" t="n"/>
      <c r="M822" s="51" t="n"/>
      <c r="N822" s="51" t="n"/>
    </row>
    <row r="823" ht="13.5" customHeight="1" s="38">
      <c r="A823" s="73" t="inlineStr">
        <is>
          <t>R_0820</t>
        </is>
      </c>
      <c r="B823" s="49" t="n">
        <v>3.2</v>
      </c>
      <c r="C823" s="50" t="n">
        <v>1.12</v>
      </c>
      <c r="D823" s="49" t="n">
        <v>3.9</v>
      </c>
      <c r="E823" s="50" t="n">
        <v>1.17</v>
      </c>
      <c r="F823" s="49" t="n">
        <v>3.8</v>
      </c>
      <c r="G823" s="50" t="n">
        <v>0.76</v>
      </c>
      <c r="H823" s="49" t="n">
        <v>3.3</v>
      </c>
      <c r="I823" s="50" t="n">
        <v>0.495</v>
      </c>
      <c r="J823" s="50" t="n">
        <v>3.54</v>
      </c>
      <c r="K823" s="50" t="inlineStr">
        <is>
          <t>Pass</t>
        </is>
      </c>
      <c r="L823" s="51" t="n"/>
      <c r="M823" s="51" t="n"/>
      <c r="N823" s="51" t="n"/>
    </row>
    <row r="824" ht="13.5" customHeight="1" s="38">
      <c r="A824" s="73" t="inlineStr">
        <is>
          <t>R_0821</t>
        </is>
      </c>
      <c r="B824" s="49" t="n">
        <v>3.4</v>
      </c>
      <c r="C824" s="50" t="n">
        <v>1.19</v>
      </c>
      <c r="D824" s="49" t="n">
        <v>3.1</v>
      </c>
      <c r="E824" s="50" t="n">
        <v>0.93</v>
      </c>
      <c r="F824" s="49" t="n">
        <v>3.5</v>
      </c>
      <c r="G824" s="50" t="n">
        <v>0.7</v>
      </c>
      <c r="H824" s="49" t="n">
        <v>2.8</v>
      </c>
      <c r="I824" s="50" t="n">
        <v>0.42</v>
      </c>
      <c r="J824" s="50" t="n">
        <v>3.24</v>
      </c>
      <c r="K824" s="50" t="inlineStr">
        <is>
          <t>Fail</t>
        </is>
      </c>
      <c r="L824" s="51" t="n"/>
      <c r="M824" s="51" t="n"/>
      <c r="N824" s="51" t="n"/>
    </row>
    <row r="825" ht="13.5" customHeight="1" s="38">
      <c r="A825" s="73" t="inlineStr">
        <is>
          <t>R_0822</t>
        </is>
      </c>
      <c r="B825" s="49" t="n">
        <v>2.5</v>
      </c>
      <c r="C825" s="50" t="n">
        <v>0.875</v>
      </c>
      <c r="D825" s="49" t="n">
        <v>3.5</v>
      </c>
      <c r="E825" s="50" t="n">
        <v>1.05</v>
      </c>
      <c r="F825" s="49" t="n">
        <v>3.1</v>
      </c>
      <c r="G825" s="50" t="n">
        <v>0.62</v>
      </c>
      <c r="H825" s="49" t="n">
        <v>2.5</v>
      </c>
      <c r="I825" s="50" t="n">
        <v>0.375</v>
      </c>
      <c r="J825" s="50" t="n">
        <v>2.92</v>
      </c>
      <c r="K825" s="50" t="inlineStr">
        <is>
          <t>Fail</t>
        </is>
      </c>
      <c r="L825" s="51" t="n"/>
      <c r="M825" s="51" t="n"/>
      <c r="N825" s="51" t="n"/>
    </row>
    <row r="826" ht="13.5" customHeight="1" s="38">
      <c r="A826" s="73" t="inlineStr">
        <is>
          <t>R_0823</t>
        </is>
      </c>
      <c r="B826" s="49" t="n">
        <v>3.5</v>
      </c>
      <c r="C826" s="50" t="n">
        <v>1.225</v>
      </c>
      <c r="D826" s="49" t="n">
        <v>3.7</v>
      </c>
      <c r="E826" s="50" t="n">
        <v>1.11</v>
      </c>
      <c r="F826" s="49" t="n">
        <v>3.8</v>
      </c>
      <c r="G826" s="50" t="n">
        <v>0.76</v>
      </c>
      <c r="H826" s="49" t="n">
        <v>3.3</v>
      </c>
      <c r="I826" s="50" t="n">
        <v>0.495</v>
      </c>
      <c r="J826" s="50" t="n">
        <v>3.59</v>
      </c>
      <c r="K826" s="50" t="inlineStr">
        <is>
          <t>Pass</t>
        </is>
      </c>
      <c r="L826" s="51" t="n"/>
      <c r="M826" s="51" t="n"/>
      <c r="N826" s="51" t="n"/>
    </row>
    <row r="827" ht="13.5" customHeight="1" s="38">
      <c r="A827" s="73" t="inlineStr">
        <is>
          <t>R_0824</t>
        </is>
      </c>
      <c r="B827" s="49" t="n">
        <v>3.6</v>
      </c>
      <c r="C827" s="50" t="n">
        <v>1.26</v>
      </c>
      <c r="D827" s="49" t="n">
        <v>3.8</v>
      </c>
      <c r="E827" s="50" t="n">
        <v>1.14</v>
      </c>
      <c r="F827" s="49" t="n">
        <v>3.3</v>
      </c>
      <c r="G827" s="50" t="n">
        <v>0.66</v>
      </c>
      <c r="H827" s="49" t="n">
        <v>3</v>
      </c>
      <c r="I827" s="50" t="n">
        <v>0.45</v>
      </c>
      <c r="J827" s="50" t="n">
        <v>3.51</v>
      </c>
      <c r="K827" s="50" t="inlineStr">
        <is>
          <t>Pass</t>
        </is>
      </c>
      <c r="L827" s="51" t="n"/>
      <c r="M827" s="51" t="n"/>
      <c r="N827" s="51" t="n"/>
    </row>
    <row r="828" ht="13.5" customHeight="1" s="38">
      <c r="A828" s="73" t="inlineStr">
        <is>
          <t>R_0825</t>
        </is>
      </c>
      <c r="B828" s="49" t="n">
        <v>3.2</v>
      </c>
      <c r="C828" s="50" t="n">
        <v>1.12</v>
      </c>
      <c r="D828" s="49" t="n">
        <v>3.5</v>
      </c>
      <c r="E828" s="50" t="n">
        <v>1.05</v>
      </c>
      <c r="F828" s="49" t="n">
        <v>3.7</v>
      </c>
      <c r="G828" s="50" t="n">
        <v>0.74</v>
      </c>
      <c r="H828" s="49" t="n">
        <v>4.5</v>
      </c>
      <c r="I828" s="50" t="n">
        <v>0.675</v>
      </c>
      <c r="J828" s="50" t="n">
        <v>3.58</v>
      </c>
      <c r="K828" s="50" t="inlineStr">
        <is>
          <t>Pass</t>
        </is>
      </c>
      <c r="L828" s="51" t="n"/>
      <c r="M828" s="51" t="n"/>
      <c r="N828" s="51" t="n"/>
    </row>
    <row r="829" ht="13.5" customHeight="1" s="38">
      <c r="A829" s="73" t="inlineStr">
        <is>
          <t>R_0826</t>
        </is>
      </c>
      <c r="B829" s="49" t="n">
        <v>3.7</v>
      </c>
      <c r="C829" s="50" t="n">
        <v>1.295</v>
      </c>
      <c r="D829" s="49" t="n">
        <v>3.4</v>
      </c>
      <c r="E829" s="50" t="n">
        <v>1.02</v>
      </c>
      <c r="F829" s="49" t="n">
        <v>3.6</v>
      </c>
      <c r="G829" s="50" t="n">
        <v>0.72</v>
      </c>
      <c r="H829" s="49" t="n">
        <v>3.8</v>
      </c>
      <c r="I829" s="50" t="n">
        <v>0.57</v>
      </c>
      <c r="J829" s="50" t="n">
        <v>3.6</v>
      </c>
      <c r="K829" s="50" t="inlineStr">
        <is>
          <t>Pass</t>
        </is>
      </c>
      <c r="L829" s="51" t="n"/>
      <c r="M829" s="51" t="n"/>
      <c r="N829" s="51" t="n"/>
    </row>
    <row r="830" ht="13.5" customHeight="1" s="38">
      <c r="A830" s="73" t="inlineStr">
        <is>
          <t>R_0827</t>
        </is>
      </c>
      <c r="B830" s="49" t="n">
        <v>3.7</v>
      </c>
      <c r="C830" s="50" t="n">
        <v>1.295</v>
      </c>
      <c r="D830" s="49" t="n">
        <v>2.9</v>
      </c>
      <c r="E830" s="50" t="n">
        <v>0.87</v>
      </c>
      <c r="F830" s="49" t="n">
        <v>3.7</v>
      </c>
      <c r="G830" s="50" t="n">
        <v>0.74</v>
      </c>
      <c r="H830" s="49" t="n">
        <v>3.8</v>
      </c>
      <c r="I830" s="50" t="n">
        <v>0.57</v>
      </c>
      <c r="J830" s="50" t="n">
        <v>3.48</v>
      </c>
      <c r="K830" s="50" t="inlineStr">
        <is>
          <t>Fail</t>
        </is>
      </c>
      <c r="L830" s="51" t="n"/>
      <c r="M830" s="51" t="n"/>
      <c r="N830" s="51" t="n"/>
    </row>
    <row r="831" ht="13.5" customHeight="1" s="38">
      <c r="A831" s="73" t="inlineStr">
        <is>
          <t>R_0828</t>
        </is>
      </c>
      <c r="B831" s="49" t="n">
        <v>3.5</v>
      </c>
      <c r="C831" s="50" t="n">
        <v>1.225</v>
      </c>
      <c r="D831" s="49" t="n">
        <v>2.9</v>
      </c>
      <c r="E831" s="50" t="n">
        <v>0.87</v>
      </c>
      <c r="F831" s="49" t="n">
        <v>3.6</v>
      </c>
      <c r="G831" s="50" t="n">
        <v>0.72</v>
      </c>
      <c r="H831" s="49" t="n">
        <v>3</v>
      </c>
      <c r="I831" s="50" t="n">
        <v>0.45</v>
      </c>
      <c r="J831" s="50" t="n">
        <v>3.27</v>
      </c>
      <c r="K831" s="50" t="inlineStr">
        <is>
          <t>Fail</t>
        </is>
      </c>
      <c r="L831" s="51" t="n"/>
      <c r="M831" s="51" t="n"/>
      <c r="N831" s="51" t="n"/>
    </row>
    <row r="832" ht="13.5" customHeight="1" s="38">
      <c r="A832" s="73" t="inlineStr">
        <is>
          <t>R_0829</t>
        </is>
      </c>
      <c r="B832" s="49" t="n">
        <v>3.6</v>
      </c>
      <c r="C832" s="50" t="n">
        <v>1.26</v>
      </c>
      <c r="D832" s="49" t="n">
        <v>3.4</v>
      </c>
      <c r="E832" s="50" t="n">
        <v>1.02</v>
      </c>
      <c r="F832" s="49" t="n">
        <v>3.7</v>
      </c>
      <c r="G832" s="50" t="n">
        <v>0.74</v>
      </c>
      <c r="H832" s="49" t="n">
        <v>3.8</v>
      </c>
      <c r="I832" s="50" t="n">
        <v>0.57</v>
      </c>
      <c r="J832" s="50" t="n">
        <v>3.59</v>
      </c>
      <c r="K832" s="50" t="inlineStr">
        <is>
          <t>Pass</t>
        </is>
      </c>
      <c r="L832" s="51" t="n"/>
      <c r="M832" s="51" t="n"/>
      <c r="N832" s="51" t="n"/>
    </row>
    <row r="833" ht="13.5" customHeight="1" s="38">
      <c r="A833" s="73" t="inlineStr">
        <is>
          <t>R_0830</t>
        </is>
      </c>
      <c r="B833" s="49" t="n">
        <v>3.5</v>
      </c>
      <c r="C833" s="50" t="n">
        <v>1.225</v>
      </c>
      <c r="D833" s="49" t="n">
        <v>3.4</v>
      </c>
      <c r="E833" s="50" t="n">
        <v>1.02</v>
      </c>
      <c r="F833" s="49" t="n">
        <v>3.6</v>
      </c>
      <c r="G833" s="50" t="n">
        <v>0.72</v>
      </c>
      <c r="H833" s="49" t="n">
        <v>3</v>
      </c>
      <c r="I833" s="50" t="n">
        <v>0.45</v>
      </c>
      <c r="J833" s="50" t="n">
        <v>3.42</v>
      </c>
      <c r="K833" s="50" t="inlineStr">
        <is>
          <t>Fail</t>
        </is>
      </c>
      <c r="L833" s="51" t="n"/>
      <c r="M833" s="51" t="n"/>
      <c r="N833" s="51" t="n"/>
    </row>
    <row r="834" ht="13.5" customHeight="1" s="38">
      <c r="A834" s="73" t="inlineStr">
        <is>
          <t>R_0831</t>
        </is>
      </c>
      <c r="B834" s="49" t="n">
        <v>3.6</v>
      </c>
      <c r="C834" s="50" t="n">
        <v>1.26</v>
      </c>
      <c r="D834" s="49" t="n">
        <v>3.9</v>
      </c>
      <c r="E834" s="50" t="n">
        <v>1.17</v>
      </c>
      <c r="F834" s="49" t="n">
        <v>3.5</v>
      </c>
      <c r="G834" s="50" t="n">
        <v>0.7</v>
      </c>
      <c r="H834" s="49" t="n">
        <v>3</v>
      </c>
      <c r="I834" s="50" t="n">
        <v>0.45</v>
      </c>
      <c r="J834" s="50" t="n">
        <v>3.58</v>
      </c>
      <c r="K834" s="50" t="inlineStr">
        <is>
          <t>Pass</t>
        </is>
      </c>
      <c r="L834" s="51" t="n"/>
      <c r="M834" s="51" t="n"/>
      <c r="N834" s="51" t="n"/>
    </row>
    <row r="835" ht="13.5" customHeight="1" s="38">
      <c r="A835" s="73" t="inlineStr">
        <is>
          <t>R_0832</t>
        </is>
      </c>
      <c r="B835" s="49" t="n">
        <v>3</v>
      </c>
      <c r="C835" s="50" t="n">
        <v>1.05</v>
      </c>
      <c r="D835" s="49" t="n">
        <v>3.5</v>
      </c>
      <c r="E835" s="50" t="n">
        <v>1.05</v>
      </c>
      <c r="F835" s="49" t="n">
        <v>3.5</v>
      </c>
      <c r="G835" s="50" t="n">
        <v>0.7</v>
      </c>
      <c r="H835" s="49" t="n">
        <v>3.9</v>
      </c>
      <c r="I835" s="50" t="n">
        <v>0.585</v>
      </c>
      <c r="J835" s="50" t="n">
        <v>3.38</v>
      </c>
      <c r="K835" s="50" t="inlineStr">
        <is>
          <t>Fail</t>
        </is>
      </c>
      <c r="L835" s="51" t="n"/>
      <c r="M835" s="51" t="n"/>
      <c r="N835" s="51" t="n"/>
    </row>
    <row r="836" ht="13.5" customHeight="1" s="38">
      <c r="A836" s="73" t="inlineStr">
        <is>
          <t>R_0833</t>
        </is>
      </c>
      <c r="B836" s="49" t="n">
        <v>3.6</v>
      </c>
      <c r="C836" s="50" t="n">
        <v>1.26</v>
      </c>
      <c r="D836" s="49" t="n">
        <v>4.1</v>
      </c>
      <c r="E836" s="50" t="n">
        <v>1.23</v>
      </c>
      <c r="F836" s="49" t="n">
        <v>3.3</v>
      </c>
      <c r="G836" s="50" t="n">
        <v>0.66</v>
      </c>
      <c r="H836" s="49" t="n">
        <v>3</v>
      </c>
      <c r="I836" s="50" t="n">
        <v>0.45</v>
      </c>
      <c r="J836" s="50" t="n">
        <v>3.6</v>
      </c>
      <c r="K836" s="50" t="inlineStr">
        <is>
          <t>Pass</t>
        </is>
      </c>
      <c r="L836" s="51" t="n"/>
      <c r="M836" s="51" t="n"/>
      <c r="N836" s="51" t="n"/>
    </row>
    <row r="837" ht="13.5" customHeight="1" s="38">
      <c r="A837" s="73" t="inlineStr">
        <is>
          <t>R_0834</t>
        </is>
      </c>
      <c r="B837" s="49" t="n">
        <v>3.7</v>
      </c>
      <c r="C837" s="50" t="n">
        <v>1.295</v>
      </c>
      <c r="D837" s="49" t="n">
        <v>3.9</v>
      </c>
      <c r="E837" s="50" t="n">
        <v>1.17</v>
      </c>
      <c r="F837" s="49" t="n">
        <v>3.3</v>
      </c>
      <c r="G837" s="50" t="n">
        <v>0.66</v>
      </c>
      <c r="H837" s="49" t="n">
        <v>3</v>
      </c>
      <c r="I837" s="50" t="n">
        <v>0.45</v>
      </c>
      <c r="J837" s="50" t="n">
        <v>3.58</v>
      </c>
      <c r="K837" s="50" t="inlineStr">
        <is>
          <t>Pass</t>
        </is>
      </c>
      <c r="L837" s="51" t="n"/>
      <c r="M837" s="51" t="n"/>
      <c r="N837" s="51" t="n"/>
    </row>
    <row r="838" ht="13.5" customHeight="1" s="38">
      <c r="A838" s="73" t="inlineStr">
        <is>
          <t>R_0835</t>
        </is>
      </c>
      <c r="B838" s="49" t="n">
        <v>3.2</v>
      </c>
      <c r="C838" s="50" t="n">
        <v>1.12</v>
      </c>
      <c r="D838" s="49" t="n">
        <v>3.7</v>
      </c>
      <c r="E838" s="50" t="n">
        <v>1.11</v>
      </c>
      <c r="F838" s="49" t="n">
        <v>3.7</v>
      </c>
      <c r="G838" s="50" t="n">
        <v>0.74</v>
      </c>
      <c r="H838" s="49" t="n">
        <v>3.9</v>
      </c>
      <c r="I838" s="50" t="n">
        <v>0.585</v>
      </c>
      <c r="J838" s="50" t="n">
        <v>3.56</v>
      </c>
      <c r="K838" s="50" t="inlineStr">
        <is>
          <t>Pass</t>
        </is>
      </c>
      <c r="L838" s="51" t="n"/>
      <c r="M838" s="51" t="n"/>
      <c r="N838" s="51" t="n"/>
    </row>
    <row r="839" ht="13.5" customHeight="1" s="38">
      <c r="A839" s="73" t="inlineStr">
        <is>
          <t>R_0836</t>
        </is>
      </c>
      <c r="B839" s="49" t="n">
        <v>3.5</v>
      </c>
      <c r="C839" s="50" t="n">
        <v>1.225</v>
      </c>
      <c r="D839" s="49" t="n">
        <v>3.3</v>
      </c>
      <c r="E839" s="50" t="n">
        <v>0.99</v>
      </c>
      <c r="F839" s="49" t="n">
        <v>3.5</v>
      </c>
      <c r="G839" s="50" t="n">
        <v>0.7</v>
      </c>
      <c r="H839" s="49" t="n">
        <v>3.3</v>
      </c>
      <c r="I839" s="50" t="n">
        <v>0.495</v>
      </c>
      <c r="J839" s="50" t="n">
        <v>3.41</v>
      </c>
      <c r="K839" s="50" t="inlineStr">
        <is>
          <t>Fail</t>
        </is>
      </c>
      <c r="L839" s="51" t="n"/>
      <c r="M839" s="51" t="n"/>
      <c r="N839" s="51" t="n"/>
    </row>
    <row r="840" ht="13.5" customHeight="1" s="38">
      <c r="A840" s="73" t="inlineStr">
        <is>
          <t>R_0837</t>
        </is>
      </c>
      <c r="B840" s="49" t="n">
        <v>2.8</v>
      </c>
      <c r="C840" s="50" t="n">
        <v>0.98</v>
      </c>
      <c r="D840" s="49" t="n">
        <v>3.4</v>
      </c>
      <c r="E840" s="50" t="n">
        <v>1.02</v>
      </c>
      <c r="F840" s="49" t="n">
        <v>3.5</v>
      </c>
      <c r="G840" s="50" t="n">
        <v>0.7</v>
      </c>
      <c r="H840" s="49" t="n">
        <v>4.3</v>
      </c>
      <c r="I840" s="50" t="n">
        <v>0.645</v>
      </c>
      <c r="J840" s="50" t="n">
        <v>3.35</v>
      </c>
      <c r="K840" s="50" t="inlineStr">
        <is>
          <t>Fail</t>
        </is>
      </c>
      <c r="L840" s="51" t="n"/>
      <c r="M840" s="51" t="n"/>
      <c r="N840" s="51" t="n"/>
    </row>
    <row r="841" ht="13.5" customHeight="1" s="38">
      <c r="A841" s="73" t="inlineStr">
        <is>
          <t>R_0838</t>
        </is>
      </c>
      <c r="B841" s="49" t="n">
        <v>3.7</v>
      </c>
      <c r="C841" s="50" t="n">
        <v>1.295</v>
      </c>
      <c r="D841" s="49" t="n">
        <v>4.2</v>
      </c>
      <c r="E841" s="50" t="n">
        <v>1.26</v>
      </c>
      <c r="F841" s="49" t="n">
        <v>3.1</v>
      </c>
      <c r="G841" s="50" t="n">
        <v>0.62</v>
      </c>
      <c r="H841" s="49" t="n">
        <v>3</v>
      </c>
      <c r="I841" s="50" t="n">
        <v>0.45</v>
      </c>
      <c r="J841" s="50" t="n">
        <v>3.62</v>
      </c>
      <c r="K841" s="50" t="inlineStr">
        <is>
          <t>Pass</t>
        </is>
      </c>
      <c r="L841" s="51" t="n"/>
      <c r="M841" s="51" t="n"/>
      <c r="N841" s="51" t="n"/>
    </row>
    <row r="842" ht="13.5" customHeight="1" s="38">
      <c r="A842" s="73" t="inlineStr">
        <is>
          <t>R_0839</t>
        </is>
      </c>
      <c r="B842" s="49" t="n">
        <v>3.3</v>
      </c>
      <c r="C842" s="50" t="n">
        <v>1.155</v>
      </c>
      <c r="D842" s="49" t="n">
        <v>3.6</v>
      </c>
      <c r="E842" s="50" t="n">
        <v>1.08</v>
      </c>
      <c r="F842" s="49" t="n">
        <v>3.3</v>
      </c>
      <c r="G842" s="50" t="n">
        <v>0.66</v>
      </c>
      <c r="H842" s="49" t="n">
        <v>3</v>
      </c>
      <c r="I842" s="50" t="n">
        <v>0.45</v>
      </c>
      <c r="J842" s="50" t="n">
        <v>3.35</v>
      </c>
      <c r="K842" s="50" t="inlineStr">
        <is>
          <t>Fail</t>
        </is>
      </c>
      <c r="L842" s="51" t="n"/>
      <c r="M842" s="51" t="n"/>
      <c r="N842" s="51" t="n"/>
    </row>
    <row r="843" ht="13.5" customHeight="1" s="38">
      <c r="A843" s="73" t="inlineStr">
        <is>
          <t>R_0840</t>
        </is>
      </c>
      <c r="B843" s="49" t="n">
        <v>3.6</v>
      </c>
      <c r="C843" s="50" t="n">
        <v>1.26</v>
      </c>
      <c r="D843" s="49" t="n">
        <v>3.6</v>
      </c>
      <c r="E843" s="50" t="n">
        <v>1.08</v>
      </c>
      <c r="F843" s="49" t="n">
        <v>3.5</v>
      </c>
      <c r="G843" s="50" t="n">
        <v>0.7</v>
      </c>
      <c r="H843" s="49" t="n">
        <v>3</v>
      </c>
      <c r="I843" s="50" t="n">
        <v>0.45</v>
      </c>
      <c r="J843" s="50" t="n">
        <v>3.49</v>
      </c>
      <c r="K843" s="50" t="inlineStr">
        <is>
          <t>Fail</t>
        </is>
      </c>
      <c r="L843" s="51" t="n"/>
      <c r="M843" s="51" t="n"/>
      <c r="N843" s="51" t="n"/>
    </row>
    <row r="844" ht="13.5" customHeight="1" s="38">
      <c r="A844" s="73" t="inlineStr">
        <is>
          <t>R_0841</t>
        </is>
      </c>
      <c r="B844" s="49" t="n">
        <v>3.4</v>
      </c>
      <c r="C844" s="50" t="n">
        <v>1.19</v>
      </c>
      <c r="D844" s="49" t="n">
        <v>3.2</v>
      </c>
      <c r="E844" s="50" t="n">
        <v>0.96</v>
      </c>
      <c r="F844" s="49" t="n">
        <v>3.5</v>
      </c>
      <c r="G844" s="50" t="n">
        <v>0.7</v>
      </c>
      <c r="H844" s="49" t="n">
        <v>2.8</v>
      </c>
      <c r="I844" s="50" t="n">
        <v>0.42</v>
      </c>
      <c r="J844" s="50" t="n">
        <v>3.27</v>
      </c>
      <c r="K844" s="50" t="inlineStr">
        <is>
          <t>Fail</t>
        </is>
      </c>
      <c r="L844" s="51" t="n"/>
      <c r="M844" s="51" t="n"/>
      <c r="N844" s="51" t="n"/>
    </row>
    <row r="845" ht="13.5" customHeight="1" s="38">
      <c r="A845" s="73" t="inlineStr">
        <is>
          <t>R_0842</t>
        </is>
      </c>
      <c r="B845" s="49" t="n">
        <v>3.2</v>
      </c>
      <c r="C845" s="50" t="n">
        <v>1.12</v>
      </c>
      <c r="D845" s="49" t="n">
        <v>3.3</v>
      </c>
      <c r="E845" s="50" t="n">
        <v>0.99</v>
      </c>
      <c r="F845" s="49" t="n">
        <v>3.7</v>
      </c>
      <c r="G845" s="50" t="n">
        <v>0.74</v>
      </c>
      <c r="H845" s="49" t="n">
        <v>4.5</v>
      </c>
      <c r="I845" s="50" t="n">
        <v>0.675</v>
      </c>
      <c r="J845" s="50" t="n">
        <v>3.52</v>
      </c>
      <c r="K845" s="50" t="inlineStr">
        <is>
          <t>Pass</t>
        </is>
      </c>
      <c r="L845" s="51" t="n"/>
      <c r="M845" s="51" t="n"/>
      <c r="N845" s="51" t="n"/>
    </row>
    <row r="846" ht="13.5" customHeight="1" s="38">
      <c r="A846" s="73" t="inlineStr">
        <is>
          <t>R_0843</t>
        </is>
      </c>
      <c r="B846" s="49" t="n">
        <v>3.2</v>
      </c>
      <c r="C846" s="50" t="n">
        <v>1.12</v>
      </c>
      <c r="D846" s="49" t="n">
        <v>3.6</v>
      </c>
      <c r="E846" s="50" t="n">
        <v>1.08</v>
      </c>
      <c r="F846" s="49" t="n">
        <v>3.8</v>
      </c>
      <c r="G846" s="50" t="n">
        <v>0.76</v>
      </c>
      <c r="H846" s="49" t="n">
        <v>4.7</v>
      </c>
      <c r="I846" s="50" t="n">
        <v>0.705</v>
      </c>
      <c r="J846" s="50" t="n">
        <v>3.67</v>
      </c>
      <c r="K846" s="50" t="inlineStr">
        <is>
          <t>Pass</t>
        </is>
      </c>
      <c r="L846" s="51" t="n"/>
      <c r="M846" s="51" t="n"/>
      <c r="N846" s="51" t="n"/>
    </row>
    <row r="847" ht="13.5" customHeight="1" s="38">
      <c r="A847" s="73" t="inlineStr">
        <is>
          <t>R_0844</t>
        </is>
      </c>
      <c r="B847" s="49" t="n">
        <v>3.8</v>
      </c>
      <c r="C847" s="50" t="n">
        <v>1.33</v>
      </c>
      <c r="D847" s="49" t="n">
        <v>3.9</v>
      </c>
      <c r="E847" s="50" t="n">
        <v>1.17</v>
      </c>
      <c r="F847" s="49" t="n">
        <v>3.6</v>
      </c>
      <c r="G847" s="50" t="n">
        <v>0.72</v>
      </c>
      <c r="H847" s="49" t="n">
        <v>3.3</v>
      </c>
      <c r="I847" s="50" t="n">
        <v>0.495</v>
      </c>
      <c r="J847" s="50" t="n">
        <v>3.72</v>
      </c>
      <c r="K847" s="50" t="inlineStr">
        <is>
          <t>Pass</t>
        </is>
      </c>
      <c r="L847" s="51" t="n"/>
      <c r="M847" s="51" t="n"/>
      <c r="N847" s="51" t="n"/>
    </row>
    <row r="848" ht="13.5" customHeight="1" s="38">
      <c r="A848" s="73" t="inlineStr">
        <is>
          <t>R_0845</t>
        </is>
      </c>
      <c r="B848" s="49" t="n">
        <v>3.5</v>
      </c>
      <c r="C848" s="50" t="n">
        <v>1.225</v>
      </c>
      <c r="D848" s="49" t="n">
        <v>3.8</v>
      </c>
      <c r="E848" s="50" t="n">
        <v>1.14</v>
      </c>
      <c r="F848" s="49" t="n">
        <v>3.8</v>
      </c>
      <c r="G848" s="50" t="n">
        <v>0.76</v>
      </c>
      <c r="H848" s="49" t="n">
        <v>4.7</v>
      </c>
      <c r="I848" s="50" t="n">
        <v>0.705</v>
      </c>
      <c r="J848" s="50" t="n">
        <v>3.83</v>
      </c>
      <c r="K848" s="50" t="inlineStr">
        <is>
          <t>Pass</t>
        </is>
      </c>
      <c r="L848" s="51" t="n"/>
      <c r="M848" s="51" t="n"/>
      <c r="N848" s="51" t="n"/>
    </row>
    <row r="849" ht="13.5" customHeight="1" s="38">
      <c r="A849" s="73" t="inlineStr">
        <is>
          <t>R_0846</t>
        </is>
      </c>
      <c r="B849" s="49" t="n">
        <v>3.6</v>
      </c>
      <c r="C849" s="50" t="n">
        <v>1.26</v>
      </c>
      <c r="D849" s="49" t="n">
        <v>3.8</v>
      </c>
      <c r="E849" s="50" t="n">
        <v>1.14</v>
      </c>
      <c r="F849" s="49" t="n">
        <v>3.3</v>
      </c>
      <c r="G849" s="50" t="n">
        <v>0.66</v>
      </c>
      <c r="H849" s="49" t="n">
        <v>3</v>
      </c>
      <c r="I849" s="50" t="n">
        <v>0.45</v>
      </c>
      <c r="J849" s="50" t="n">
        <v>3.51</v>
      </c>
      <c r="K849" s="50" t="inlineStr">
        <is>
          <t>Pass</t>
        </is>
      </c>
      <c r="L849" s="51" t="n"/>
      <c r="M849" s="51" t="n"/>
      <c r="N849" s="51" t="n"/>
    </row>
    <row r="850" ht="13.5" customHeight="1" s="38">
      <c r="A850" s="73" t="inlineStr">
        <is>
          <t>R_0847</t>
        </is>
      </c>
      <c r="B850" s="49" t="n">
        <v>3</v>
      </c>
      <c r="C850" s="50" t="n">
        <v>1.05</v>
      </c>
      <c r="D850" s="49" t="n">
        <v>3.1</v>
      </c>
      <c r="E850" s="50" t="n">
        <v>0.93</v>
      </c>
      <c r="F850" s="49" t="n">
        <v>3.5</v>
      </c>
      <c r="G850" s="50" t="n">
        <v>0.7</v>
      </c>
      <c r="H850" s="49" t="n">
        <v>4.3</v>
      </c>
      <c r="I850" s="50" t="n">
        <v>0.645</v>
      </c>
      <c r="J850" s="50" t="n">
        <v>3.32</v>
      </c>
      <c r="K850" s="50" t="inlineStr">
        <is>
          <t>Fail</t>
        </is>
      </c>
      <c r="L850" s="51" t="n"/>
      <c r="M850" s="51" t="n"/>
      <c r="N850" s="51" t="n"/>
    </row>
    <row r="851" ht="13.5" customHeight="1" s="38">
      <c r="A851" s="73" t="inlineStr">
        <is>
          <t>R_0848</t>
        </is>
      </c>
      <c r="B851" s="49" t="n">
        <v>3.7</v>
      </c>
      <c r="C851" s="50" t="n">
        <v>1.295</v>
      </c>
      <c r="D851" s="49" t="n">
        <v>3.8</v>
      </c>
      <c r="E851" s="50" t="n">
        <v>1.14</v>
      </c>
      <c r="F851" s="49" t="n">
        <v>3.2</v>
      </c>
      <c r="G851" s="50" t="n">
        <v>0.64</v>
      </c>
      <c r="H851" s="49" t="n">
        <v>3</v>
      </c>
      <c r="I851" s="50" t="n">
        <v>0.45</v>
      </c>
      <c r="J851" s="50" t="n">
        <v>3.52</v>
      </c>
      <c r="K851" s="50" t="inlineStr">
        <is>
          <t>Pass</t>
        </is>
      </c>
      <c r="L851" s="51" t="n"/>
      <c r="M851" s="51" t="n"/>
      <c r="N851" s="51" t="n"/>
    </row>
    <row r="852" ht="13.5" customHeight="1" s="38">
      <c r="A852" s="73" t="inlineStr">
        <is>
          <t>R_0849</t>
        </is>
      </c>
      <c r="B852" s="49" t="n">
        <v>3.5</v>
      </c>
      <c r="C852" s="50" t="n">
        <v>1.225</v>
      </c>
      <c r="D852" s="49" t="n">
        <v>3.1</v>
      </c>
      <c r="E852" s="50" t="n">
        <v>0.93</v>
      </c>
      <c r="F852" s="49" t="n">
        <v>3.6</v>
      </c>
      <c r="G852" s="50" t="n">
        <v>0.72</v>
      </c>
      <c r="H852" s="49" t="n">
        <v>3.8</v>
      </c>
      <c r="I852" s="50" t="n">
        <v>0.57</v>
      </c>
      <c r="J852" s="50" t="n">
        <v>3.44</v>
      </c>
      <c r="K852" s="50" t="inlineStr">
        <is>
          <t>Fail</t>
        </is>
      </c>
      <c r="L852" s="51" t="n"/>
      <c r="M852" s="51" t="n"/>
      <c r="N852" s="51" t="n"/>
    </row>
    <row r="853" ht="13.5" customHeight="1" s="38">
      <c r="A853" s="73" t="inlineStr">
        <is>
          <t>R_0850</t>
        </is>
      </c>
      <c r="B853" s="49" t="n">
        <v>3.8</v>
      </c>
      <c r="C853" s="50" t="n">
        <v>1.33</v>
      </c>
      <c r="D853" s="49" t="n">
        <v>3.6</v>
      </c>
      <c r="E853" s="50" t="n">
        <v>1.08</v>
      </c>
      <c r="F853" s="49" t="n">
        <v>3.5</v>
      </c>
      <c r="G853" s="50" t="n">
        <v>0.7</v>
      </c>
      <c r="H853" s="49" t="n">
        <v>4.7</v>
      </c>
      <c r="I853" s="50" t="n">
        <v>0.705</v>
      </c>
      <c r="J853" s="50" t="n">
        <v>3.82</v>
      </c>
      <c r="K853" s="50" t="inlineStr">
        <is>
          <t>Pass</t>
        </is>
      </c>
      <c r="L853" s="51" t="n"/>
      <c r="M853" s="51" t="n"/>
      <c r="N853" s="51" t="n"/>
    </row>
    <row r="854" ht="13.5" customHeight="1" s="38">
      <c r="A854" s="73" t="inlineStr">
        <is>
          <t>R_0851</t>
        </is>
      </c>
      <c r="B854" s="49" t="n">
        <v>3.7</v>
      </c>
      <c r="C854" s="50" t="n">
        <v>1.295</v>
      </c>
      <c r="D854" s="49" t="n">
        <v>3.9</v>
      </c>
      <c r="E854" s="50" t="n">
        <v>1.17</v>
      </c>
      <c r="F854" s="49" t="n">
        <v>3.2</v>
      </c>
      <c r="G854" s="50" t="n">
        <v>0.64</v>
      </c>
      <c r="H854" s="49" t="n">
        <v>2.8</v>
      </c>
      <c r="I854" s="50" t="n">
        <v>0.42</v>
      </c>
      <c r="J854" s="50" t="n">
        <v>3.52</v>
      </c>
      <c r="K854" s="50" t="inlineStr">
        <is>
          <t>Pass</t>
        </is>
      </c>
      <c r="L854" s="51" t="n"/>
      <c r="M854" s="51" t="n"/>
      <c r="N854" s="51" t="n"/>
    </row>
    <row r="855" ht="13.5" customHeight="1" s="38">
      <c r="A855" s="73" t="inlineStr">
        <is>
          <t>R_0852</t>
        </is>
      </c>
      <c r="B855" s="49" t="n">
        <v>3.3</v>
      </c>
      <c r="C855" s="50" t="n">
        <v>1.155</v>
      </c>
      <c r="D855" s="49" t="n">
        <v>3</v>
      </c>
      <c r="E855" s="50" t="n">
        <v>0.9</v>
      </c>
      <c r="F855" s="49" t="n">
        <v>3.5</v>
      </c>
      <c r="G855" s="50" t="n">
        <v>0.7</v>
      </c>
      <c r="H855" s="49" t="n">
        <v>3.3</v>
      </c>
      <c r="I855" s="50" t="n">
        <v>0.495</v>
      </c>
      <c r="J855" s="50" t="n">
        <v>3.25</v>
      </c>
      <c r="K855" s="50" t="inlineStr">
        <is>
          <t>Fail</t>
        </is>
      </c>
      <c r="L855" s="51" t="n"/>
      <c r="M855" s="51" t="n"/>
      <c r="N855" s="51" t="n"/>
    </row>
    <row r="856" ht="13.5" customHeight="1" s="38">
      <c r="A856" s="73" t="inlineStr">
        <is>
          <t>R_0853</t>
        </is>
      </c>
      <c r="B856" s="49" t="n">
        <v>3.3</v>
      </c>
      <c r="C856" s="50" t="n">
        <v>1.155</v>
      </c>
      <c r="D856" s="49" t="n">
        <v>3</v>
      </c>
      <c r="E856" s="50" t="n">
        <v>0.9</v>
      </c>
      <c r="F856" s="49" t="n">
        <v>3.5</v>
      </c>
      <c r="G856" s="50" t="n">
        <v>0.7</v>
      </c>
      <c r="H856" s="49" t="n">
        <v>3</v>
      </c>
      <c r="I856" s="50" t="n">
        <v>0.45</v>
      </c>
      <c r="J856" s="50" t="n">
        <v>3.21</v>
      </c>
      <c r="K856" s="50" t="inlineStr">
        <is>
          <t>Fail</t>
        </is>
      </c>
      <c r="L856" s="51" t="n"/>
      <c r="M856" s="51" t="n"/>
      <c r="N856" s="51" t="n"/>
    </row>
    <row r="857" ht="13.5" customHeight="1" s="38">
      <c r="A857" s="73" t="inlineStr">
        <is>
          <t>R_0854</t>
        </is>
      </c>
      <c r="B857" s="49" t="n">
        <v>3.9</v>
      </c>
      <c r="C857" s="50" t="n">
        <v>1.365</v>
      </c>
      <c r="D857" s="49" t="n">
        <v>3.3</v>
      </c>
      <c r="E857" s="50" t="n">
        <v>0.99</v>
      </c>
      <c r="F857" s="49" t="n">
        <v>3.4</v>
      </c>
      <c r="G857" s="50" t="n">
        <v>0.68</v>
      </c>
      <c r="H857" s="49" t="n">
        <v>3</v>
      </c>
      <c r="I857" s="50" t="n">
        <v>0.45</v>
      </c>
      <c r="J857" s="50" t="n">
        <v>3.49</v>
      </c>
      <c r="K857" s="50" t="inlineStr">
        <is>
          <t>Fail</t>
        </is>
      </c>
      <c r="L857" s="51" t="n"/>
      <c r="M857" s="51" t="n"/>
      <c r="N857" s="51" t="n"/>
    </row>
    <row r="858" ht="13.5" customHeight="1" s="38">
      <c r="A858" s="73" t="inlineStr">
        <is>
          <t>R_0855</t>
        </is>
      </c>
      <c r="B858" s="49" t="n">
        <v>3.5</v>
      </c>
      <c r="C858" s="50" t="n">
        <v>1.225</v>
      </c>
      <c r="D858" s="49" t="n">
        <v>2.9</v>
      </c>
      <c r="E858" s="50" t="n">
        <v>0.87</v>
      </c>
      <c r="F858" s="49" t="n">
        <v>3.6</v>
      </c>
      <c r="G858" s="50" t="n">
        <v>0.72</v>
      </c>
      <c r="H858" s="49" t="n">
        <v>3.8</v>
      </c>
      <c r="I858" s="50" t="n">
        <v>0.57</v>
      </c>
      <c r="J858" s="50" t="n">
        <v>3.39</v>
      </c>
      <c r="K858" s="50" t="inlineStr">
        <is>
          <t>Fail</t>
        </is>
      </c>
      <c r="L858" s="51" t="n"/>
      <c r="M858" s="51" t="n"/>
      <c r="N858" s="51" t="n"/>
    </row>
    <row r="859" ht="13.5" customHeight="1" s="38">
      <c r="A859" s="73" t="inlineStr">
        <is>
          <t>R_0856</t>
        </is>
      </c>
      <c r="B859" s="49" t="n">
        <v>3.5</v>
      </c>
      <c r="C859" s="50" t="n">
        <v>1.225</v>
      </c>
      <c r="D859" s="49" t="n">
        <v>3.9</v>
      </c>
      <c r="E859" s="50" t="n">
        <v>1.17</v>
      </c>
      <c r="F859" s="49" t="n">
        <v>3.3</v>
      </c>
      <c r="G859" s="50" t="n">
        <v>0.66</v>
      </c>
      <c r="H859" s="49" t="n">
        <v>2.8</v>
      </c>
      <c r="I859" s="50" t="n">
        <v>0.42</v>
      </c>
      <c r="J859" s="50" t="n">
        <v>3.47</v>
      </c>
      <c r="K859" s="50" t="inlineStr">
        <is>
          <t>Fail</t>
        </is>
      </c>
      <c r="L859" s="51" t="n"/>
      <c r="M859" s="51" t="n"/>
      <c r="N859" s="51" t="n"/>
    </row>
    <row r="860" ht="13.5" customHeight="1" s="38">
      <c r="A860" s="73" t="inlineStr">
        <is>
          <t>R_0857</t>
        </is>
      </c>
      <c r="B860" s="49" t="n">
        <v>3.4</v>
      </c>
      <c r="C860" s="50" t="n">
        <v>1.19</v>
      </c>
      <c r="D860" s="49" t="n">
        <v>3</v>
      </c>
      <c r="E860" s="50" t="n">
        <v>0.9</v>
      </c>
      <c r="F860" s="49" t="n">
        <v>3.5</v>
      </c>
      <c r="G860" s="50" t="n">
        <v>0.7</v>
      </c>
      <c r="H860" s="49" t="n">
        <v>2.8</v>
      </c>
      <c r="I860" s="50" t="n">
        <v>0.42</v>
      </c>
      <c r="J860" s="50" t="n">
        <v>3.21</v>
      </c>
      <c r="K860" s="50" t="inlineStr">
        <is>
          <t>Fail</t>
        </is>
      </c>
      <c r="L860" s="51" t="n"/>
      <c r="M860" s="51" t="n"/>
      <c r="N860" s="51" t="n"/>
    </row>
    <row r="861" ht="13.5" customHeight="1" s="38">
      <c r="A861" s="73" t="inlineStr">
        <is>
          <t>R_0858</t>
        </is>
      </c>
      <c r="B861" s="49" t="inlineStr">
        <is>
          <t>3.6 | 3.4</t>
        </is>
      </c>
      <c r="C861" s="50" t="inlineStr">
        <is>
          <t>1.26 | 1.19</t>
        </is>
      </c>
      <c r="D861" s="49" t="inlineStr">
        <is>
          <t>3.8 | 3.4</t>
        </is>
      </c>
      <c r="E861" s="50" t="inlineStr">
        <is>
          <t>1.14 | 1.02</t>
        </is>
      </c>
      <c r="F861" s="49" t="inlineStr">
        <is>
          <t>3.3 | 2.1</t>
        </is>
      </c>
      <c r="G861" s="50" t="inlineStr">
        <is>
          <t>0.66 | 0.42</t>
        </is>
      </c>
      <c r="H861" s="49" t="inlineStr">
        <is>
          <t>3.0 | 2.1</t>
        </is>
      </c>
      <c r="I861" s="50" t="inlineStr">
        <is>
          <t>0.45 | 0.315</t>
        </is>
      </c>
      <c r="J861" s="50" t="inlineStr">
        <is>
          <t>3.51 | 2.945</t>
        </is>
      </c>
      <c r="K861" s="50" t="inlineStr">
        <is>
          <t>Pass | Fail</t>
        </is>
      </c>
      <c r="L861" s="51" t="n"/>
      <c r="M861" s="51" t="n"/>
      <c r="N861" s="51" t="n"/>
    </row>
    <row r="862" ht="13.5" customHeight="1" s="38">
      <c r="A862" s="73" t="inlineStr">
        <is>
          <t>R_0859</t>
        </is>
      </c>
      <c r="B862" s="49" t="n">
        <v>3.3</v>
      </c>
      <c r="C862" s="50" t="n">
        <v>1.155</v>
      </c>
      <c r="D862" s="49" t="n">
        <v>3.7</v>
      </c>
      <c r="E862" s="50" t="n">
        <v>1.11</v>
      </c>
      <c r="F862" s="49" t="n">
        <v>3.7</v>
      </c>
      <c r="G862" s="50" t="n">
        <v>0.74</v>
      </c>
      <c r="H862" s="49" t="n">
        <v>3.2</v>
      </c>
      <c r="I862" s="50" t="n">
        <v>0.48</v>
      </c>
      <c r="J862" s="50" t="n">
        <v>3.48</v>
      </c>
      <c r="K862" s="50" t="inlineStr">
        <is>
          <t>Fail</t>
        </is>
      </c>
      <c r="L862" s="51" t="n"/>
      <c r="M862" s="51" t="n"/>
      <c r="N862" s="51" t="n"/>
    </row>
    <row r="863" ht="13.5" customHeight="1" s="38">
      <c r="A863" s="73" t="inlineStr">
        <is>
          <t>R_0860</t>
        </is>
      </c>
      <c r="B863" s="49" t="n">
        <v>3.7</v>
      </c>
      <c r="C863" s="50" t="n">
        <v>1.295</v>
      </c>
      <c r="D863" s="49" t="n">
        <v>3.3</v>
      </c>
      <c r="E863" s="50" t="n">
        <v>0.99</v>
      </c>
      <c r="F863" s="49" t="n">
        <v>3.5</v>
      </c>
      <c r="G863" s="50" t="n">
        <v>0.7</v>
      </c>
      <c r="H863" s="49" t="n">
        <v>2.8</v>
      </c>
      <c r="I863" s="50" t="n">
        <v>0.42</v>
      </c>
      <c r="J863" s="50" t="n">
        <v>3.41</v>
      </c>
      <c r="K863" s="50" t="inlineStr">
        <is>
          <t>Fail</t>
        </is>
      </c>
      <c r="L863" s="51" t="n"/>
      <c r="M863" s="51" t="n"/>
      <c r="N863" s="51" t="n"/>
    </row>
    <row r="864" ht="13.5" customHeight="1" s="38">
      <c r="A864" s="73" t="inlineStr">
        <is>
          <t>R_0861</t>
        </is>
      </c>
      <c r="B864" s="49" t="n">
        <v>3.4</v>
      </c>
      <c r="C864" s="50" t="n">
        <v>1.19</v>
      </c>
      <c r="D864" s="49" t="n">
        <v>3.5</v>
      </c>
      <c r="E864" s="50" t="n">
        <v>1.05</v>
      </c>
      <c r="F864" s="49" t="n">
        <v>3.3</v>
      </c>
      <c r="G864" s="50" t="n">
        <v>0.66</v>
      </c>
      <c r="H864" s="49" t="n">
        <v>3</v>
      </c>
      <c r="I864" s="50" t="n">
        <v>0.45</v>
      </c>
      <c r="J864" s="50" t="n">
        <v>3.35</v>
      </c>
      <c r="K864" s="50" t="inlineStr">
        <is>
          <t>Fail</t>
        </is>
      </c>
      <c r="L864" s="51" t="n"/>
      <c r="M864" s="51" t="n"/>
      <c r="N864" s="51" t="n"/>
    </row>
    <row r="865" ht="13.5" customHeight="1" s="38">
      <c r="A865" s="73" t="inlineStr">
        <is>
          <t>R_0862</t>
        </is>
      </c>
      <c r="B865" s="49" t="n">
        <v>3.5</v>
      </c>
      <c r="C865" s="50" t="n">
        <v>1.225</v>
      </c>
      <c r="D865" s="49" t="n">
        <v>3.1</v>
      </c>
      <c r="E865" s="50" t="n">
        <v>0.93</v>
      </c>
      <c r="F865" s="49" t="n">
        <v>3.6</v>
      </c>
      <c r="G865" s="50" t="n">
        <v>0.72</v>
      </c>
      <c r="H865" s="49" t="n">
        <v>3</v>
      </c>
      <c r="I865" s="50" t="n">
        <v>0.45</v>
      </c>
      <c r="J865" s="50" t="n">
        <v>3.33</v>
      </c>
      <c r="K865" s="50" t="inlineStr">
        <is>
          <t>Fail</t>
        </is>
      </c>
      <c r="L865" s="51" t="n"/>
      <c r="M865" s="51" t="n"/>
      <c r="N865" s="51" t="n"/>
    </row>
    <row r="866" ht="13.5" customHeight="1" s="38">
      <c r="A866" s="73" t="inlineStr">
        <is>
          <t>R_0863</t>
        </is>
      </c>
      <c r="B866" s="49" t="n">
        <v>3.7</v>
      </c>
      <c r="C866" s="50" t="n">
        <v>1.295</v>
      </c>
      <c r="D866" s="49" t="n">
        <v>3.9</v>
      </c>
      <c r="E866" s="50" t="n">
        <v>1.17</v>
      </c>
      <c r="F866" s="49" t="n">
        <v>3.2</v>
      </c>
      <c r="G866" s="50" t="n">
        <v>0.64</v>
      </c>
      <c r="H866" s="49" t="n">
        <v>3</v>
      </c>
      <c r="I866" s="50" t="n">
        <v>0.45</v>
      </c>
      <c r="J866" s="50" t="n">
        <v>3.56</v>
      </c>
      <c r="K866" s="50" t="inlineStr">
        <is>
          <t>Pass</t>
        </is>
      </c>
      <c r="L866" s="51" t="n"/>
      <c r="M866" s="51" t="n"/>
      <c r="N866" s="51" t="n"/>
    </row>
    <row r="867" ht="13.5" customHeight="1" s="38">
      <c r="A867" s="73" t="inlineStr">
        <is>
          <t>R_0864</t>
        </is>
      </c>
      <c r="B867" s="49" t="n">
        <v>3.2</v>
      </c>
      <c r="C867" s="50" t="n">
        <v>1.12</v>
      </c>
      <c r="D867" s="49" t="n">
        <v>3.5</v>
      </c>
      <c r="E867" s="50" t="n">
        <v>1.05</v>
      </c>
      <c r="F867" s="49" t="n">
        <v>3.7</v>
      </c>
      <c r="G867" s="50" t="n">
        <v>0.74</v>
      </c>
      <c r="H867" s="49" t="n">
        <v>3.9</v>
      </c>
      <c r="I867" s="50" t="n">
        <v>0.585</v>
      </c>
      <c r="J867" s="50" t="n">
        <v>3.5</v>
      </c>
      <c r="K867" s="50" t="inlineStr">
        <is>
          <t>Pass</t>
        </is>
      </c>
      <c r="L867" s="51" t="n"/>
      <c r="M867" s="51" t="n"/>
      <c r="N867" s="51" t="n"/>
    </row>
    <row r="868" ht="13.5" customHeight="1" s="38">
      <c r="A868" s="73" t="inlineStr">
        <is>
          <t>R_0865</t>
        </is>
      </c>
      <c r="B868" s="49" t="n">
        <v>3.5</v>
      </c>
      <c r="C868" s="50" t="n">
        <v>1.225</v>
      </c>
      <c r="D868" s="49" t="n">
        <v>3.8</v>
      </c>
      <c r="E868" s="50" t="n">
        <v>1.14</v>
      </c>
      <c r="F868" s="49" t="n">
        <v>3.5</v>
      </c>
      <c r="G868" s="50" t="n">
        <v>0.7</v>
      </c>
      <c r="H868" s="49" t="n">
        <v>3.9</v>
      </c>
      <c r="I868" s="50" t="n">
        <v>0.585</v>
      </c>
      <c r="J868" s="50" t="n">
        <v>3.65</v>
      </c>
      <c r="K868" s="50" t="inlineStr">
        <is>
          <t>Pass</t>
        </is>
      </c>
      <c r="L868" s="51" t="n"/>
      <c r="M868" s="51" t="n"/>
      <c r="N868" s="51" t="n"/>
    </row>
    <row r="869" ht="13.5" customHeight="1" s="38">
      <c r="A869" s="73" t="inlineStr">
        <is>
          <t>R_0866</t>
        </is>
      </c>
      <c r="B869" s="49" t="n">
        <v>3.5</v>
      </c>
      <c r="C869" s="50" t="n">
        <v>1.225</v>
      </c>
      <c r="D869" s="49" t="n">
        <v>4.1</v>
      </c>
      <c r="E869" s="50" t="n">
        <v>1.23</v>
      </c>
      <c r="F869" s="49" t="n">
        <v>3.3</v>
      </c>
      <c r="G869" s="50" t="n">
        <v>0.66</v>
      </c>
      <c r="H869" s="49" t="n">
        <v>2.8</v>
      </c>
      <c r="I869" s="50" t="n">
        <v>0.42</v>
      </c>
      <c r="J869" s="50" t="n">
        <v>3.54</v>
      </c>
      <c r="K869" s="50" t="inlineStr">
        <is>
          <t>Pass</t>
        </is>
      </c>
      <c r="L869" s="51" t="n"/>
      <c r="M869" s="51" t="n"/>
      <c r="N869" s="51" t="n"/>
    </row>
    <row r="870" ht="13.5" customHeight="1" s="38">
      <c r="A870" s="73" t="inlineStr">
        <is>
          <t>R_0867</t>
        </is>
      </c>
      <c r="B870" s="49" t="n">
        <v>3.6</v>
      </c>
      <c r="C870" s="50" t="n">
        <v>1.26</v>
      </c>
      <c r="D870" s="49" t="n">
        <v>4.1</v>
      </c>
      <c r="E870" s="50" t="n">
        <v>1.23</v>
      </c>
      <c r="F870" s="49" t="n">
        <v>3.3</v>
      </c>
      <c r="G870" s="50" t="n">
        <v>0.66</v>
      </c>
      <c r="H870" s="49" t="n">
        <v>3</v>
      </c>
      <c r="I870" s="50" t="n">
        <v>0.45</v>
      </c>
      <c r="J870" s="50" t="n">
        <v>3.6</v>
      </c>
      <c r="K870" s="50" t="inlineStr">
        <is>
          <t>Pass</t>
        </is>
      </c>
      <c r="L870" s="51" t="n"/>
      <c r="M870" s="51" t="n"/>
      <c r="N870" s="51" t="n"/>
    </row>
    <row r="871" ht="13.5" customHeight="1" s="38">
      <c r="A871" s="73" t="inlineStr">
        <is>
          <t>R_0868</t>
        </is>
      </c>
      <c r="B871" s="49" t="n">
        <v>3.8</v>
      </c>
      <c r="C871" s="50" t="n">
        <v>1.33</v>
      </c>
      <c r="D871" s="49" t="n">
        <v>3</v>
      </c>
      <c r="E871" s="50" t="n">
        <v>0.9</v>
      </c>
      <c r="F871" s="49" t="n">
        <v>3.7</v>
      </c>
      <c r="G871" s="50" t="n">
        <v>0.74</v>
      </c>
      <c r="H871" s="49" t="n">
        <v>3.8</v>
      </c>
      <c r="I871" s="50" t="n">
        <v>0.57</v>
      </c>
      <c r="J871" s="50" t="n">
        <v>3.54</v>
      </c>
      <c r="K871" s="50" t="inlineStr">
        <is>
          <t>Pass</t>
        </is>
      </c>
      <c r="L871" s="51" t="n"/>
      <c r="M871" s="51" t="n"/>
      <c r="N871" s="51" t="n"/>
    </row>
    <row r="872" ht="13.5" customHeight="1" s="38">
      <c r="A872" s="73" t="inlineStr">
        <is>
          <t>R_0869</t>
        </is>
      </c>
      <c r="B872" s="49" t="n">
        <v>3.2</v>
      </c>
      <c r="C872" s="50" t="n">
        <v>1.12</v>
      </c>
      <c r="D872" s="49" t="n">
        <v>3</v>
      </c>
      <c r="E872" s="50" t="n">
        <v>0.9</v>
      </c>
      <c r="F872" s="49" t="n">
        <v>3.5</v>
      </c>
      <c r="G872" s="50" t="n">
        <v>0.7</v>
      </c>
      <c r="H872" s="49" t="n">
        <v>3</v>
      </c>
      <c r="I872" s="50" t="n">
        <v>0.45</v>
      </c>
      <c r="J872" s="50" t="n">
        <v>3.17</v>
      </c>
      <c r="K872" s="50" t="inlineStr">
        <is>
          <t>Fail</t>
        </is>
      </c>
      <c r="L872" s="51" t="n"/>
      <c r="M872" s="51" t="n"/>
      <c r="N872" s="51" t="n"/>
    </row>
    <row r="873" ht="13.5" customHeight="1" s="38">
      <c r="A873" s="73" t="inlineStr">
        <is>
          <t>R_0870</t>
        </is>
      </c>
      <c r="B873" s="49" t="n">
        <v>3.2</v>
      </c>
      <c r="C873" s="50" t="n">
        <v>1.12</v>
      </c>
      <c r="D873" s="49" t="n">
        <v>3.6</v>
      </c>
      <c r="E873" s="50" t="n">
        <v>1.08</v>
      </c>
      <c r="F873" s="49" t="n">
        <v>3.7</v>
      </c>
      <c r="G873" s="50" t="n">
        <v>0.74</v>
      </c>
      <c r="H873" s="49" t="n">
        <v>3.2</v>
      </c>
      <c r="I873" s="50" t="n">
        <v>0.48</v>
      </c>
      <c r="J873" s="50" t="n">
        <v>3.42</v>
      </c>
      <c r="K873" s="50" t="inlineStr">
        <is>
          <t>Fail</t>
        </is>
      </c>
      <c r="L873" s="51" t="n"/>
      <c r="M873" s="51" t="n"/>
      <c r="N873" s="51" t="n"/>
    </row>
    <row r="874" ht="13.5" customHeight="1" s="38">
      <c r="A874" s="73" t="inlineStr">
        <is>
          <t>R_0871</t>
        </is>
      </c>
      <c r="B874" s="49" t="n">
        <v>3.3</v>
      </c>
      <c r="C874" s="50" t="n">
        <v>1.155</v>
      </c>
      <c r="D874" s="49" t="n">
        <v>3</v>
      </c>
      <c r="E874" s="50" t="n">
        <v>0.9</v>
      </c>
      <c r="F874" s="49" t="n">
        <v>3.5</v>
      </c>
      <c r="G874" s="50" t="n">
        <v>0.7</v>
      </c>
      <c r="H874" s="49" t="n">
        <v>3.3</v>
      </c>
      <c r="I874" s="50" t="n">
        <v>0.495</v>
      </c>
      <c r="J874" s="50" t="n">
        <v>3.25</v>
      </c>
      <c r="K874" s="50" t="inlineStr">
        <is>
          <t>Fail</t>
        </is>
      </c>
      <c r="L874" s="51" t="n"/>
      <c r="M874" s="51" t="n"/>
      <c r="N874" s="51" t="n"/>
    </row>
    <row r="875" ht="13.5" customHeight="1" s="38">
      <c r="A875" s="73" t="inlineStr">
        <is>
          <t>R_0872</t>
        </is>
      </c>
      <c r="B875" s="49" t="n">
        <v>3.2</v>
      </c>
      <c r="C875" s="50" t="n">
        <v>1.12</v>
      </c>
      <c r="D875" s="49" t="n">
        <v>3.5</v>
      </c>
      <c r="E875" s="50" t="n">
        <v>1.05</v>
      </c>
      <c r="F875" s="49" t="n">
        <v>3.5</v>
      </c>
      <c r="G875" s="50" t="n">
        <v>0.7</v>
      </c>
      <c r="H875" s="49" t="n">
        <v>2.8</v>
      </c>
      <c r="I875" s="50" t="n">
        <v>0.42</v>
      </c>
      <c r="J875" s="50" t="n">
        <v>3.29</v>
      </c>
      <c r="K875" s="50" t="inlineStr">
        <is>
          <t>Fail</t>
        </is>
      </c>
      <c r="L875" s="51" t="n"/>
      <c r="M875" s="51" t="n"/>
      <c r="N875" s="51" t="n"/>
    </row>
    <row r="876" ht="13.5" customHeight="1" s="38">
      <c r="A876" s="73" t="inlineStr">
        <is>
          <t>R_0873</t>
        </is>
      </c>
      <c r="B876" s="49" t="n">
        <v>2.8</v>
      </c>
      <c r="C876" s="50" t="n">
        <v>0.98</v>
      </c>
      <c r="D876" s="49" t="n">
        <v>3.5</v>
      </c>
      <c r="E876" s="50" t="n">
        <v>1.05</v>
      </c>
      <c r="F876" s="49" t="n">
        <v>3.4</v>
      </c>
      <c r="G876" s="50" t="n">
        <v>0.68</v>
      </c>
      <c r="H876" s="49" t="n">
        <v>4</v>
      </c>
      <c r="I876" s="50" t="n">
        <v>0.6</v>
      </c>
      <c r="J876" s="50" t="n">
        <v>3.31</v>
      </c>
      <c r="K876" s="50" t="inlineStr">
        <is>
          <t>Fail</t>
        </is>
      </c>
      <c r="L876" s="51" t="n"/>
      <c r="M876" s="51" t="n"/>
      <c r="N876" s="51" t="n"/>
    </row>
    <row r="877" ht="13.5" customHeight="1" s="38">
      <c r="A877" s="73" t="inlineStr">
        <is>
          <t>R_0874</t>
        </is>
      </c>
      <c r="B877" s="49" t="n">
        <v>3.2</v>
      </c>
      <c r="C877" s="50" t="n">
        <v>1.12</v>
      </c>
      <c r="D877" s="49" t="n">
        <v>3.4</v>
      </c>
      <c r="E877" s="50" t="n">
        <v>1.02</v>
      </c>
      <c r="F877" s="49" t="n">
        <v>3.5</v>
      </c>
      <c r="G877" s="50" t="n">
        <v>0.7</v>
      </c>
      <c r="H877" s="49" t="n">
        <v>2.8</v>
      </c>
      <c r="I877" s="50" t="n">
        <v>0.42</v>
      </c>
      <c r="J877" s="50" t="n">
        <v>3.26</v>
      </c>
      <c r="K877" s="50" t="inlineStr">
        <is>
          <t>Fail</t>
        </is>
      </c>
      <c r="L877" s="51" t="n"/>
      <c r="M877" s="51" t="n"/>
      <c r="N877" s="51" t="n"/>
    </row>
    <row r="878" ht="13.5" customHeight="1" s="38">
      <c r="A878" s="73" t="inlineStr">
        <is>
          <t>R_0875</t>
        </is>
      </c>
      <c r="B878" s="49" t="n">
        <v>3.9</v>
      </c>
      <c r="C878" s="50" t="n">
        <v>1.365</v>
      </c>
      <c r="D878" s="49" t="n">
        <v>3.3</v>
      </c>
      <c r="E878" s="50" t="n">
        <v>0.99</v>
      </c>
      <c r="F878" s="49" t="n">
        <v>3.4</v>
      </c>
      <c r="G878" s="50" t="n">
        <v>0.68</v>
      </c>
      <c r="H878" s="49" t="n">
        <v>3</v>
      </c>
      <c r="I878" s="50" t="n">
        <v>0.45</v>
      </c>
      <c r="J878" s="50" t="n">
        <v>3.49</v>
      </c>
      <c r="K878" s="50" t="inlineStr">
        <is>
          <t>Fail</t>
        </is>
      </c>
      <c r="L878" s="51" t="n"/>
      <c r="M878" s="51" t="n"/>
      <c r="N878" s="51" t="n"/>
    </row>
    <row r="879" ht="13.5" customHeight="1" s="38">
      <c r="A879" s="73" t="inlineStr">
        <is>
          <t>R_0876</t>
        </is>
      </c>
      <c r="B879" s="49" t="n">
        <v>3.5</v>
      </c>
      <c r="C879" s="50" t="n">
        <v>1.225</v>
      </c>
      <c r="D879" s="49" t="n">
        <v>2.9</v>
      </c>
      <c r="E879" s="50" t="n">
        <v>0.87</v>
      </c>
      <c r="F879" s="49" t="n">
        <v>3.6</v>
      </c>
      <c r="G879" s="50" t="n">
        <v>0.72</v>
      </c>
      <c r="H879" s="49" t="n">
        <v>3.8</v>
      </c>
      <c r="I879" s="50" t="n">
        <v>0.57</v>
      </c>
      <c r="J879" s="50" t="n">
        <v>3.39</v>
      </c>
      <c r="K879" s="50" t="inlineStr">
        <is>
          <t>Fail</t>
        </is>
      </c>
      <c r="L879" s="51" t="n"/>
      <c r="M879" s="51" t="n"/>
      <c r="N879" s="51" t="n"/>
    </row>
    <row r="880" ht="13.5" customHeight="1" s="38">
      <c r="A880" s="73" t="inlineStr">
        <is>
          <t>R_0877</t>
        </is>
      </c>
      <c r="B880" s="49" t="n">
        <v>3.5</v>
      </c>
      <c r="C880" s="50" t="n">
        <v>1.225</v>
      </c>
      <c r="D880" s="49" t="n">
        <v>3.3</v>
      </c>
      <c r="E880" s="50" t="n">
        <v>0.99</v>
      </c>
      <c r="F880" s="49" t="n">
        <v>3.5</v>
      </c>
      <c r="G880" s="50" t="n">
        <v>0.7</v>
      </c>
      <c r="H880" s="49" t="n">
        <v>3</v>
      </c>
      <c r="I880" s="50" t="n">
        <v>0.45</v>
      </c>
      <c r="J880" s="50" t="n">
        <v>3.37</v>
      </c>
      <c r="K880" s="50" t="inlineStr">
        <is>
          <t>Fail</t>
        </is>
      </c>
      <c r="L880" s="51" t="n"/>
      <c r="M880" s="51" t="n"/>
      <c r="N880" s="51" t="n"/>
    </row>
    <row r="881" ht="13.5" customHeight="1" s="38">
      <c r="A881" s="73" t="inlineStr">
        <is>
          <t>R_0878</t>
        </is>
      </c>
      <c r="B881" s="49" t="n">
        <v>2.8</v>
      </c>
      <c r="C881" s="50" t="n">
        <v>0.98</v>
      </c>
      <c r="D881" s="49" t="n">
        <v>3.3</v>
      </c>
      <c r="E881" s="50" t="n">
        <v>0.99</v>
      </c>
      <c r="F881" s="49" t="n">
        <v>3.6</v>
      </c>
      <c r="G881" s="50" t="n">
        <v>0.72</v>
      </c>
      <c r="H881" s="49" t="n">
        <v>2.8</v>
      </c>
      <c r="I881" s="50" t="n">
        <v>0.42</v>
      </c>
      <c r="J881" s="50" t="n">
        <v>3.11</v>
      </c>
      <c r="K881" s="50" t="inlineStr">
        <is>
          <t>Fail</t>
        </is>
      </c>
      <c r="L881" s="51" t="n"/>
      <c r="M881" s="51" t="n"/>
      <c r="N881" s="51" t="n"/>
    </row>
    <row r="882" ht="13.5" customHeight="1" s="38">
      <c r="A882" s="73" t="inlineStr">
        <is>
          <t>R_0879</t>
        </is>
      </c>
      <c r="B882" s="49" t="n">
        <v>3.5</v>
      </c>
      <c r="C882" s="50" t="n">
        <v>1.225</v>
      </c>
      <c r="D882" s="49" t="n">
        <v>3.8</v>
      </c>
      <c r="E882" s="50" t="n">
        <v>1.14</v>
      </c>
      <c r="F882" s="49" t="n">
        <v>3.7</v>
      </c>
      <c r="G882" s="50" t="n">
        <v>0.74</v>
      </c>
      <c r="H882" s="49" t="n">
        <v>3.3</v>
      </c>
      <c r="I882" s="50" t="n">
        <v>0.495</v>
      </c>
      <c r="J882" s="50" t="n">
        <v>3.6</v>
      </c>
      <c r="K882" s="50" t="inlineStr">
        <is>
          <t>Pass</t>
        </is>
      </c>
      <c r="L882" s="51" t="n"/>
      <c r="M882" s="51" t="n"/>
      <c r="N882" s="51" t="n"/>
    </row>
    <row r="883" ht="13.5" customHeight="1" s="38">
      <c r="A883" s="73" t="inlineStr">
        <is>
          <t>R_0880</t>
        </is>
      </c>
      <c r="B883" s="49" t="n">
        <v>3.2</v>
      </c>
      <c r="C883" s="50" t="n">
        <v>1.12</v>
      </c>
      <c r="D883" s="49" t="n">
        <v>3.2</v>
      </c>
      <c r="E883" s="50" t="n">
        <v>0.96</v>
      </c>
      <c r="F883" s="49" t="n">
        <v>3.7</v>
      </c>
      <c r="G883" s="50" t="n">
        <v>0.74</v>
      </c>
      <c r="H883" s="49" t="n">
        <v>3.3</v>
      </c>
      <c r="I883" s="50" t="n">
        <v>0.495</v>
      </c>
      <c r="J883" s="50" t="n">
        <v>3.32</v>
      </c>
      <c r="K883" s="50" t="inlineStr">
        <is>
          <t>Fail</t>
        </is>
      </c>
      <c r="L883" s="51" t="n"/>
      <c r="M883" s="51" t="n"/>
      <c r="N883" s="51" t="n"/>
    </row>
    <row r="884" ht="13.5" customHeight="1" s="38">
      <c r="A884" s="73" t="inlineStr">
        <is>
          <t>R_0881</t>
        </is>
      </c>
      <c r="B884" s="49" t="n">
        <v>3.5</v>
      </c>
      <c r="C884" s="50" t="n">
        <v>1.225</v>
      </c>
      <c r="D884" s="49" t="n">
        <v>3.9</v>
      </c>
      <c r="E884" s="50" t="n">
        <v>1.17</v>
      </c>
      <c r="F884" s="49" t="n">
        <v>3.7</v>
      </c>
      <c r="G884" s="50" t="n">
        <v>0.74</v>
      </c>
      <c r="H884" s="49" t="n">
        <v>3.2</v>
      </c>
      <c r="I884" s="50" t="n">
        <v>0.48</v>
      </c>
      <c r="J884" s="50" t="n">
        <v>3.61</v>
      </c>
      <c r="K884" s="50" t="inlineStr">
        <is>
          <t>Pass</t>
        </is>
      </c>
      <c r="L884" s="51" t="n"/>
      <c r="M884" s="51" t="n"/>
      <c r="N884" s="51" t="n"/>
    </row>
    <row r="885" ht="13.5" customHeight="1" s="38">
      <c r="A885" s="73" t="inlineStr">
        <is>
          <t>R_0882</t>
        </is>
      </c>
      <c r="B885" s="49" t="n">
        <v>3.6</v>
      </c>
      <c r="C885" s="50" t="n">
        <v>1.26</v>
      </c>
      <c r="D885" s="49" t="n">
        <v>4</v>
      </c>
      <c r="E885" s="50" t="n">
        <v>1.2</v>
      </c>
      <c r="F885" s="49" t="n">
        <v>3.3</v>
      </c>
      <c r="G885" s="50" t="n">
        <v>0.66</v>
      </c>
      <c r="H885" s="49" t="n">
        <v>3</v>
      </c>
      <c r="I885" s="50" t="n">
        <v>0.45</v>
      </c>
      <c r="J885" s="50" t="n">
        <v>3.57</v>
      </c>
      <c r="K885" s="50" t="inlineStr">
        <is>
          <t>Pass</t>
        </is>
      </c>
      <c r="L885" s="51" t="n"/>
      <c r="M885" s="51" t="n"/>
      <c r="N885" s="51" t="n"/>
    </row>
    <row r="886" ht="13.5" customHeight="1" s="38">
      <c r="A886" s="73" t="inlineStr">
        <is>
          <t>R_0883</t>
        </is>
      </c>
      <c r="B886" s="49" t="n">
        <v>3.5</v>
      </c>
      <c r="C886" s="50" t="n">
        <v>1.225</v>
      </c>
      <c r="D886" s="49" t="n">
        <v>3.6</v>
      </c>
      <c r="E886" s="50" t="n">
        <v>1.08</v>
      </c>
      <c r="F886" s="49" t="n">
        <v>3.8</v>
      </c>
      <c r="G886" s="50" t="n">
        <v>0.76</v>
      </c>
      <c r="H886" s="49" t="n">
        <v>4.7</v>
      </c>
      <c r="I886" s="50" t="n">
        <v>0.705</v>
      </c>
      <c r="J886" s="50" t="n">
        <v>3.77</v>
      </c>
      <c r="K886" s="50" t="inlineStr">
        <is>
          <t>Pass</t>
        </is>
      </c>
      <c r="L886" s="51" t="n"/>
      <c r="M886" s="51" t="n"/>
      <c r="N886" s="51" t="n"/>
    </row>
    <row r="887" ht="13.5" customHeight="1" s="38">
      <c r="A887" s="73" t="inlineStr">
        <is>
          <t>R_0884</t>
        </is>
      </c>
      <c r="B887" s="49" t="n">
        <v>3.5</v>
      </c>
      <c r="C887" s="50" t="n">
        <v>1.225</v>
      </c>
      <c r="D887" s="49" t="n">
        <v>3</v>
      </c>
      <c r="E887" s="50" t="n">
        <v>0.9</v>
      </c>
      <c r="F887" s="49" t="n">
        <v>3.5</v>
      </c>
      <c r="G887" s="50" t="n">
        <v>0.7</v>
      </c>
      <c r="H887" s="49" t="n">
        <v>2.8</v>
      </c>
      <c r="I887" s="50" t="n">
        <v>0.42</v>
      </c>
      <c r="J887" s="50" t="n">
        <v>3.25</v>
      </c>
      <c r="K887" s="50" t="inlineStr">
        <is>
          <t>Fail</t>
        </is>
      </c>
      <c r="L887" s="51" t="n"/>
      <c r="M887" s="51" t="n"/>
      <c r="N887" s="51" t="n"/>
    </row>
    <row r="888" ht="13.5" customHeight="1" s="38">
      <c r="A888" s="73" t="inlineStr">
        <is>
          <t>R_0885</t>
        </is>
      </c>
      <c r="B888" s="49" t="n">
        <v>3.7</v>
      </c>
      <c r="C888" s="50" t="n">
        <v>1.295</v>
      </c>
      <c r="D888" s="49" t="n">
        <v>3.2</v>
      </c>
      <c r="E888" s="50" t="n">
        <v>0.96</v>
      </c>
      <c r="F888" s="49" t="n">
        <v>3.4</v>
      </c>
      <c r="G888" s="50" t="n">
        <v>0.68</v>
      </c>
      <c r="H888" s="49" t="n">
        <v>2.8</v>
      </c>
      <c r="I888" s="50" t="n">
        <v>0.42</v>
      </c>
      <c r="J888" s="50" t="n">
        <v>3.35</v>
      </c>
      <c r="K888" s="50" t="inlineStr">
        <is>
          <t>Fail</t>
        </is>
      </c>
      <c r="L888" s="51" t="n"/>
      <c r="M888" s="51" t="n"/>
      <c r="N888" s="51" t="n"/>
    </row>
    <row r="889" ht="13.5" customHeight="1" s="38">
      <c r="A889" s="73" t="inlineStr">
        <is>
          <t>R_0886</t>
        </is>
      </c>
      <c r="B889" s="49" t="n">
        <v>3.5</v>
      </c>
      <c r="C889" s="50" t="n">
        <v>1.225</v>
      </c>
      <c r="D889" s="49" t="n">
        <v>3.5</v>
      </c>
      <c r="E889" s="50" t="n">
        <v>1.05</v>
      </c>
      <c r="F889" s="49" t="n">
        <v>3.3</v>
      </c>
      <c r="G889" s="50" t="n">
        <v>0.66</v>
      </c>
      <c r="H889" s="49" t="n">
        <v>3</v>
      </c>
      <c r="I889" s="50" t="n">
        <v>0.45</v>
      </c>
      <c r="J889" s="50" t="n">
        <v>3.39</v>
      </c>
      <c r="K889" s="50" t="inlineStr">
        <is>
          <t>Fail</t>
        </is>
      </c>
      <c r="L889" s="51" t="n"/>
      <c r="M889" s="51" t="n"/>
      <c r="N889" s="51" t="n"/>
    </row>
    <row r="890" ht="13.5" customHeight="1" s="38">
      <c r="A890" s="73" t="inlineStr">
        <is>
          <t>R_0887</t>
        </is>
      </c>
      <c r="B890" s="49" t="n">
        <v>3.7</v>
      </c>
      <c r="C890" s="50" t="n">
        <v>1.295</v>
      </c>
      <c r="D890" s="49" t="n">
        <v>3.9</v>
      </c>
      <c r="E890" s="50" t="n">
        <v>1.17</v>
      </c>
      <c r="F890" s="49" t="n">
        <v>3.8</v>
      </c>
      <c r="G890" s="50" t="n">
        <v>0.76</v>
      </c>
      <c r="H890" s="49" t="n">
        <v>3.3</v>
      </c>
      <c r="I890" s="50" t="n">
        <v>0.495</v>
      </c>
      <c r="J890" s="50" t="n">
        <v>3.72</v>
      </c>
      <c r="K890" s="50" t="inlineStr">
        <is>
          <t>Pass</t>
        </is>
      </c>
      <c r="L890" s="51" t="n"/>
      <c r="M890" s="51" t="n"/>
      <c r="N890" s="51" t="n"/>
    </row>
    <row r="891" ht="13.5" customHeight="1" s="38">
      <c r="A891" s="73" t="inlineStr">
        <is>
          <t>R_0888</t>
        </is>
      </c>
      <c r="B891" s="49" t="n">
        <v>3.6</v>
      </c>
      <c r="C891" s="50" t="n">
        <v>1.26</v>
      </c>
      <c r="D891" s="49" t="n">
        <v>2.9</v>
      </c>
      <c r="E891" s="50" t="n">
        <v>0.87</v>
      </c>
      <c r="F891" s="49" t="n">
        <v>3.6</v>
      </c>
      <c r="G891" s="50" t="n">
        <v>0.72</v>
      </c>
      <c r="H891" s="49" t="n">
        <v>3.8</v>
      </c>
      <c r="I891" s="50" t="n">
        <v>0.57</v>
      </c>
      <c r="J891" s="50" t="n">
        <v>3.42</v>
      </c>
      <c r="K891" s="50" t="inlineStr">
        <is>
          <t>Fail</t>
        </is>
      </c>
      <c r="L891" s="51" t="n"/>
      <c r="M891" s="51" t="n"/>
      <c r="N891" s="51" t="n"/>
    </row>
    <row r="892" ht="13.5" customHeight="1" s="38">
      <c r="A892" s="73" t="inlineStr">
        <is>
          <t>R_0889</t>
        </is>
      </c>
      <c r="B892" s="49" t="n">
        <v>3.8</v>
      </c>
      <c r="C892" s="50" t="n">
        <v>1.33</v>
      </c>
      <c r="D892" s="49" t="n">
        <v>4</v>
      </c>
      <c r="E892" s="50" t="n">
        <v>1.2</v>
      </c>
      <c r="F892" s="49" t="n">
        <v>3.8</v>
      </c>
      <c r="G892" s="50" t="n">
        <v>0.76</v>
      </c>
      <c r="H892" s="49" t="n">
        <v>3.3</v>
      </c>
      <c r="I892" s="50" t="n">
        <v>0.495</v>
      </c>
      <c r="J892" s="50" t="n">
        <v>3.79</v>
      </c>
      <c r="K892" s="50" t="inlineStr">
        <is>
          <t>Pass</t>
        </is>
      </c>
      <c r="L892" s="51" t="n"/>
      <c r="M892" s="51" t="n"/>
      <c r="N892" s="51" t="n"/>
    </row>
    <row r="893" ht="13.5" customHeight="1" s="38">
      <c r="A893" s="73" t="inlineStr">
        <is>
          <t>R_0890</t>
        </is>
      </c>
      <c r="B893" s="49" t="n">
        <v>3.5</v>
      </c>
      <c r="C893" s="50" t="n">
        <v>1.225</v>
      </c>
      <c r="D893" s="49" t="n">
        <v>3.9</v>
      </c>
      <c r="E893" s="50" t="n">
        <v>1.17</v>
      </c>
      <c r="F893" s="49" t="n">
        <v>3.2</v>
      </c>
      <c r="G893" s="50" t="n">
        <v>0.64</v>
      </c>
      <c r="H893" s="49" t="n">
        <v>3</v>
      </c>
      <c r="I893" s="50" t="n">
        <v>0.45</v>
      </c>
      <c r="J893" s="50" t="n">
        <v>3.49</v>
      </c>
      <c r="K893" s="50" t="inlineStr">
        <is>
          <t>Fail</t>
        </is>
      </c>
      <c r="L893" s="51" t="n"/>
      <c r="M893" s="51" t="n"/>
      <c r="N893" s="51" t="n"/>
    </row>
    <row r="894" ht="13.5" customHeight="1" s="38">
      <c r="A894" s="73" t="inlineStr">
        <is>
          <t>R_0891</t>
        </is>
      </c>
      <c r="B894" s="49" t="n">
        <v>3.6</v>
      </c>
      <c r="C894" s="50" t="n">
        <v>1.26</v>
      </c>
      <c r="D894" s="49" t="n">
        <v>3.3</v>
      </c>
      <c r="E894" s="50" t="n">
        <v>0.99</v>
      </c>
      <c r="F894" s="49" t="n">
        <v>3.6</v>
      </c>
      <c r="G894" s="50" t="n">
        <v>0.72</v>
      </c>
      <c r="H894" s="49" t="n">
        <v>3.8</v>
      </c>
      <c r="I894" s="50" t="n">
        <v>0.57</v>
      </c>
      <c r="J894" s="50" t="n">
        <v>3.54</v>
      </c>
      <c r="K894" s="50" t="inlineStr">
        <is>
          <t>Pass</t>
        </is>
      </c>
      <c r="L894" s="51" t="n"/>
      <c r="M894" s="51" t="n"/>
      <c r="N894" s="51" t="n"/>
    </row>
    <row r="895" ht="13.5" customHeight="1" s="38">
      <c r="A895" s="73" t="inlineStr">
        <is>
          <t>R_0892</t>
        </is>
      </c>
      <c r="B895" s="49" t="n">
        <v>3.4</v>
      </c>
      <c r="C895" s="50" t="n">
        <v>1.19</v>
      </c>
      <c r="D895" s="49" t="n">
        <v>3.1</v>
      </c>
      <c r="E895" s="50" t="n">
        <v>0.93</v>
      </c>
      <c r="F895" s="49" t="n">
        <v>3.6</v>
      </c>
      <c r="G895" s="50" t="n">
        <v>0.72</v>
      </c>
      <c r="H895" s="49" t="n">
        <v>2.8</v>
      </c>
      <c r="I895" s="50" t="n">
        <v>0.42</v>
      </c>
      <c r="J895" s="50" t="n">
        <v>3.26</v>
      </c>
      <c r="K895" s="50" t="inlineStr">
        <is>
          <t>Fail</t>
        </is>
      </c>
      <c r="L895" s="51" t="n"/>
      <c r="M895" s="51" t="n"/>
      <c r="N895" s="51" t="n"/>
    </row>
    <row r="896" ht="13.5" customHeight="1" s="38">
      <c r="A896" s="73" t="inlineStr">
        <is>
          <t>R_0893</t>
        </is>
      </c>
      <c r="B896" s="49" t="n">
        <v>3.8</v>
      </c>
      <c r="C896" s="50" t="n">
        <v>1.33</v>
      </c>
      <c r="D896" s="49" t="n">
        <v>3.2</v>
      </c>
      <c r="E896" s="50" t="n">
        <v>0.96</v>
      </c>
      <c r="F896" s="49" t="n">
        <v>3.7</v>
      </c>
      <c r="G896" s="50" t="n">
        <v>0.74</v>
      </c>
      <c r="H896" s="49" t="n">
        <v>3.8</v>
      </c>
      <c r="I896" s="50" t="n">
        <v>0.57</v>
      </c>
      <c r="J896" s="50" t="n">
        <v>3.6</v>
      </c>
      <c r="K896" s="50" t="inlineStr">
        <is>
          <t>Pass</t>
        </is>
      </c>
      <c r="L896" s="51" t="n"/>
      <c r="M896" s="51" t="n"/>
      <c r="N896" s="51" t="n"/>
    </row>
    <row r="897" ht="13.5" customHeight="1" s="38">
      <c r="A897" s="73" t="inlineStr">
        <is>
          <t>R_0894</t>
        </is>
      </c>
      <c r="B897" s="49" t="n">
        <v>3.6</v>
      </c>
      <c r="C897" s="50" t="n">
        <v>1.26</v>
      </c>
      <c r="D897" s="49" t="n">
        <v>3.9</v>
      </c>
      <c r="E897" s="50" t="n">
        <v>1.17</v>
      </c>
      <c r="F897" s="49" t="n">
        <v>3.3</v>
      </c>
      <c r="G897" s="50" t="n">
        <v>0.66</v>
      </c>
      <c r="H897" s="49" t="n">
        <v>3</v>
      </c>
      <c r="I897" s="50" t="n">
        <v>0.45</v>
      </c>
      <c r="J897" s="50" t="n">
        <v>3.54</v>
      </c>
      <c r="K897" s="50" t="inlineStr">
        <is>
          <t>Pass</t>
        </is>
      </c>
      <c r="L897" s="51" t="n"/>
      <c r="M897" s="51" t="n"/>
      <c r="N897" s="51" t="n"/>
    </row>
    <row r="898" ht="13.5" customHeight="1" s="38">
      <c r="A898" s="73" t="inlineStr">
        <is>
          <t>R_0895</t>
        </is>
      </c>
      <c r="B898" s="49" t="n">
        <v>3.4</v>
      </c>
      <c r="C898" s="50" t="n">
        <v>1.19</v>
      </c>
      <c r="D898" s="49" t="n">
        <v>3.1</v>
      </c>
      <c r="E898" s="50" t="n">
        <v>0.93</v>
      </c>
      <c r="F898" s="49" t="n">
        <v>3.5</v>
      </c>
      <c r="G898" s="50" t="n">
        <v>0.7</v>
      </c>
      <c r="H898" s="49" t="n">
        <v>3.5</v>
      </c>
      <c r="I898" s="50" t="n">
        <v>0.525</v>
      </c>
      <c r="J898" s="50" t="n">
        <v>3.35</v>
      </c>
      <c r="K898" s="50" t="inlineStr">
        <is>
          <t>Fail</t>
        </is>
      </c>
      <c r="L898" s="51" t="n"/>
      <c r="M898" s="51" t="n"/>
      <c r="N898" s="51" t="n"/>
    </row>
    <row r="899" ht="13.5" customHeight="1" s="38">
      <c r="A899" s="73" t="inlineStr">
        <is>
          <t>R_0896</t>
        </is>
      </c>
      <c r="B899" s="49" t="n">
        <v>3.5</v>
      </c>
      <c r="C899" s="50" t="n">
        <v>1.225</v>
      </c>
      <c r="D899" s="49" t="n">
        <v>3</v>
      </c>
      <c r="E899" s="50" t="n">
        <v>0.9</v>
      </c>
      <c r="F899" s="49" t="n">
        <v>3.6</v>
      </c>
      <c r="G899" s="50" t="n">
        <v>0.72</v>
      </c>
      <c r="H899" s="49" t="n">
        <v>3.8</v>
      </c>
      <c r="I899" s="50" t="n">
        <v>0.57</v>
      </c>
      <c r="J899" s="50" t="n">
        <v>3.41</v>
      </c>
      <c r="K899" s="50" t="inlineStr">
        <is>
          <t>Fail</t>
        </is>
      </c>
      <c r="L899" s="51" t="n"/>
      <c r="M899" s="51" t="n"/>
      <c r="N899" s="51" t="n"/>
    </row>
    <row r="900" ht="13.5" customHeight="1" s="38">
      <c r="A900" s="73" t="inlineStr">
        <is>
          <t>R_0897</t>
        </is>
      </c>
      <c r="B900" s="49" t="n">
        <v>3.7</v>
      </c>
      <c r="C900" s="50" t="n">
        <v>1.295</v>
      </c>
      <c r="D900" s="49" t="n">
        <v>3.8</v>
      </c>
      <c r="E900" s="50" t="n">
        <v>1.14</v>
      </c>
      <c r="F900" s="49" t="n">
        <v>3.2</v>
      </c>
      <c r="G900" s="50" t="n">
        <v>0.64</v>
      </c>
      <c r="H900" s="49" t="n">
        <v>3</v>
      </c>
      <c r="I900" s="50" t="n">
        <v>0.45</v>
      </c>
      <c r="J900" s="50" t="n">
        <v>3.52</v>
      </c>
      <c r="K900" s="50" t="inlineStr">
        <is>
          <t>Pass</t>
        </is>
      </c>
      <c r="L900" s="51" t="n"/>
      <c r="M900" s="51" t="n"/>
      <c r="N900" s="51" t="n"/>
    </row>
    <row r="901" ht="13.5" customHeight="1" s="38">
      <c r="A901" s="73" t="inlineStr">
        <is>
          <t>R_0898</t>
        </is>
      </c>
      <c r="B901" s="49" t="n">
        <v>3.2</v>
      </c>
      <c r="C901" s="50" t="n">
        <v>1.12</v>
      </c>
      <c r="D901" s="49" t="n">
        <v>3.3</v>
      </c>
      <c r="E901" s="50" t="n">
        <v>0.99</v>
      </c>
      <c r="F901" s="49" t="n">
        <v>3.7</v>
      </c>
      <c r="G901" s="50" t="n">
        <v>0.74</v>
      </c>
      <c r="H901" s="49" t="n">
        <v>3.3</v>
      </c>
      <c r="I901" s="50" t="n">
        <v>0.495</v>
      </c>
      <c r="J901" s="50" t="n">
        <v>3.35</v>
      </c>
      <c r="K901" s="50" t="inlineStr">
        <is>
          <t>Fail</t>
        </is>
      </c>
      <c r="L901" s="51" t="n"/>
      <c r="M901" s="51" t="n"/>
      <c r="N901" s="51" t="n"/>
    </row>
    <row r="902" ht="13.5" customHeight="1" s="38">
      <c r="A902" s="73" t="inlineStr">
        <is>
          <t>R_0899</t>
        </is>
      </c>
      <c r="B902" s="49" t="n">
        <v>3</v>
      </c>
      <c r="C902" s="50" t="n">
        <v>1.05</v>
      </c>
      <c r="D902" s="49" t="n">
        <v>3.9</v>
      </c>
      <c r="E902" s="50" t="n">
        <v>1.17</v>
      </c>
      <c r="F902" s="49" t="n">
        <v>3.5</v>
      </c>
      <c r="G902" s="50" t="n">
        <v>0.7</v>
      </c>
      <c r="H902" s="49" t="n">
        <v>3.9</v>
      </c>
      <c r="I902" s="50" t="n">
        <v>0.585</v>
      </c>
      <c r="J902" s="50" t="n">
        <v>3.5</v>
      </c>
      <c r="K902" s="50" t="inlineStr">
        <is>
          <t>Pass</t>
        </is>
      </c>
      <c r="L902" s="51" t="n"/>
      <c r="M902" s="51" t="n"/>
      <c r="N902" s="51" t="n"/>
    </row>
    <row r="903" ht="13.5" customHeight="1" s="38">
      <c r="A903" s="73" t="inlineStr">
        <is>
          <t>R_0900</t>
        </is>
      </c>
      <c r="B903" s="49" t="n">
        <v>3.5</v>
      </c>
      <c r="C903" s="50" t="n">
        <v>1.225</v>
      </c>
      <c r="D903" s="49" t="n">
        <v>2.9</v>
      </c>
      <c r="E903" s="50" t="n">
        <v>0.87</v>
      </c>
      <c r="F903" s="49" t="n">
        <v>3.5</v>
      </c>
      <c r="G903" s="50" t="n">
        <v>0.7</v>
      </c>
      <c r="H903" s="49" t="n">
        <v>3</v>
      </c>
      <c r="I903" s="50" t="n">
        <v>0.45</v>
      </c>
      <c r="J903" s="50" t="n">
        <v>3.25</v>
      </c>
      <c r="K903" s="50" t="inlineStr">
        <is>
          <t>Fail</t>
        </is>
      </c>
      <c r="L903" s="51" t="n"/>
      <c r="M903" s="51" t="n"/>
      <c r="N903" s="51" t="n"/>
    </row>
    <row r="904" ht="13.5" customHeight="1" s="38">
      <c r="A904" s="73" t="inlineStr">
        <is>
          <t>R_0901</t>
        </is>
      </c>
      <c r="B904" s="49" t="n">
        <v>3.5</v>
      </c>
      <c r="C904" s="50" t="n">
        <v>1.225</v>
      </c>
      <c r="D904" s="49" t="n">
        <v>3.1</v>
      </c>
      <c r="E904" s="50" t="n">
        <v>0.93</v>
      </c>
      <c r="F904" s="49" t="n">
        <v>3.6</v>
      </c>
      <c r="G904" s="50" t="n">
        <v>0.72</v>
      </c>
      <c r="H904" s="49" t="n">
        <v>2.8</v>
      </c>
      <c r="I904" s="50" t="n">
        <v>0.42</v>
      </c>
      <c r="J904" s="50" t="n">
        <v>3.29</v>
      </c>
      <c r="K904" s="50" t="inlineStr">
        <is>
          <t>Fail</t>
        </is>
      </c>
      <c r="L904" s="51" t="n"/>
      <c r="M904" s="51" t="n"/>
      <c r="N904" s="51" t="n"/>
    </row>
    <row r="905" ht="13.5" customHeight="1" s="38">
      <c r="A905" s="73" t="inlineStr">
        <is>
          <t>R_0902</t>
        </is>
      </c>
      <c r="B905" s="49" t="n">
        <v>3.3</v>
      </c>
      <c r="C905" s="50" t="n">
        <v>1.155</v>
      </c>
      <c r="D905" s="49" t="n">
        <v>3.9</v>
      </c>
      <c r="E905" s="50" t="n">
        <v>1.17</v>
      </c>
      <c r="F905" s="49" t="n">
        <v>3.5</v>
      </c>
      <c r="G905" s="50" t="n">
        <v>0.7</v>
      </c>
      <c r="H905" s="49" t="n">
        <v>3.3</v>
      </c>
      <c r="I905" s="50" t="n">
        <v>0.495</v>
      </c>
      <c r="J905" s="50" t="n">
        <v>3.52</v>
      </c>
      <c r="K905" s="50" t="inlineStr">
        <is>
          <t>Pass</t>
        </is>
      </c>
      <c r="L905" s="51" t="n"/>
      <c r="M905" s="51" t="n"/>
      <c r="N905" s="51" t="n"/>
    </row>
    <row r="906" ht="13.5" customHeight="1" s="38">
      <c r="A906" s="73" t="inlineStr">
        <is>
          <t>R_0903</t>
        </is>
      </c>
      <c r="B906" s="49" t="n">
        <v>3</v>
      </c>
      <c r="C906" s="50" t="n">
        <v>1.05</v>
      </c>
      <c r="D906" s="49" t="n">
        <v>3.8</v>
      </c>
      <c r="E906" s="50" t="n">
        <v>1.14</v>
      </c>
      <c r="F906" s="49" t="n">
        <v>3.5</v>
      </c>
      <c r="G906" s="50" t="n">
        <v>0.7</v>
      </c>
      <c r="H906" s="49" t="n">
        <v>3.9</v>
      </c>
      <c r="I906" s="50" t="n">
        <v>0.585</v>
      </c>
      <c r="J906" s="50" t="n">
        <v>3.47</v>
      </c>
      <c r="K906" s="50" t="inlineStr">
        <is>
          <t>Fail</t>
        </is>
      </c>
      <c r="L906" s="51" t="n"/>
      <c r="M906" s="51" t="n"/>
      <c r="N906" s="51" t="n"/>
    </row>
    <row r="907" ht="13.5" customHeight="1" s="38">
      <c r="A907" s="73" t="inlineStr">
        <is>
          <t>R_0904</t>
        </is>
      </c>
      <c r="B907" s="49" t="n">
        <v>3.5</v>
      </c>
      <c r="C907" s="50" t="n">
        <v>1.225</v>
      </c>
      <c r="D907" s="49" t="n">
        <v>3.4</v>
      </c>
      <c r="E907" s="50" t="n">
        <v>1.02</v>
      </c>
      <c r="F907" s="49" t="n">
        <v>3.5</v>
      </c>
      <c r="G907" s="50" t="n">
        <v>0.7</v>
      </c>
      <c r="H907" s="49" t="n">
        <v>2.8</v>
      </c>
      <c r="I907" s="50" t="n">
        <v>0.42</v>
      </c>
      <c r="J907" s="50" t="n">
        <v>3.37</v>
      </c>
      <c r="K907" s="50" t="inlineStr">
        <is>
          <t>Fail</t>
        </is>
      </c>
      <c r="L907" s="51" t="n"/>
      <c r="M907" s="51" t="n"/>
      <c r="N907" s="51" t="n"/>
    </row>
    <row r="908" ht="13.5" customHeight="1" s="38">
      <c r="A908" s="73" t="inlineStr">
        <is>
          <t>R_0905</t>
        </is>
      </c>
      <c r="B908" s="49" t="n">
        <v>3.5</v>
      </c>
      <c r="C908" s="50" t="n">
        <v>1.225</v>
      </c>
      <c r="D908" s="49" t="n">
        <v>3.6</v>
      </c>
      <c r="E908" s="50" t="n">
        <v>1.08</v>
      </c>
      <c r="F908" s="49" t="n">
        <v>3.8</v>
      </c>
      <c r="G908" s="50" t="n">
        <v>0.76</v>
      </c>
      <c r="H908" s="49" t="n">
        <v>3.3</v>
      </c>
      <c r="I908" s="50" t="n">
        <v>0.495</v>
      </c>
      <c r="J908" s="50" t="n">
        <v>3.56</v>
      </c>
      <c r="K908" s="50" t="inlineStr">
        <is>
          <t>Pass</t>
        </is>
      </c>
      <c r="L908" s="51" t="n"/>
      <c r="M908" s="51" t="n"/>
      <c r="N908" s="51" t="n"/>
    </row>
    <row r="909" ht="13.5" customHeight="1" s="38">
      <c r="A909" s="73" t="inlineStr">
        <is>
          <t>R_0906</t>
        </is>
      </c>
      <c r="B909" s="49" t="n">
        <v>3.5</v>
      </c>
      <c r="C909" s="50" t="n">
        <v>1.225</v>
      </c>
      <c r="D909" s="49" t="n">
        <v>3.5</v>
      </c>
      <c r="E909" s="50" t="n">
        <v>1.05</v>
      </c>
      <c r="F909" s="49" t="n">
        <v>3.3</v>
      </c>
      <c r="G909" s="50" t="n">
        <v>0.66</v>
      </c>
      <c r="H909" s="49" t="n">
        <v>3</v>
      </c>
      <c r="I909" s="50" t="n">
        <v>0.45</v>
      </c>
      <c r="J909" s="50" t="n">
        <v>3.39</v>
      </c>
      <c r="K909" s="50" t="inlineStr">
        <is>
          <t>Fail</t>
        </is>
      </c>
      <c r="L909" s="51" t="n"/>
      <c r="M909" s="51" t="n"/>
      <c r="N909" s="51" t="n"/>
    </row>
    <row r="910" ht="13.5" customHeight="1" s="38">
      <c r="A910" s="73" t="inlineStr">
        <is>
          <t>R_0907</t>
        </is>
      </c>
      <c r="B910" s="49" t="n">
        <v>3.5</v>
      </c>
      <c r="C910" s="50" t="n">
        <v>1.225</v>
      </c>
      <c r="D910" s="49" t="n">
        <v>3.5</v>
      </c>
      <c r="E910" s="50" t="n">
        <v>1.05</v>
      </c>
      <c r="F910" s="49" t="n">
        <v>3.7</v>
      </c>
      <c r="G910" s="50" t="n">
        <v>0.74</v>
      </c>
      <c r="H910" s="49" t="n">
        <v>4.7</v>
      </c>
      <c r="I910" s="50" t="n">
        <v>0.705</v>
      </c>
      <c r="J910" s="50" t="n">
        <v>3.72</v>
      </c>
      <c r="K910" s="50" t="inlineStr">
        <is>
          <t>Pass</t>
        </is>
      </c>
      <c r="L910" s="51" t="n"/>
      <c r="M910" s="51" t="n"/>
      <c r="N910" s="51" t="n"/>
    </row>
    <row r="911" ht="13.5" customHeight="1" s="38">
      <c r="A911" s="73" t="inlineStr">
        <is>
          <t>R_0908</t>
        </is>
      </c>
      <c r="B911" s="49" t="n">
        <v>3.5</v>
      </c>
      <c r="C911" s="50" t="n">
        <v>1.225</v>
      </c>
      <c r="D911" s="49" t="n">
        <v>4</v>
      </c>
      <c r="E911" s="50" t="n">
        <v>1.2</v>
      </c>
      <c r="F911" s="49" t="n">
        <v>3.2</v>
      </c>
      <c r="G911" s="50" t="n">
        <v>0.64</v>
      </c>
      <c r="H911" s="49" t="n">
        <v>3</v>
      </c>
      <c r="I911" s="50" t="n">
        <v>0.45</v>
      </c>
      <c r="J911" s="50" t="n">
        <v>3.52</v>
      </c>
      <c r="K911" s="50" t="inlineStr">
        <is>
          <t>Pass</t>
        </is>
      </c>
      <c r="L911" s="51" t="n"/>
      <c r="M911" s="51" t="n"/>
      <c r="N911" s="51" t="n"/>
    </row>
    <row r="912" ht="13.5" customHeight="1" s="38">
      <c r="A912" s="73" t="inlineStr">
        <is>
          <t>R_0909</t>
        </is>
      </c>
      <c r="B912" s="49" t="n">
        <v>3.4</v>
      </c>
      <c r="C912" s="50" t="n">
        <v>1.19</v>
      </c>
      <c r="D912" s="49" t="n">
        <v>3.1</v>
      </c>
      <c r="E912" s="50" t="n">
        <v>0.93</v>
      </c>
      <c r="F912" s="49" t="n">
        <v>3.5</v>
      </c>
      <c r="G912" s="50" t="n">
        <v>0.7</v>
      </c>
      <c r="H912" s="49" t="n">
        <v>3.8</v>
      </c>
      <c r="I912" s="50" t="n">
        <v>0.57</v>
      </c>
      <c r="J912" s="50" t="n">
        <v>3.39</v>
      </c>
      <c r="K912" s="50" t="inlineStr">
        <is>
          <t>Fail</t>
        </is>
      </c>
      <c r="L912" s="51" t="n"/>
      <c r="M912" s="51" t="n"/>
      <c r="N912" s="51" t="n"/>
    </row>
    <row r="913" ht="13.5" customHeight="1" s="38">
      <c r="A913" s="73" t="inlineStr">
        <is>
          <t>R_0910</t>
        </is>
      </c>
      <c r="B913" s="49" t="n">
        <v>3.7</v>
      </c>
      <c r="C913" s="50" t="n">
        <v>1.295</v>
      </c>
      <c r="D913" s="49" t="n">
        <v>4.2</v>
      </c>
      <c r="E913" s="50" t="n">
        <v>1.26</v>
      </c>
      <c r="F913" s="49" t="n">
        <v>3.1</v>
      </c>
      <c r="G913" s="50" t="n">
        <v>0.62</v>
      </c>
      <c r="H913" s="49" t="n">
        <v>3</v>
      </c>
      <c r="I913" s="50" t="n">
        <v>0.45</v>
      </c>
      <c r="J913" s="50" t="n">
        <v>3.62</v>
      </c>
      <c r="K913" s="50" t="inlineStr">
        <is>
          <t>Pass</t>
        </is>
      </c>
      <c r="L913" s="51" t="n"/>
      <c r="M913" s="51" t="n"/>
      <c r="N913" s="51" t="n"/>
    </row>
    <row r="914" ht="13.5" customHeight="1" s="38">
      <c r="A914" s="73" t="inlineStr">
        <is>
          <t>R_0911</t>
        </is>
      </c>
      <c r="B914" s="49" t="n">
        <v>3.5</v>
      </c>
      <c r="C914" s="50" t="n">
        <v>1.225</v>
      </c>
      <c r="D914" s="49" t="n">
        <v>2.9</v>
      </c>
      <c r="E914" s="50" t="n">
        <v>0.87</v>
      </c>
      <c r="F914" s="49" t="n">
        <v>3.5</v>
      </c>
      <c r="G914" s="50" t="n">
        <v>0.7</v>
      </c>
      <c r="H914" s="49" t="n">
        <v>3</v>
      </c>
      <c r="I914" s="50" t="n">
        <v>0.45</v>
      </c>
      <c r="J914" s="50" t="n">
        <v>3.25</v>
      </c>
      <c r="K914" s="50" t="inlineStr">
        <is>
          <t>Fail</t>
        </is>
      </c>
      <c r="L914" s="51" t="n"/>
      <c r="M914" s="51" t="n"/>
      <c r="N914" s="51" t="n"/>
    </row>
    <row r="915" ht="13.5" customHeight="1" s="38">
      <c r="A915" s="73" t="inlineStr">
        <is>
          <t>R_0912</t>
        </is>
      </c>
      <c r="B915" s="49" t="n">
        <v>3</v>
      </c>
      <c r="C915" s="50" t="n">
        <v>1.05</v>
      </c>
      <c r="D915" s="49" t="n">
        <v>3.1</v>
      </c>
      <c r="E915" s="50" t="n">
        <v>0.93</v>
      </c>
      <c r="F915" s="49" t="n">
        <v>3.4</v>
      </c>
      <c r="G915" s="50" t="n">
        <v>0.68</v>
      </c>
      <c r="H915" s="49" t="n">
        <v>4.3</v>
      </c>
      <c r="I915" s="50" t="n">
        <v>0.645</v>
      </c>
      <c r="J915" s="50" t="n">
        <v>3.3</v>
      </c>
      <c r="K915" s="50" t="inlineStr">
        <is>
          <t>Fail</t>
        </is>
      </c>
      <c r="L915" s="51" t="n"/>
      <c r="M915" s="51" t="n"/>
      <c r="N915" s="51" t="n"/>
    </row>
    <row r="916" ht="13.5" customHeight="1" s="38">
      <c r="A916" s="73" t="inlineStr">
        <is>
          <t>R_0913</t>
        </is>
      </c>
      <c r="B916" s="49" t="n">
        <v>3.5</v>
      </c>
      <c r="C916" s="50" t="n">
        <v>1.225</v>
      </c>
      <c r="D916" s="49" t="n">
        <v>3</v>
      </c>
      <c r="E916" s="50" t="n">
        <v>0.9</v>
      </c>
      <c r="F916" s="49" t="n">
        <v>3.5</v>
      </c>
      <c r="G916" s="50" t="n">
        <v>0.7</v>
      </c>
      <c r="H916" s="49" t="n">
        <v>2.8</v>
      </c>
      <c r="I916" s="50" t="n">
        <v>0.42</v>
      </c>
      <c r="J916" s="50" t="n">
        <v>3.25</v>
      </c>
      <c r="K916" s="50" t="inlineStr">
        <is>
          <t>Fail</t>
        </is>
      </c>
      <c r="L916" s="51" t="n"/>
      <c r="M916" s="51" t="n"/>
      <c r="N916" s="51" t="n"/>
    </row>
    <row r="917" ht="13.5" customHeight="1" s="38">
      <c r="A917" s="73" t="inlineStr">
        <is>
          <t>R_0914</t>
        </is>
      </c>
      <c r="B917" s="49" t="n">
        <v>3.8</v>
      </c>
      <c r="C917" s="50" t="n">
        <v>1.33</v>
      </c>
      <c r="D917" s="49" t="n">
        <v>3.2</v>
      </c>
      <c r="E917" s="50" t="n">
        <v>0.96</v>
      </c>
      <c r="F917" s="49" t="n">
        <v>3.6</v>
      </c>
      <c r="G917" s="50" t="n">
        <v>0.72</v>
      </c>
      <c r="H917" s="49" t="n">
        <v>3.8</v>
      </c>
      <c r="I917" s="50" t="n">
        <v>0.57</v>
      </c>
      <c r="J917" s="50" t="n">
        <v>3.58</v>
      </c>
      <c r="K917" s="50" t="inlineStr">
        <is>
          <t>Pass</t>
        </is>
      </c>
      <c r="L917" s="51" t="n"/>
      <c r="M917" s="51" t="n"/>
      <c r="N917" s="51" t="n"/>
    </row>
    <row r="918" ht="13.5" customHeight="1" s="38">
      <c r="A918" s="73" t="inlineStr">
        <is>
          <t>R_0915</t>
        </is>
      </c>
      <c r="B918" s="49" t="n">
        <v>3.4</v>
      </c>
      <c r="C918" s="50" t="n">
        <v>1.19</v>
      </c>
      <c r="D918" s="49" t="n">
        <v>2.9</v>
      </c>
      <c r="E918" s="50" t="n">
        <v>0.87</v>
      </c>
      <c r="F918" s="49" t="n">
        <v>3.5</v>
      </c>
      <c r="G918" s="50" t="n">
        <v>0.7</v>
      </c>
      <c r="H918" s="49" t="n">
        <v>3</v>
      </c>
      <c r="I918" s="50" t="n">
        <v>0.45</v>
      </c>
      <c r="J918" s="50" t="n">
        <v>3.21</v>
      </c>
      <c r="K918" s="50" t="inlineStr">
        <is>
          <t>Fail</t>
        </is>
      </c>
      <c r="L918" s="51" t="n"/>
      <c r="M918" s="51" t="n"/>
      <c r="N918" s="51" t="n"/>
    </row>
    <row r="919" ht="13.5" customHeight="1" s="38">
      <c r="A919" s="73" t="inlineStr">
        <is>
          <t>R_0916</t>
        </is>
      </c>
      <c r="B919" s="49" t="n">
        <v>2.6</v>
      </c>
      <c r="C919" s="50" t="n">
        <v>0.91</v>
      </c>
      <c r="D919" s="49" t="n">
        <v>3.4</v>
      </c>
      <c r="E919" s="50" t="n">
        <v>1.02</v>
      </c>
      <c r="F919" s="49" t="n">
        <v>3.2</v>
      </c>
      <c r="G919" s="50" t="n">
        <v>0.64</v>
      </c>
      <c r="H919" s="49" t="n">
        <v>2.5</v>
      </c>
      <c r="I919" s="50" t="n">
        <v>0.375</v>
      </c>
      <c r="J919" s="50" t="n">
        <v>2.95</v>
      </c>
      <c r="K919" s="50" t="inlineStr">
        <is>
          <t>Fail</t>
        </is>
      </c>
      <c r="L919" s="51" t="n"/>
      <c r="M919" s="51" t="n"/>
      <c r="N919" s="51" t="n"/>
    </row>
    <row r="920" ht="13.5" customHeight="1" s="38">
      <c r="A920" s="73" t="inlineStr">
        <is>
          <t>R_0917</t>
        </is>
      </c>
      <c r="B920" s="49" t="inlineStr">
        <is>
          <t>3.7 | 2.2</t>
        </is>
      </c>
      <c r="C920" s="50" t="inlineStr">
        <is>
          <t>1.295 | 1.015</t>
        </is>
      </c>
      <c r="D920" s="49" t="inlineStr">
        <is>
          <t>4.1 | 2.9</t>
        </is>
      </c>
      <c r="E920" s="50" t="inlineStr">
        <is>
          <t>1.23 | 0.87</t>
        </is>
      </c>
      <c r="F920" s="49" t="inlineStr">
        <is>
          <t>3.2 | 1.8</t>
        </is>
      </c>
      <c r="G920" s="50" t="inlineStr">
        <is>
          <t>0.64 | 0.36</t>
        </is>
      </c>
      <c r="H920" s="49" t="inlineStr">
        <is>
          <t>3.0 | 1.9</t>
        </is>
      </c>
      <c r="I920" s="50" t="inlineStr">
        <is>
          <t>0.45 | 0.285</t>
        </is>
      </c>
      <c r="J920" s="50" t="inlineStr">
        <is>
          <t>3.62 | 2.53</t>
        </is>
      </c>
      <c r="K920" s="50" t="inlineStr">
        <is>
          <t>Pass | Fail</t>
        </is>
      </c>
      <c r="L920" s="51" t="n"/>
      <c r="M920" s="51" t="n"/>
      <c r="N920" s="51" t="n"/>
    </row>
    <row r="921" ht="13.5" customHeight="1" s="38">
      <c r="A921" s="73" t="inlineStr">
        <is>
          <t>R_0918</t>
        </is>
      </c>
      <c r="B921" s="49" t="inlineStr">
        <is>
          <t>3.4 | 4.0</t>
        </is>
      </c>
      <c r="C921" s="50" t="inlineStr">
        <is>
          <t>1.19 | 1.4</t>
        </is>
      </c>
      <c r="D921" s="49" t="inlineStr">
        <is>
          <t>2.8 | 4.0</t>
        </is>
      </c>
      <c r="E921" s="50" t="inlineStr">
        <is>
          <t>0.84 | 1.2</t>
        </is>
      </c>
      <c r="F921" s="49" t="inlineStr">
        <is>
          <t>3.5 | 4.0</t>
        </is>
      </c>
      <c r="G921" s="50" t="inlineStr">
        <is>
          <t>0.7 | 0.8</t>
        </is>
      </c>
      <c r="H921" s="49" t="inlineStr">
        <is>
          <t>3.5 | 4.2</t>
        </is>
      </c>
      <c r="I921" s="50" t="inlineStr">
        <is>
          <t>0.525 | 0.63</t>
        </is>
      </c>
      <c r="J921" s="50" t="inlineStr">
        <is>
          <t>3.25 | 4.03</t>
        </is>
      </c>
      <c r="K921" s="50" t="inlineStr">
        <is>
          <t>Fail | Pass</t>
        </is>
      </c>
      <c r="L921" s="51" t="n"/>
      <c r="M921" s="51" t="n"/>
      <c r="N921" s="51" t="n"/>
    </row>
    <row r="922" ht="13.5" customHeight="1" s="38">
      <c r="A922" s="73" t="inlineStr">
        <is>
          <t>R_0919</t>
        </is>
      </c>
      <c r="B922" s="49" t="n">
        <v>3.3</v>
      </c>
      <c r="C922" s="50" t="n">
        <v>1.155</v>
      </c>
      <c r="D922" s="49" t="n">
        <v>3.7</v>
      </c>
      <c r="E922" s="50" t="n">
        <v>1.11</v>
      </c>
      <c r="F922" s="49" t="n">
        <v>3.5</v>
      </c>
      <c r="G922" s="50" t="n">
        <v>0.7</v>
      </c>
      <c r="H922" s="49" t="n">
        <v>4.3</v>
      </c>
      <c r="I922" s="50" t="n">
        <v>0.645</v>
      </c>
      <c r="J922" s="50" t="n">
        <v>3.61</v>
      </c>
      <c r="K922" s="50" t="inlineStr">
        <is>
          <t>Pass</t>
        </is>
      </c>
      <c r="L922" s="51" t="n"/>
      <c r="M922" s="51" t="n"/>
      <c r="N922" s="51" t="n"/>
    </row>
    <row r="923" ht="13.5" customHeight="1" s="38">
      <c r="A923" s="73" t="inlineStr">
        <is>
          <t>R_0920</t>
        </is>
      </c>
      <c r="B923" s="49" t="n">
        <v>3.6</v>
      </c>
      <c r="C923" s="50" t="n">
        <v>1.26</v>
      </c>
      <c r="D923" s="49" t="n">
        <v>3.2</v>
      </c>
      <c r="E923" s="50" t="n">
        <v>0.96</v>
      </c>
      <c r="F923" s="49" t="n">
        <v>3.6</v>
      </c>
      <c r="G923" s="50" t="n">
        <v>0.72</v>
      </c>
      <c r="H923" s="49" t="n">
        <v>3.1</v>
      </c>
      <c r="I923" s="50" t="n">
        <v>0.465</v>
      </c>
      <c r="J923" s="50" t="n">
        <v>3.4</v>
      </c>
      <c r="K923" s="50" t="inlineStr">
        <is>
          <t>Fail</t>
        </is>
      </c>
      <c r="L923" s="51" t="n"/>
      <c r="M923" s="51" t="n"/>
      <c r="N923" s="51" t="n"/>
    </row>
    <row r="924" ht="13.5" customHeight="1" s="38">
      <c r="A924" s="73" t="inlineStr">
        <is>
          <t>R_0921</t>
        </is>
      </c>
      <c r="B924" s="49" t="n">
        <v>3</v>
      </c>
      <c r="C924" s="50" t="n">
        <v>1.05</v>
      </c>
      <c r="D924" s="49" t="n">
        <v>3.7</v>
      </c>
      <c r="E924" s="50" t="n">
        <v>1.11</v>
      </c>
      <c r="F924" s="49" t="n">
        <v>3.6</v>
      </c>
      <c r="G924" s="50" t="n">
        <v>0.72</v>
      </c>
      <c r="H924" s="49" t="n">
        <v>2.8</v>
      </c>
      <c r="I924" s="50" t="n">
        <v>0.42</v>
      </c>
      <c r="J924" s="50" t="n">
        <v>3.3</v>
      </c>
      <c r="K924" s="50" t="inlineStr">
        <is>
          <t>Fail</t>
        </is>
      </c>
      <c r="L924" s="51" t="n"/>
      <c r="M924" s="51" t="n"/>
      <c r="N924" s="51" t="n"/>
    </row>
    <row r="925" ht="13.5" customHeight="1" s="38">
      <c r="A925" s="73" t="inlineStr">
        <is>
          <t>R_0922</t>
        </is>
      </c>
      <c r="B925" s="49" t="n">
        <v>3.5</v>
      </c>
      <c r="C925" s="50" t="n">
        <v>1.225</v>
      </c>
      <c r="D925" s="49" t="n">
        <v>2.9</v>
      </c>
      <c r="E925" s="50" t="n">
        <v>0.87</v>
      </c>
      <c r="F925" s="49" t="n">
        <v>3.6</v>
      </c>
      <c r="G925" s="50" t="n">
        <v>0.72</v>
      </c>
      <c r="H925" s="49" t="n">
        <v>3.8</v>
      </c>
      <c r="I925" s="50" t="n">
        <v>0.57</v>
      </c>
      <c r="J925" s="50" t="n">
        <v>3.39</v>
      </c>
      <c r="K925" s="50" t="inlineStr">
        <is>
          <t>Fail</t>
        </is>
      </c>
      <c r="L925" s="51" t="n"/>
      <c r="M925" s="51" t="n"/>
      <c r="N925" s="51" t="n"/>
    </row>
    <row r="926" ht="13.5" customHeight="1" s="38">
      <c r="A926" s="73" t="inlineStr">
        <is>
          <t>R_0923</t>
        </is>
      </c>
      <c r="B926" s="49" t="n">
        <v>3.2</v>
      </c>
      <c r="C926" s="50" t="n">
        <v>1.12</v>
      </c>
      <c r="D926" s="49" t="n">
        <v>3.6</v>
      </c>
      <c r="E926" s="50" t="n">
        <v>1.08</v>
      </c>
      <c r="F926" s="49" t="n">
        <v>3.5</v>
      </c>
      <c r="G926" s="50" t="n">
        <v>0.7</v>
      </c>
      <c r="H926" s="49" t="n">
        <v>3.3</v>
      </c>
      <c r="I926" s="50" t="n">
        <v>0.495</v>
      </c>
      <c r="J926" s="50" t="n">
        <v>3.4</v>
      </c>
      <c r="K926" s="50" t="inlineStr">
        <is>
          <t>Fail</t>
        </is>
      </c>
      <c r="L926" s="51" t="n"/>
      <c r="M926" s="51" t="n"/>
      <c r="N926" s="51" t="n"/>
    </row>
    <row r="927" ht="13.5" customHeight="1" s="38">
      <c r="A927" s="73" t="inlineStr">
        <is>
          <t>R_0924</t>
        </is>
      </c>
      <c r="B927" s="49" t="n">
        <v>3.4</v>
      </c>
      <c r="C927" s="50" t="n">
        <v>1.19</v>
      </c>
      <c r="D927" s="49" t="n">
        <v>3.3</v>
      </c>
      <c r="E927" s="50" t="n">
        <v>0.99</v>
      </c>
      <c r="F927" s="49" t="n">
        <v>3.5</v>
      </c>
      <c r="G927" s="50" t="n">
        <v>0.7</v>
      </c>
      <c r="H927" s="49" t="n">
        <v>2.8</v>
      </c>
      <c r="I927" s="50" t="n">
        <v>0.42</v>
      </c>
      <c r="J927" s="50" t="n">
        <v>3.3</v>
      </c>
      <c r="K927" s="50" t="inlineStr">
        <is>
          <t>Fail</t>
        </is>
      </c>
      <c r="L927" s="51" t="n"/>
      <c r="M927" s="51" t="n"/>
      <c r="N927" s="51" t="n"/>
    </row>
    <row r="928" ht="13.5" customHeight="1" s="38">
      <c r="A928" s="73" t="inlineStr">
        <is>
          <t>R_0925</t>
        </is>
      </c>
      <c r="B928" s="49" t="n">
        <v>3.5</v>
      </c>
      <c r="C928" s="50" t="n">
        <v>1.225</v>
      </c>
      <c r="D928" s="49" t="n">
        <v>3.9</v>
      </c>
      <c r="E928" s="50" t="n">
        <v>1.17</v>
      </c>
      <c r="F928" s="49" t="n">
        <v>3.3</v>
      </c>
      <c r="G928" s="50" t="n">
        <v>0.66</v>
      </c>
      <c r="H928" s="49" t="n">
        <v>2.8</v>
      </c>
      <c r="I928" s="50" t="n">
        <v>0.42</v>
      </c>
      <c r="J928" s="50" t="n">
        <v>3.47</v>
      </c>
      <c r="K928" s="50" t="inlineStr">
        <is>
          <t>Fail</t>
        </is>
      </c>
      <c r="L928" s="51" t="n"/>
      <c r="M928" s="51" t="n"/>
      <c r="N928" s="51" t="n"/>
    </row>
    <row r="929" ht="13.5" customHeight="1" s="38">
      <c r="A929" s="73" t="inlineStr">
        <is>
          <t>R_0926</t>
        </is>
      </c>
      <c r="B929" s="49" t="n">
        <v>3.6</v>
      </c>
      <c r="C929" s="50" t="n">
        <v>1.26</v>
      </c>
      <c r="D929" s="49" t="n">
        <v>3.9</v>
      </c>
      <c r="E929" s="50" t="n">
        <v>1.17</v>
      </c>
      <c r="F929" s="49" t="n">
        <v>3.3</v>
      </c>
      <c r="G929" s="50" t="n">
        <v>0.66</v>
      </c>
      <c r="H929" s="49" t="n">
        <v>3</v>
      </c>
      <c r="I929" s="50" t="n">
        <v>0.45</v>
      </c>
      <c r="J929" s="50" t="n">
        <v>3.54</v>
      </c>
      <c r="K929" s="50" t="inlineStr">
        <is>
          <t>Pass</t>
        </is>
      </c>
      <c r="L929" s="51" t="n"/>
      <c r="M929" s="51" t="n"/>
      <c r="N929" s="51" t="n"/>
    </row>
    <row r="930" ht="13.5" customHeight="1" s="38">
      <c r="A930" s="73" t="inlineStr">
        <is>
          <t>R_0927</t>
        </is>
      </c>
      <c r="B930" s="49" t="n">
        <v>3.8</v>
      </c>
      <c r="C930" s="50" t="n">
        <v>1.33</v>
      </c>
      <c r="D930" s="49" t="n">
        <v>4</v>
      </c>
      <c r="E930" s="50" t="n">
        <v>1.2</v>
      </c>
      <c r="F930" s="49" t="n">
        <v>3.8</v>
      </c>
      <c r="G930" s="50" t="n">
        <v>0.76</v>
      </c>
      <c r="H930" s="49" t="n">
        <v>3.3</v>
      </c>
      <c r="I930" s="50" t="n">
        <v>0.495</v>
      </c>
      <c r="J930" s="50" t="n">
        <v>3.79</v>
      </c>
      <c r="K930" s="50" t="inlineStr">
        <is>
          <t>Pass</t>
        </is>
      </c>
      <c r="L930" s="51" t="n"/>
      <c r="M930" s="51" t="n"/>
      <c r="N930" s="51" t="n"/>
    </row>
    <row r="931" ht="13.5" customHeight="1" s="38">
      <c r="A931" s="73" t="inlineStr">
        <is>
          <t>R_0928</t>
        </is>
      </c>
      <c r="B931" s="49" t="n">
        <v>3.5</v>
      </c>
      <c r="C931" s="50" t="n">
        <v>1.225</v>
      </c>
      <c r="D931" s="49" t="n">
        <v>3.4</v>
      </c>
      <c r="E931" s="50" t="n">
        <v>1.02</v>
      </c>
      <c r="F931" s="49" t="n">
        <v>3.6</v>
      </c>
      <c r="G931" s="50" t="n">
        <v>0.72</v>
      </c>
      <c r="H931" s="49" t="n">
        <v>3.8</v>
      </c>
      <c r="I931" s="50" t="n">
        <v>0.57</v>
      </c>
      <c r="J931" s="50" t="n">
        <v>3.53</v>
      </c>
      <c r="K931" s="50" t="inlineStr">
        <is>
          <t>Pass</t>
        </is>
      </c>
      <c r="L931" s="51" t="n"/>
      <c r="M931" s="51" t="n"/>
      <c r="N931" s="51" t="n"/>
    </row>
    <row r="932" ht="13.5" customHeight="1" s="38">
      <c r="A932" s="73" t="inlineStr">
        <is>
          <t>R_0929</t>
        </is>
      </c>
      <c r="B932" s="49" t="n">
        <v>3.5</v>
      </c>
      <c r="C932" s="50" t="n">
        <v>1.225</v>
      </c>
      <c r="D932" s="49" t="n">
        <v>4.1</v>
      </c>
      <c r="E932" s="50" t="n">
        <v>1.23</v>
      </c>
      <c r="F932" s="49" t="n">
        <v>3.3</v>
      </c>
      <c r="G932" s="50" t="n">
        <v>0.66</v>
      </c>
      <c r="H932" s="49" t="n">
        <v>3</v>
      </c>
      <c r="I932" s="50" t="n">
        <v>0.45</v>
      </c>
      <c r="J932" s="50" t="n">
        <v>3.57</v>
      </c>
      <c r="K932" s="50" t="inlineStr">
        <is>
          <t>Pass</t>
        </is>
      </c>
      <c r="L932" s="51" t="n"/>
      <c r="M932" s="51" t="n"/>
      <c r="N932" s="51" t="n"/>
    </row>
    <row r="933" ht="13.5" customHeight="1" s="38">
      <c r="A933" s="73" t="inlineStr">
        <is>
          <t>R_0930</t>
        </is>
      </c>
      <c r="B933" s="49" t="n">
        <v>3.2</v>
      </c>
      <c r="C933" s="50" t="n">
        <v>1.12</v>
      </c>
      <c r="D933" s="49" t="n">
        <v>3.8</v>
      </c>
      <c r="E933" s="50" t="n">
        <v>1.14</v>
      </c>
      <c r="F933" s="49" t="n">
        <v>3.2</v>
      </c>
      <c r="G933" s="50" t="n">
        <v>0.64</v>
      </c>
      <c r="H933" s="49" t="n">
        <v>2.8</v>
      </c>
      <c r="I933" s="50" t="n">
        <v>0.42</v>
      </c>
      <c r="J933" s="50" t="n">
        <v>3.32</v>
      </c>
      <c r="K933" s="50" t="inlineStr">
        <is>
          <t>Fail</t>
        </is>
      </c>
      <c r="L933" s="51" t="n"/>
      <c r="M933" s="51" t="n"/>
      <c r="N933" s="51" t="n"/>
    </row>
    <row r="934" ht="13.5" customHeight="1" s="38">
      <c r="A934" s="73" t="inlineStr">
        <is>
          <t>R_0931</t>
        </is>
      </c>
      <c r="B934" s="49" t="n">
        <v>3.3</v>
      </c>
      <c r="C934" s="50" t="n">
        <v>1.155</v>
      </c>
      <c r="D934" s="49" t="n">
        <v>3</v>
      </c>
      <c r="E934" s="50" t="n">
        <v>0.9</v>
      </c>
      <c r="F934" s="49" t="n">
        <v>3.5</v>
      </c>
      <c r="G934" s="50" t="n">
        <v>0.7</v>
      </c>
      <c r="H934" s="49" t="n">
        <v>3.3</v>
      </c>
      <c r="I934" s="50" t="n">
        <v>0.495</v>
      </c>
      <c r="J934" s="50" t="n">
        <v>3.25</v>
      </c>
      <c r="K934" s="50" t="inlineStr">
        <is>
          <t>Fail</t>
        </is>
      </c>
      <c r="L934" s="51" t="n"/>
      <c r="M934" s="51" t="n"/>
      <c r="N934" s="51" t="n"/>
    </row>
    <row r="935" ht="13.5" customHeight="1" s="38">
      <c r="A935" s="73" t="inlineStr">
        <is>
          <t>R_0932</t>
        </is>
      </c>
      <c r="B935" s="49" t="n">
        <v>3</v>
      </c>
      <c r="C935" s="50" t="n">
        <v>1.05</v>
      </c>
      <c r="D935" s="49" t="n">
        <v>3.7</v>
      </c>
      <c r="E935" s="50" t="n">
        <v>1.11</v>
      </c>
      <c r="F935" s="49" t="n">
        <v>3.5</v>
      </c>
      <c r="G935" s="50" t="n">
        <v>0.7</v>
      </c>
      <c r="H935" s="49" t="n">
        <v>4.1</v>
      </c>
      <c r="I935" s="50" t="n">
        <v>0.615</v>
      </c>
      <c r="J935" s="50" t="n">
        <v>3.48</v>
      </c>
      <c r="K935" s="50" t="inlineStr">
        <is>
          <t>Fail</t>
        </is>
      </c>
      <c r="L935" s="51" t="n"/>
      <c r="M935" s="51" t="n"/>
      <c r="N935" s="51" t="n"/>
    </row>
    <row r="936" ht="13.5" customHeight="1" s="38">
      <c r="A936" s="73" t="inlineStr">
        <is>
          <t>R_0933</t>
        </is>
      </c>
      <c r="B936" s="49" t="n">
        <v>3.5</v>
      </c>
      <c r="C936" s="50" t="n">
        <v>1.225</v>
      </c>
      <c r="D936" s="49" t="n">
        <v>2.9</v>
      </c>
      <c r="E936" s="50" t="n">
        <v>0.87</v>
      </c>
      <c r="F936" s="49" t="n">
        <v>3.5</v>
      </c>
      <c r="G936" s="50" t="n">
        <v>0.7</v>
      </c>
      <c r="H936" s="49" t="n">
        <v>3.5</v>
      </c>
      <c r="I936" s="50" t="n">
        <v>0.525</v>
      </c>
      <c r="J936" s="50" t="n">
        <v>3.32</v>
      </c>
      <c r="K936" s="50" t="inlineStr">
        <is>
          <t>Fail</t>
        </is>
      </c>
      <c r="L936" s="51" t="n"/>
      <c r="M936" s="51" t="n"/>
      <c r="N936" s="51" t="n"/>
    </row>
    <row r="937" ht="13.5" customHeight="1" s="38">
      <c r="A937" s="73" t="inlineStr">
        <is>
          <t>R_0934</t>
        </is>
      </c>
      <c r="B937" s="49" t="n">
        <v>3.2</v>
      </c>
      <c r="C937" s="50" t="n">
        <v>1.12</v>
      </c>
      <c r="D937" s="49" t="n">
        <v>3.6</v>
      </c>
      <c r="E937" s="50" t="n">
        <v>1.08</v>
      </c>
      <c r="F937" s="49" t="n">
        <v>3.5</v>
      </c>
      <c r="G937" s="50" t="n">
        <v>0.7</v>
      </c>
      <c r="H937" s="49" t="n">
        <v>4.3</v>
      </c>
      <c r="I937" s="50" t="n">
        <v>0.645</v>
      </c>
      <c r="J937" s="50" t="n">
        <v>3.55</v>
      </c>
      <c r="K937" s="50" t="inlineStr">
        <is>
          <t>Pass</t>
        </is>
      </c>
      <c r="L937" s="51" t="n"/>
      <c r="M937" s="51" t="n"/>
      <c r="N937" s="51" t="n"/>
    </row>
    <row r="938" ht="13.5" customHeight="1" s="38">
      <c r="A938" s="73" t="inlineStr">
        <is>
          <t>R_0935</t>
        </is>
      </c>
      <c r="B938" s="49" t="n">
        <v>3.9</v>
      </c>
      <c r="C938" s="50" t="n">
        <v>1.365</v>
      </c>
      <c r="D938" s="49" t="n">
        <v>3.3</v>
      </c>
      <c r="E938" s="50" t="n">
        <v>0.99</v>
      </c>
      <c r="F938" s="49" t="n">
        <v>3.4</v>
      </c>
      <c r="G938" s="50" t="n">
        <v>0.68</v>
      </c>
      <c r="H938" s="49" t="n">
        <v>3</v>
      </c>
      <c r="I938" s="50" t="n">
        <v>0.45</v>
      </c>
      <c r="J938" s="50" t="n">
        <v>3.49</v>
      </c>
      <c r="K938" s="50" t="inlineStr">
        <is>
          <t>Fail</t>
        </is>
      </c>
      <c r="L938" s="51" t="n"/>
      <c r="M938" s="51" t="n"/>
      <c r="N938" s="51" t="n"/>
    </row>
    <row r="939" ht="13.5" customHeight="1" s="38">
      <c r="A939" s="73" t="inlineStr">
        <is>
          <t>R_0936</t>
        </is>
      </c>
      <c r="B939" s="49" t="n">
        <v>3.4</v>
      </c>
      <c r="C939" s="50" t="n">
        <v>1.19</v>
      </c>
      <c r="D939" s="49" t="n">
        <v>3</v>
      </c>
      <c r="E939" s="50" t="n">
        <v>0.9</v>
      </c>
      <c r="F939" s="49" t="n">
        <v>3.5</v>
      </c>
      <c r="G939" s="50" t="n">
        <v>0.7</v>
      </c>
      <c r="H939" s="49" t="n">
        <v>3.5</v>
      </c>
      <c r="I939" s="50" t="n">
        <v>0.525</v>
      </c>
      <c r="J939" s="50" t="n">
        <v>3.31</v>
      </c>
      <c r="K939" s="50" t="inlineStr">
        <is>
          <t>Fail</t>
        </is>
      </c>
      <c r="L939" s="51" t="n"/>
      <c r="M939" s="51" t="n"/>
      <c r="N939" s="51" t="n"/>
    </row>
    <row r="940" ht="13.5" customHeight="1" s="38">
      <c r="A940" s="73" t="inlineStr">
        <is>
          <t>R_0937</t>
        </is>
      </c>
      <c r="B940" s="49" t="n">
        <v>3.2</v>
      </c>
      <c r="C940" s="50" t="n">
        <v>1.12</v>
      </c>
      <c r="D940" s="49" t="n">
        <v>3.7</v>
      </c>
      <c r="E940" s="50" t="n">
        <v>1.11</v>
      </c>
      <c r="F940" s="49" t="n">
        <v>3.7</v>
      </c>
      <c r="G940" s="50" t="n">
        <v>0.74</v>
      </c>
      <c r="H940" s="49" t="n">
        <v>3.2</v>
      </c>
      <c r="I940" s="50" t="n">
        <v>0.48</v>
      </c>
      <c r="J940" s="50" t="n">
        <v>3.45</v>
      </c>
      <c r="K940" s="50" t="inlineStr">
        <is>
          <t>Fail</t>
        </is>
      </c>
      <c r="L940" s="51" t="n"/>
      <c r="M940" s="51" t="n"/>
      <c r="N940" s="51" t="n"/>
    </row>
    <row r="941" ht="13.5" customHeight="1" s="38">
      <c r="A941" s="73" t="inlineStr">
        <is>
          <t>R_0938</t>
        </is>
      </c>
      <c r="B941" s="49" t="n">
        <v>3.5</v>
      </c>
      <c r="C941" s="50" t="n">
        <v>1.225</v>
      </c>
      <c r="D941" s="49" t="n">
        <v>3.8</v>
      </c>
      <c r="E941" s="50" t="n">
        <v>1.14</v>
      </c>
      <c r="F941" s="49" t="n">
        <v>3.5</v>
      </c>
      <c r="G941" s="50" t="n">
        <v>0.7</v>
      </c>
      <c r="H941" s="49" t="n">
        <v>3.3</v>
      </c>
      <c r="I941" s="50" t="n">
        <v>0.495</v>
      </c>
      <c r="J941" s="50" t="n">
        <v>3.56</v>
      </c>
      <c r="K941" s="50" t="inlineStr">
        <is>
          <t>Pass</t>
        </is>
      </c>
      <c r="L941" s="51" t="n"/>
      <c r="M941" s="51" t="n"/>
      <c r="N941" s="51" t="n"/>
    </row>
    <row r="942" ht="13.5" customHeight="1" s="38">
      <c r="A942" s="73" t="inlineStr">
        <is>
          <t>R_0939</t>
        </is>
      </c>
      <c r="B942" s="49" t="n">
        <v>3.6</v>
      </c>
      <c r="C942" s="50" t="n">
        <v>1.26</v>
      </c>
      <c r="D942" s="49" t="n">
        <v>4</v>
      </c>
      <c r="E942" s="50" t="n">
        <v>1.2</v>
      </c>
      <c r="F942" s="49" t="n">
        <v>3.3</v>
      </c>
      <c r="G942" s="50" t="n">
        <v>0.66</v>
      </c>
      <c r="H942" s="49" t="n">
        <v>3</v>
      </c>
      <c r="I942" s="50" t="n">
        <v>0.45</v>
      </c>
      <c r="J942" s="50" t="n">
        <v>3.57</v>
      </c>
      <c r="K942" s="50" t="inlineStr">
        <is>
          <t>Pass</t>
        </is>
      </c>
      <c r="L942" s="51" t="n"/>
      <c r="M942" s="51" t="n"/>
      <c r="N942" s="51" t="n"/>
    </row>
    <row r="943" ht="13.5" customHeight="1" s="38">
      <c r="A943" s="73" t="inlineStr">
        <is>
          <t>R_0940</t>
        </is>
      </c>
      <c r="B943" s="49" t="n">
        <v>3.5</v>
      </c>
      <c r="C943" s="50" t="n">
        <v>1.225</v>
      </c>
      <c r="D943" s="49" t="n">
        <v>3</v>
      </c>
      <c r="E943" s="50" t="n">
        <v>0.9</v>
      </c>
      <c r="F943" s="49" t="n">
        <v>3.6</v>
      </c>
      <c r="G943" s="50" t="n">
        <v>0.72</v>
      </c>
      <c r="H943" s="49" t="n">
        <v>3.8</v>
      </c>
      <c r="I943" s="50" t="n">
        <v>0.57</v>
      </c>
      <c r="J943" s="50" t="n">
        <v>3.41</v>
      </c>
      <c r="K943" s="50" t="inlineStr">
        <is>
          <t>Fail</t>
        </is>
      </c>
      <c r="L943" s="51" t="n"/>
      <c r="M943" s="51" t="n"/>
      <c r="N943" s="51" t="n"/>
    </row>
    <row r="944" ht="13.5" customHeight="1" s="38">
      <c r="A944" s="73" t="inlineStr">
        <is>
          <t>R_0941</t>
        </is>
      </c>
      <c r="B944" s="49" t="n">
        <v>3.4</v>
      </c>
      <c r="C944" s="50" t="n">
        <v>1.19</v>
      </c>
      <c r="D944" s="49" t="n">
        <v>2.9</v>
      </c>
      <c r="E944" s="50" t="n">
        <v>0.87</v>
      </c>
      <c r="F944" s="49" t="n">
        <v>3.5</v>
      </c>
      <c r="G944" s="50" t="n">
        <v>0.7</v>
      </c>
      <c r="H944" s="49" t="n">
        <v>3.5</v>
      </c>
      <c r="I944" s="50" t="n">
        <v>0.525</v>
      </c>
      <c r="J944" s="50" t="n">
        <v>3.28</v>
      </c>
      <c r="K944" s="50" t="inlineStr">
        <is>
          <t>Fail</t>
        </is>
      </c>
      <c r="L944" s="51" t="n"/>
      <c r="M944" s="51" t="n"/>
      <c r="N944" s="51" t="n"/>
    </row>
    <row r="945" ht="13.5" customHeight="1" s="38">
      <c r="A945" s="73" t="inlineStr">
        <is>
          <t>R_0942</t>
        </is>
      </c>
      <c r="B945" s="49" t="n">
        <v>3.7</v>
      </c>
      <c r="C945" s="50" t="n">
        <v>1.295</v>
      </c>
      <c r="D945" s="49" t="n">
        <v>3.9</v>
      </c>
      <c r="E945" s="50" t="n">
        <v>1.17</v>
      </c>
      <c r="F945" s="49" t="n">
        <v>3.3</v>
      </c>
      <c r="G945" s="50" t="n">
        <v>0.66</v>
      </c>
      <c r="H945" s="49" t="n">
        <v>3</v>
      </c>
      <c r="I945" s="50" t="n">
        <v>0.45</v>
      </c>
      <c r="J945" s="50" t="n">
        <v>3.58</v>
      </c>
      <c r="K945" s="50" t="inlineStr">
        <is>
          <t>Pass</t>
        </is>
      </c>
      <c r="L945" s="51" t="n"/>
      <c r="M945" s="51" t="n"/>
      <c r="N945" s="51" t="n"/>
    </row>
    <row r="946" ht="13.5" customHeight="1" s="38">
      <c r="A946" s="73" t="inlineStr">
        <is>
          <t>R_0943</t>
        </is>
      </c>
      <c r="B946" s="49" t="inlineStr">
        <is>
          <t>3.3 | 4.1</t>
        </is>
      </c>
      <c r="C946" s="50" t="inlineStr">
        <is>
          <t>1.155 | 1.435</t>
        </is>
      </c>
      <c r="D946" s="49" t="inlineStr">
        <is>
          <t>2.9 | 3.9</t>
        </is>
      </c>
      <c r="E946" s="50" t="inlineStr">
        <is>
          <t>0.87 | 1.17</t>
        </is>
      </c>
      <c r="F946" s="49" t="inlineStr">
        <is>
          <t>3.5 | 4.0</t>
        </is>
      </c>
      <c r="G946" s="50" t="inlineStr">
        <is>
          <t>0.7 | 0.8</t>
        </is>
      </c>
      <c r="H946" s="49" t="inlineStr">
        <is>
          <t>3.3 | 4.2</t>
        </is>
      </c>
      <c r="I946" s="50" t="inlineStr">
        <is>
          <t>0.495 | 0.63</t>
        </is>
      </c>
      <c r="J946" s="50" t="inlineStr">
        <is>
          <t>3.22 | 4.035</t>
        </is>
      </c>
      <c r="K946" s="50" t="inlineStr">
        <is>
          <t>Fail | Pass</t>
        </is>
      </c>
      <c r="L946" s="51" t="n"/>
      <c r="M946" s="51" t="n"/>
      <c r="N946" s="51" t="n"/>
    </row>
    <row r="947" ht="13.5" customHeight="1" s="38">
      <c r="A947" s="73" t="inlineStr">
        <is>
          <t>R_0944</t>
        </is>
      </c>
      <c r="B947" s="49" t="n">
        <v>3.5</v>
      </c>
      <c r="C947" s="50" t="n">
        <v>1.225</v>
      </c>
      <c r="D947" s="49" t="n">
        <v>3.3</v>
      </c>
      <c r="E947" s="50" t="n">
        <v>0.99</v>
      </c>
      <c r="F947" s="49" t="n">
        <v>3.5</v>
      </c>
      <c r="G947" s="50" t="n">
        <v>0.7</v>
      </c>
      <c r="H947" s="49" t="n">
        <v>3</v>
      </c>
      <c r="I947" s="50" t="n">
        <v>0.45</v>
      </c>
      <c r="J947" s="50" t="n">
        <v>3.37</v>
      </c>
      <c r="K947" s="50" t="inlineStr">
        <is>
          <t>Fail</t>
        </is>
      </c>
      <c r="L947" s="51" t="n"/>
      <c r="M947" s="51" t="n"/>
      <c r="N947" s="51" t="n"/>
    </row>
    <row r="948" ht="13.5" customHeight="1" s="38">
      <c r="A948" s="73" t="inlineStr">
        <is>
          <t>R_0945</t>
        </is>
      </c>
      <c r="B948" s="49" t="n">
        <v>3.8</v>
      </c>
      <c r="C948" s="50" t="n">
        <v>1.33</v>
      </c>
      <c r="D948" s="49" t="n">
        <v>3.5</v>
      </c>
      <c r="E948" s="50" t="n">
        <v>1.05</v>
      </c>
      <c r="F948" s="49" t="n">
        <v>3.4</v>
      </c>
      <c r="G948" s="50" t="n">
        <v>0.68</v>
      </c>
      <c r="H948" s="49" t="n">
        <v>4.7</v>
      </c>
      <c r="I948" s="50" t="n">
        <v>0.705</v>
      </c>
      <c r="J948" s="50" t="n">
        <v>3.77</v>
      </c>
      <c r="K948" s="50" t="inlineStr">
        <is>
          <t>Pass</t>
        </is>
      </c>
      <c r="L948" s="51" t="n"/>
      <c r="M948" s="51" t="n"/>
      <c r="N948" s="51" t="n"/>
    </row>
    <row r="949" ht="13.5" customHeight="1" s="38">
      <c r="A949" s="73" t="inlineStr">
        <is>
          <t>R_0946</t>
        </is>
      </c>
      <c r="B949" s="49" t="n">
        <v>3.8</v>
      </c>
      <c r="C949" s="50" t="n">
        <v>1.33</v>
      </c>
      <c r="D949" s="49" t="n">
        <v>3.2</v>
      </c>
      <c r="E949" s="50" t="n">
        <v>0.96</v>
      </c>
      <c r="F949" s="49" t="n">
        <v>3.6</v>
      </c>
      <c r="G949" s="50" t="n">
        <v>0.72</v>
      </c>
      <c r="H949" s="49" t="n">
        <v>3.8</v>
      </c>
      <c r="I949" s="50" t="n">
        <v>0.57</v>
      </c>
      <c r="J949" s="50" t="n">
        <v>3.58</v>
      </c>
      <c r="K949" s="50" t="inlineStr">
        <is>
          <t>Pass</t>
        </is>
      </c>
      <c r="L949" s="51" t="n"/>
      <c r="M949" s="51" t="n"/>
      <c r="N949" s="51" t="n"/>
    </row>
    <row r="950" ht="13.5" customHeight="1" s="38">
      <c r="A950" s="73" t="inlineStr">
        <is>
          <t>R_0947</t>
        </is>
      </c>
      <c r="B950" s="49" t="n">
        <v>3.5</v>
      </c>
      <c r="C950" s="50" t="n">
        <v>1.225</v>
      </c>
      <c r="D950" s="49" t="n">
        <v>3.9</v>
      </c>
      <c r="E950" s="50" t="n">
        <v>1.17</v>
      </c>
      <c r="F950" s="49" t="n">
        <v>3.3</v>
      </c>
      <c r="G950" s="50" t="n">
        <v>0.66</v>
      </c>
      <c r="H950" s="49" t="n">
        <v>3</v>
      </c>
      <c r="I950" s="50" t="n">
        <v>0.45</v>
      </c>
      <c r="J950" s="50" t="n">
        <v>3.51</v>
      </c>
      <c r="K950" s="50" t="inlineStr">
        <is>
          <t>Pass</t>
        </is>
      </c>
      <c r="L950" s="51" t="n"/>
      <c r="M950" s="51" t="n"/>
      <c r="N950" s="51" t="n"/>
    </row>
    <row r="951" ht="13.5" customHeight="1" s="38">
      <c r="A951" s="73" t="inlineStr">
        <is>
          <t>R_0948</t>
        </is>
      </c>
      <c r="B951" s="49" t="n">
        <v>3.8</v>
      </c>
      <c r="C951" s="50" t="n">
        <v>1.33</v>
      </c>
      <c r="D951" s="49" t="n">
        <v>3.8</v>
      </c>
      <c r="E951" s="50" t="n">
        <v>1.14</v>
      </c>
      <c r="F951" s="49" t="n">
        <v>3.8</v>
      </c>
      <c r="G951" s="50" t="n">
        <v>0.76</v>
      </c>
      <c r="H951" s="49" t="n">
        <v>3.3</v>
      </c>
      <c r="I951" s="50" t="n">
        <v>0.495</v>
      </c>
      <c r="J951" s="50" t="n">
        <v>3.72</v>
      </c>
      <c r="K951" s="50" t="inlineStr">
        <is>
          <t>Pass</t>
        </is>
      </c>
      <c r="L951" s="51" t="n"/>
      <c r="M951" s="51" t="n"/>
      <c r="N951" s="51" t="n"/>
    </row>
    <row r="952" ht="13.5" customHeight="1" s="38">
      <c r="A952" s="73" t="inlineStr">
        <is>
          <t>R_0949</t>
        </is>
      </c>
      <c r="B952" s="49" t="n">
        <v>3.3</v>
      </c>
      <c r="C952" s="50" t="n">
        <v>1.155</v>
      </c>
      <c r="D952" s="49" t="n">
        <v>3.6</v>
      </c>
      <c r="E952" s="50" t="n">
        <v>1.08</v>
      </c>
      <c r="F952" s="49" t="n">
        <v>3.3</v>
      </c>
      <c r="G952" s="50" t="n">
        <v>0.66</v>
      </c>
      <c r="H952" s="49" t="n">
        <v>3</v>
      </c>
      <c r="I952" s="50" t="n">
        <v>0.45</v>
      </c>
      <c r="J952" s="50" t="n">
        <v>3.35</v>
      </c>
      <c r="K952" s="50" t="inlineStr">
        <is>
          <t>Fail</t>
        </is>
      </c>
      <c r="L952" s="51" t="n"/>
      <c r="M952" s="51" t="n"/>
      <c r="N952" s="51" t="n"/>
    </row>
    <row r="953" ht="13.5" customHeight="1" s="38">
      <c r="A953" s="73" t="inlineStr">
        <is>
          <t>R_0950</t>
        </is>
      </c>
      <c r="B953" s="49" t="n">
        <v>3.5</v>
      </c>
      <c r="C953" s="50" t="n">
        <v>1.225</v>
      </c>
      <c r="D953" s="49" t="n">
        <v>3.1</v>
      </c>
      <c r="E953" s="50" t="n">
        <v>0.93</v>
      </c>
      <c r="F953" s="49" t="n">
        <v>3.5</v>
      </c>
      <c r="G953" s="50" t="n">
        <v>0.7</v>
      </c>
      <c r="H953" s="49" t="n">
        <v>3</v>
      </c>
      <c r="I953" s="50" t="n">
        <v>0.45</v>
      </c>
      <c r="J953" s="50" t="n">
        <v>3.31</v>
      </c>
      <c r="K953" s="50" t="inlineStr">
        <is>
          <t>Fail</t>
        </is>
      </c>
      <c r="L953" s="51" t="n"/>
      <c r="M953" s="51" t="n"/>
      <c r="N953" s="51" t="n"/>
    </row>
    <row r="954" ht="13.5" customHeight="1" s="38">
      <c r="A954" s="73" t="inlineStr">
        <is>
          <t>R_0951</t>
        </is>
      </c>
      <c r="B954" s="49" t="n">
        <v>3.5</v>
      </c>
      <c r="C954" s="50" t="n">
        <v>1.225</v>
      </c>
      <c r="D954" s="49" t="n">
        <v>3.3</v>
      </c>
      <c r="E954" s="50" t="n">
        <v>0.99</v>
      </c>
      <c r="F954" s="49" t="n">
        <v>3.5</v>
      </c>
      <c r="G954" s="50" t="n">
        <v>0.7</v>
      </c>
      <c r="H954" s="49" t="n">
        <v>3</v>
      </c>
      <c r="I954" s="50" t="n">
        <v>0.45</v>
      </c>
      <c r="J954" s="50" t="n">
        <v>3.37</v>
      </c>
      <c r="K954" s="50" t="inlineStr">
        <is>
          <t>Fail</t>
        </is>
      </c>
      <c r="L954" s="51" t="n"/>
      <c r="M954" s="51" t="n"/>
      <c r="N954" s="51" t="n"/>
    </row>
    <row r="955" ht="13.5" customHeight="1" s="38">
      <c r="A955" s="73" t="inlineStr">
        <is>
          <t>R_0952</t>
        </is>
      </c>
      <c r="B955" s="49" t="n">
        <v>3.8</v>
      </c>
      <c r="C955" s="50" t="n">
        <v>1.33</v>
      </c>
      <c r="D955" s="49" t="n">
        <v>3.2</v>
      </c>
      <c r="E955" s="50" t="n">
        <v>0.96</v>
      </c>
      <c r="F955" s="49" t="n">
        <v>3.6</v>
      </c>
      <c r="G955" s="50" t="n">
        <v>0.72</v>
      </c>
      <c r="H955" s="49" t="n">
        <v>3.8</v>
      </c>
      <c r="I955" s="50" t="n">
        <v>0.57</v>
      </c>
      <c r="J955" s="50" t="n">
        <v>3.58</v>
      </c>
      <c r="K955" s="50" t="inlineStr">
        <is>
          <t>Pass</t>
        </is>
      </c>
      <c r="L955" s="51" t="n"/>
      <c r="M955" s="51" t="n"/>
      <c r="N955" s="51" t="n"/>
    </row>
    <row r="956" ht="13.5" customHeight="1" s="38">
      <c r="A956" s="73" t="inlineStr">
        <is>
          <t>R_0953</t>
        </is>
      </c>
      <c r="B956" s="49" t="n">
        <v>3.5</v>
      </c>
      <c r="C956" s="50" t="n">
        <v>1.225</v>
      </c>
      <c r="D956" s="49" t="n">
        <v>3.3</v>
      </c>
      <c r="E956" s="50" t="n">
        <v>0.99</v>
      </c>
      <c r="F956" s="49" t="n">
        <v>3.5</v>
      </c>
      <c r="G956" s="50" t="n">
        <v>0.7</v>
      </c>
      <c r="H956" s="49" t="n">
        <v>3</v>
      </c>
      <c r="I956" s="50" t="n">
        <v>0.45</v>
      </c>
      <c r="J956" s="50" t="n">
        <v>3.37</v>
      </c>
      <c r="K956" s="50" t="inlineStr">
        <is>
          <t>Fail</t>
        </is>
      </c>
      <c r="L956" s="51" t="n"/>
      <c r="M956" s="51" t="n"/>
      <c r="N956" s="51" t="n"/>
    </row>
    <row r="957" ht="13.5" customHeight="1" s="38">
      <c r="A957" s="73" t="inlineStr">
        <is>
          <t>R_0954</t>
        </is>
      </c>
      <c r="B957" s="49" t="n">
        <v>3.6</v>
      </c>
      <c r="C957" s="50" t="n">
        <v>1.26</v>
      </c>
      <c r="D957" s="49" t="n">
        <v>3.9</v>
      </c>
      <c r="E957" s="50" t="n">
        <v>1.17</v>
      </c>
      <c r="F957" s="49" t="n">
        <v>3.7</v>
      </c>
      <c r="G957" s="50" t="n">
        <v>0.74</v>
      </c>
      <c r="H957" s="49" t="n">
        <v>3.2</v>
      </c>
      <c r="I957" s="50" t="n">
        <v>0.48</v>
      </c>
      <c r="J957" s="50" t="n">
        <v>3.65</v>
      </c>
      <c r="K957" s="50" t="inlineStr">
        <is>
          <t>Pass</t>
        </is>
      </c>
      <c r="L957" s="51" t="n"/>
      <c r="M957" s="51" t="n"/>
      <c r="N957" s="51" t="n"/>
    </row>
    <row r="958" ht="13.5" customHeight="1" s="38">
      <c r="A958" s="73" t="inlineStr">
        <is>
          <t>R_0955</t>
        </is>
      </c>
      <c r="B958" s="49" t="n">
        <v>3.6</v>
      </c>
      <c r="C958" s="50" t="n">
        <v>1.26</v>
      </c>
      <c r="D958" s="49" t="n">
        <v>3.9</v>
      </c>
      <c r="E958" s="50" t="n">
        <v>1.17</v>
      </c>
      <c r="F958" s="49" t="n">
        <v>3.3</v>
      </c>
      <c r="G958" s="50" t="n">
        <v>0.66</v>
      </c>
      <c r="H958" s="49" t="n">
        <v>3</v>
      </c>
      <c r="I958" s="50" t="n">
        <v>0.45</v>
      </c>
      <c r="J958" s="50" t="n">
        <v>3.54</v>
      </c>
      <c r="K958" s="50" t="inlineStr">
        <is>
          <t>Pass</t>
        </is>
      </c>
      <c r="L958" s="51" t="n"/>
      <c r="M958" s="51" t="n"/>
      <c r="N958" s="51" t="n"/>
    </row>
    <row r="959" ht="13.5" customHeight="1" s="38">
      <c r="A959" s="73" t="inlineStr">
        <is>
          <t>R_0956</t>
        </is>
      </c>
      <c r="B959" s="49" t="n">
        <v>2.8</v>
      </c>
      <c r="C959" s="50" t="n">
        <v>0.98</v>
      </c>
      <c r="D959" s="49" t="n">
        <v>3.1</v>
      </c>
      <c r="E959" s="50" t="n">
        <v>0.93</v>
      </c>
      <c r="F959" s="49" t="n">
        <v>3.4</v>
      </c>
      <c r="G959" s="50" t="n">
        <v>0.68</v>
      </c>
      <c r="H959" s="49" t="n">
        <v>4.3</v>
      </c>
      <c r="I959" s="50" t="n">
        <v>0.645</v>
      </c>
      <c r="J959" s="50" t="n">
        <v>3.23</v>
      </c>
      <c r="K959" s="50" t="inlineStr">
        <is>
          <t>Fail</t>
        </is>
      </c>
      <c r="L959" s="51" t="n"/>
      <c r="M959" s="51" t="n"/>
      <c r="N959" s="51" t="n"/>
    </row>
    <row r="960" ht="13.5" customHeight="1" s="38">
      <c r="A960" s="73" t="inlineStr">
        <is>
          <t>R_0957</t>
        </is>
      </c>
      <c r="B960" s="49" t="n">
        <v>2.8</v>
      </c>
      <c r="C960" s="50" t="n">
        <v>0.98</v>
      </c>
      <c r="D960" s="49" t="n">
        <v>3.2</v>
      </c>
      <c r="E960" s="50" t="n">
        <v>0.96</v>
      </c>
      <c r="F960" s="49" t="n">
        <v>3.6</v>
      </c>
      <c r="G960" s="50" t="n">
        <v>0.72</v>
      </c>
      <c r="H960" s="49" t="n">
        <v>3.9</v>
      </c>
      <c r="I960" s="50" t="n">
        <v>0.585</v>
      </c>
      <c r="J960" s="50" t="n">
        <v>3.25</v>
      </c>
      <c r="K960" s="50" t="inlineStr">
        <is>
          <t>Fail</t>
        </is>
      </c>
      <c r="L960" s="51" t="n"/>
      <c r="M960" s="51" t="n"/>
      <c r="N960" s="51" t="n"/>
    </row>
    <row r="961" ht="13.5" customHeight="1" s="38">
      <c r="A961" s="73" t="inlineStr">
        <is>
          <t>R_0958</t>
        </is>
      </c>
      <c r="B961" s="49" t="n">
        <v>3.6</v>
      </c>
      <c r="C961" s="50" t="n">
        <v>1.26</v>
      </c>
      <c r="D961" s="49" t="n">
        <v>4</v>
      </c>
      <c r="E961" s="50" t="n">
        <v>1.2</v>
      </c>
      <c r="F961" s="49" t="n">
        <v>3.2</v>
      </c>
      <c r="G961" s="50" t="n">
        <v>0.64</v>
      </c>
      <c r="H961" s="49" t="n">
        <v>3</v>
      </c>
      <c r="I961" s="50" t="n">
        <v>0.45</v>
      </c>
      <c r="J961" s="50" t="n">
        <v>3.55</v>
      </c>
      <c r="K961" s="50" t="inlineStr">
        <is>
          <t>Pass</t>
        </is>
      </c>
      <c r="L961" s="51" t="n"/>
      <c r="M961" s="51" t="n"/>
      <c r="N961" s="51" t="n"/>
    </row>
    <row r="962" ht="13.5" customHeight="1" s="38">
      <c r="A962" s="73" t="inlineStr">
        <is>
          <t>R_0959</t>
        </is>
      </c>
      <c r="B962" s="49" t="n">
        <v>3.5</v>
      </c>
      <c r="C962" s="50" t="n">
        <v>1.225</v>
      </c>
      <c r="D962" s="49" t="n">
        <v>3.5</v>
      </c>
      <c r="E962" s="50" t="n">
        <v>1.05</v>
      </c>
      <c r="F962" s="49" t="n">
        <v>3.5</v>
      </c>
      <c r="G962" s="50" t="n">
        <v>0.7</v>
      </c>
      <c r="H962" s="49" t="n">
        <v>3</v>
      </c>
      <c r="I962" s="50" t="n">
        <v>0.45</v>
      </c>
      <c r="J962" s="50" t="n">
        <v>3.43</v>
      </c>
      <c r="K962" s="50" t="inlineStr">
        <is>
          <t>Fail</t>
        </is>
      </c>
      <c r="L962" s="51" t="n"/>
      <c r="M962" s="51" t="n"/>
      <c r="N962" s="51" t="n"/>
    </row>
    <row r="963" ht="13.5" customHeight="1" s="38">
      <c r="A963" s="73" t="inlineStr">
        <is>
          <t>R_0960</t>
        </is>
      </c>
      <c r="B963" s="49" t="n">
        <v>3.5</v>
      </c>
      <c r="C963" s="50" t="n">
        <v>1.225</v>
      </c>
      <c r="D963" s="49" t="n">
        <v>3.6</v>
      </c>
      <c r="E963" s="50" t="n">
        <v>1.08</v>
      </c>
      <c r="F963" s="49" t="n">
        <v>3.8</v>
      </c>
      <c r="G963" s="50" t="n">
        <v>0.76</v>
      </c>
      <c r="H963" s="49" t="n">
        <v>3.3</v>
      </c>
      <c r="I963" s="50" t="n">
        <v>0.495</v>
      </c>
      <c r="J963" s="50" t="n">
        <v>3.56</v>
      </c>
      <c r="K963" s="50" t="inlineStr">
        <is>
          <t>Pass</t>
        </is>
      </c>
      <c r="L963" s="51" t="n"/>
      <c r="M963" s="51" t="n"/>
      <c r="N963" s="51" t="n"/>
    </row>
    <row r="964" ht="13.5" customHeight="1" s="38">
      <c r="A964" s="73" t="inlineStr">
        <is>
          <t>R_0961</t>
        </is>
      </c>
      <c r="B964" s="49" t="n">
        <v>2.8</v>
      </c>
      <c r="C964" s="50" t="n">
        <v>0.98</v>
      </c>
      <c r="D964" s="49" t="n">
        <v>3.2</v>
      </c>
      <c r="E964" s="50" t="n">
        <v>0.96</v>
      </c>
      <c r="F964" s="49" t="n">
        <v>3.6</v>
      </c>
      <c r="G964" s="50" t="n">
        <v>0.72</v>
      </c>
      <c r="H964" s="49" t="n">
        <v>2.8</v>
      </c>
      <c r="I964" s="50" t="n">
        <v>0.42</v>
      </c>
      <c r="J964" s="50" t="n">
        <v>3.08</v>
      </c>
      <c r="K964" s="50" t="inlineStr">
        <is>
          <t>Fail</t>
        </is>
      </c>
      <c r="L964" s="51" t="n"/>
      <c r="M964" s="51" t="n"/>
      <c r="N964" s="51" t="n"/>
    </row>
    <row r="965" ht="13.5" customHeight="1" s="38">
      <c r="A965" s="73" t="inlineStr">
        <is>
          <t>R_0962</t>
        </is>
      </c>
      <c r="B965" s="49" t="n">
        <v>3.2</v>
      </c>
      <c r="C965" s="50" t="n">
        <v>1.12</v>
      </c>
      <c r="D965" s="49" t="n">
        <v>3.7</v>
      </c>
      <c r="E965" s="50" t="n">
        <v>1.11</v>
      </c>
      <c r="F965" s="49" t="n">
        <v>3.7</v>
      </c>
      <c r="G965" s="50" t="n">
        <v>0.74</v>
      </c>
      <c r="H965" s="49" t="n">
        <v>3.2</v>
      </c>
      <c r="I965" s="50" t="n">
        <v>0.48</v>
      </c>
      <c r="J965" s="50" t="n">
        <v>3.45</v>
      </c>
      <c r="K965" s="50" t="inlineStr">
        <is>
          <t>Fail</t>
        </is>
      </c>
      <c r="L965" s="51" t="n"/>
      <c r="M965" s="51" t="n"/>
      <c r="N965" s="51" t="n"/>
    </row>
    <row r="966" ht="13.5" customHeight="1" s="38">
      <c r="A966" s="73" t="inlineStr">
        <is>
          <t>R_0963</t>
        </is>
      </c>
      <c r="B966" s="49" t="inlineStr">
        <is>
          <t>3.5 | 3.9</t>
        </is>
      </c>
      <c r="C966" s="50" t="inlineStr">
        <is>
          <t>1.225 | 1.365</t>
        </is>
      </c>
      <c r="D966" s="49" t="inlineStr">
        <is>
          <t>2.9 | 3.9</t>
        </is>
      </c>
      <c r="E966" s="50" t="inlineStr">
        <is>
          <t>0.87 | 1.17</t>
        </is>
      </c>
      <c r="F966" s="49" t="inlineStr">
        <is>
          <t>3.6 | 3.8</t>
        </is>
      </c>
      <c r="G966" s="50" t="inlineStr">
        <is>
          <t>0.72 | 0.76</t>
        </is>
      </c>
      <c r="H966" s="49" t="inlineStr">
        <is>
          <t>3.8 | 4.2</t>
        </is>
      </c>
      <c r="I966" s="50" t="inlineStr">
        <is>
          <t>0.57 | 0.63</t>
        </is>
      </c>
      <c r="J966" s="50" t="inlineStr">
        <is>
          <t>3.39 | 3.925</t>
        </is>
      </c>
      <c r="K966" s="50" t="inlineStr">
        <is>
          <t>Fail | Pass</t>
        </is>
      </c>
      <c r="L966" s="51" t="n"/>
      <c r="M966" s="51" t="n"/>
      <c r="N966" s="51" t="n"/>
    </row>
    <row r="967" ht="13.5" customHeight="1" s="38">
      <c r="A967" s="73" t="inlineStr">
        <is>
          <t>R_0964</t>
        </is>
      </c>
      <c r="B967" s="49" t="n">
        <v>3.5</v>
      </c>
      <c r="C967" s="50" t="n">
        <v>1.225</v>
      </c>
      <c r="D967" s="49" t="n">
        <v>3.3</v>
      </c>
      <c r="E967" s="50" t="n">
        <v>0.99</v>
      </c>
      <c r="F967" s="49" t="n">
        <v>3.5</v>
      </c>
      <c r="G967" s="50" t="n">
        <v>0.7</v>
      </c>
      <c r="H967" s="49" t="n">
        <v>3.1</v>
      </c>
      <c r="I967" s="50" t="n">
        <v>0.465</v>
      </c>
      <c r="J967" s="50" t="n">
        <v>3.38</v>
      </c>
      <c r="K967" s="50" t="inlineStr">
        <is>
          <t>Fail</t>
        </is>
      </c>
      <c r="L967" s="51" t="n"/>
      <c r="M967" s="51" t="n"/>
      <c r="N967" s="51" t="n"/>
    </row>
    <row r="968" ht="13.5" customHeight="1" s="38">
      <c r="A968" s="73" t="inlineStr">
        <is>
          <t>R_0965</t>
        </is>
      </c>
      <c r="B968" s="49" t="n">
        <v>3.6</v>
      </c>
      <c r="C968" s="50" t="n">
        <v>1.26</v>
      </c>
      <c r="D968" s="49" t="n">
        <v>3.9</v>
      </c>
      <c r="E968" s="50" t="n">
        <v>1.17</v>
      </c>
      <c r="F968" s="49" t="n">
        <v>3.3</v>
      </c>
      <c r="G968" s="50" t="n">
        <v>0.66</v>
      </c>
      <c r="H968" s="49" t="n">
        <v>3</v>
      </c>
      <c r="I968" s="50" t="n">
        <v>0.45</v>
      </c>
      <c r="J968" s="50" t="n">
        <v>3.54</v>
      </c>
      <c r="K968" s="50" t="inlineStr">
        <is>
          <t>Pass</t>
        </is>
      </c>
      <c r="L968" s="51" t="n"/>
      <c r="M968" s="51" t="n"/>
      <c r="N968" s="51" t="n"/>
    </row>
    <row r="969" ht="13.5" customHeight="1" s="38">
      <c r="A969" s="73" t="inlineStr">
        <is>
          <t>R_0966</t>
        </is>
      </c>
      <c r="B969" s="49" t="n">
        <v>3</v>
      </c>
      <c r="C969" s="50" t="n">
        <v>1.05</v>
      </c>
      <c r="D969" s="49" t="n">
        <v>3.5</v>
      </c>
      <c r="E969" s="50" t="n">
        <v>1.05</v>
      </c>
      <c r="F969" s="49" t="n">
        <v>3.5</v>
      </c>
      <c r="G969" s="50" t="n">
        <v>0.7</v>
      </c>
      <c r="H969" s="49" t="n">
        <v>2.8</v>
      </c>
      <c r="I969" s="50" t="n">
        <v>0.42</v>
      </c>
      <c r="J969" s="50" t="n">
        <v>3.22</v>
      </c>
      <c r="K969" s="50" t="inlineStr">
        <is>
          <t>Fail</t>
        </is>
      </c>
      <c r="L969" s="51" t="n"/>
      <c r="M969" s="51" t="n"/>
      <c r="N969" s="51" t="n"/>
    </row>
    <row r="970" ht="13.5" customHeight="1" s="38">
      <c r="A970" s="73" t="inlineStr">
        <is>
          <t>R_0967</t>
        </is>
      </c>
      <c r="B970" s="49" t="n">
        <v>3</v>
      </c>
      <c r="C970" s="50" t="n">
        <v>1.05</v>
      </c>
      <c r="D970" s="49" t="n">
        <v>3.8</v>
      </c>
      <c r="E970" s="50" t="n">
        <v>1.14</v>
      </c>
      <c r="F970" s="49" t="n">
        <v>3.5</v>
      </c>
      <c r="G970" s="50" t="n">
        <v>0.7</v>
      </c>
      <c r="H970" s="49" t="n">
        <v>3.9</v>
      </c>
      <c r="I970" s="50" t="n">
        <v>0.585</v>
      </c>
      <c r="J970" s="50" t="n">
        <v>3.47</v>
      </c>
      <c r="K970" s="50" t="inlineStr">
        <is>
          <t>Fail</t>
        </is>
      </c>
      <c r="L970" s="51" t="n"/>
      <c r="M970" s="51" t="n"/>
      <c r="N970" s="51" t="n"/>
    </row>
    <row r="971" ht="13.5" customHeight="1" s="38">
      <c r="A971" s="73" t="inlineStr">
        <is>
          <t>R_0968</t>
        </is>
      </c>
      <c r="B971" s="49" t="n">
        <v>3.4</v>
      </c>
      <c r="C971" s="50" t="n">
        <v>1.19</v>
      </c>
      <c r="D971" s="49" t="n">
        <v>2.8</v>
      </c>
      <c r="E971" s="50" t="n">
        <v>0.84</v>
      </c>
      <c r="F971" s="49" t="n">
        <v>3.5</v>
      </c>
      <c r="G971" s="50" t="n">
        <v>0.7</v>
      </c>
      <c r="H971" s="49" t="n">
        <v>3.5</v>
      </c>
      <c r="I971" s="50" t="n">
        <v>0.525</v>
      </c>
      <c r="J971" s="50" t="n">
        <v>3.25</v>
      </c>
      <c r="K971" s="50" t="inlineStr">
        <is>
          <t>Fail</t>
        </is>
      </c>
      <c r="L971" s="51" t="n"/>
      <c r="M971" s="51" t="n"/>
      <c r="N971" s="51" t="n"/>
    </row>
    <row r="972" ht="13.5" customHeight="1" s="38">
      <c r="A972" s="73" t="inlineStr">
        <is>
          <t>R_0969</t>
        </is>
      </c>
      <c r="B972" s="49" t="n">
        <v>3</v>
      </c>
      <c r="C972" s="50" t="n">
        <v>1.05</v>
      </c>
      <c r="D972" s="49" t="n">
        <v>3.3</v>
      </c>
      <c r="E972" s="50" t="n">
        <v>0.99</v>
      </c>
      <c r="F972" s="49" t="n">
        <v>3.7</v>
      </c>
      <c r="G972" s="50" t="n">
        <v>0.74</v>
      </c>
      <c r="H972" s="49" t="n">
        <v>4</v>
      </c>
      <c r="I972" s="50" t="n">
        <v>0.6</v>
      </c>
      <c r="J972" s="50" t="n">
        <v>3.38</v>
      </c>
      <c r="K972" s="50" t="inlineStr">
        <is>
          <t>Fail</t>
        </is>
      </c>
      <c r="L972" s="51" t="n"/>
      <c r="M972" s="51" t="n"/>
      <c r="N972" s="51" t="n"/>
    </row>
    <row r="973" ht="13.5" customHeight="1" s="38">
      <c r="A973" s="73" t="inlineStr">
        <is>
          <t>R_0970</t>
        </is>
      </c>
      <c r="B973" s="49" t="n">
        <v>3.5</v>
      </c>
      <c r="C973" s="50" t="n">
        <v>1.225</v>
      </c>
      <c r="D973" s="49" t="n">
        <v>2.9</v>
      </c>
      <c r="E973" s="50" t="n">
        <v>0.87</v>
      </c>
      <c r="F973" s="49" t="n">
        <v>3.6</v>
      </c>
      <c r="G973" s="50" t="n">
        <v>0.72</v>
      </c>
      <c r="H973" s="49" t="n">
        <v>3.8</v>
      </c>
      <c r="I973" s="50" t="n">
        <v>0.57</v>
      </c>
      <c r="J973" s="50" t="n">
        <v>3.39</v>
      </c>
      <c r="K973" s="50" t="inlineStr">
        <is>
          <t>Fail</t>
        </is>
      </c>
      <c r="L973" s="51" t="n"/>
      <c r="M973" s="51" t="n"/>
      <c r="N973" s="51" t="n"/>
    </row>
    <row r="974" ht="13.5" customHeight="1" s="38">
      <c r="A974" s="73" t="inlineStr">
        <is>
          <t>R_0971</t>
        </is>
      </c>
      <c r="B974" s="49" t="n">
        <v>3.7</v>
      </c>
      <c r="C974" s="50" t="n">
        <v>1.295</v>
      </c>
      <c r="D974" s="49" t="n">
        <v>3.2</v>
      </c>
      <c r="E974" s="50" t="n">
        <v>0.96</v>
      </c>
      <c r="F974" s="49" t="n">
        <v>3.6</v>
      </c>
      <c r="G974" s="50" t="n">
        <v>0.72</v>
      </c>
      <c r="H974" s="49" t="n">
        <v>3.8</v>
      </c>
      <c r="I974" s="50" t="n">
        <v>0.57</v>
      </c>
      <c r="J974" s="50" t="n">
        <v>3.54</v>
      </c>
      <c r="K974" s="50" t="inlineStr">
        <is>
          <t>Pass</t>
        </is>
      </c>
      <c r="L974" s="51" t="n"/>
      <c r="M974" s="51" t="n"/>
      <c r="N974" s="51" t="n"/>
    </row>
    <row r="975" ht="13.5" customHeight="1" s="38">
      <c r="A975" s="73" t="inlineStr">
        <is>
          <t>R_0972</t>
        </is>
      </c>
      <c r="B975" s="49" t="n">
        <v>3.5</v>
      </c>
      <c r="C975" s="50" t="n">
        <v>1.225</v>
      </c>
      <c r="D975" s="49" t="n">
        <v>3.8</v>
      </c>
      <c r="E975" s="50" t="n">
        <v>1.14</v>
      </c>
      <c r="F975" s="49" t="n">
        <v>3.8</v>
      </c>
      <c r="G975" s="50" t="n">
        <v>0.76</v>
      </c>
      <c r="H975" s="49" t="n">
        <v>4.5</v>
      </c>
      <c r="I975" s="50" t="n">
        <v>0.675</v>
      </c>
      <c r="J975" s="50" t="n">
        <v>3.8</v>
      </c>
      <c r="K975" s="50" t="inlineStr">
        <is>
          <t>Pass</t>
        </is>
      </c>
      <c r="L975" s="51" t="n"/>
      <c r="M975" s="51" t="n"/>
      <c r="N975" s="51" t="n"/>
    </row>
    <row r="976" ht="13.5" customHeight="1" s="38">
      <c r="A976" s="73" t="inlineStr">
        <is>
          <t>R_0973</t>
        </is>
      </c>
      <c r="B976" s="49" t="n">
        <v>3.5</v>
      </c>
      <c r="C976" s="50" t="n">
        <v>1.225</v>
      </c>
      <c r="D976" s="49" t="n">
        <v>3.2</v>
      </c>
      <c r="E976" s="50" t="n">
        <v>0.96</v>
      </c>
      <c r="F976" s="49" t="n">
        <v>3.6</v>
      </c>
      <c r="G976" s="50" t="n">
        <v>0.72</v>
      </c>
      <c r="H976" s="49" t="n">
        <v>2.8</v>
      </c>
      <c r="I976" s="50" t="n">
        <v>0.42</v>
      </c>
      <c r="J976" s="50" t="n">
        <v>3.33</v>
      </c>
      <c r="K976" s="50" t="inlineStr">
        <is>
          <t>Fail</t>
        </is>
      </c>
      <c r="L976" s="51" t="n"/>
      <c r="M976" s="51" t="n"/>
      <c r="N976" s="51" t="n"/>
    </row>
    <row r="977" ht="13.5" customHeight="1" s="38">
      <c r="A977" s="73" t="inlineStr">
        <is>
          <t>R_0974</t>
        </is>
      </c>
      <c r="B977" s="49" t="n">
        <v>3.4</v>
      </c>
      <c r="C977" s="50" t="n">
        <v>1.19</v>
      </c>
      <c r="D977" s="49" t="n">
        <v>3.8</v>
      </c>
      <c r="E977" s="50" t="n">
        <v>1.14</v>
      </c>
      <c r="F977" s="49" t="n">
        <v>3.5</v>
      </c>
      <c r="G977" s="50" t="n">
        <v>0.7</v>
      </c>
      <c r="H977" s="49" t="n">
        <v>4.5</v>
      </c>
      <c r="I977" s="50" t="n">
        <v>0.675</v>
      </c>
      <c r="J977" s="50" t="n">
        <v>3.71</v>
      </c>
      <c r="K977" s="50" t="inlineStr">
        <is>
          <t>Pass</t>
        </is>
      </c>
      <c r="L977" s="51" t="n"/>
      <c r="M977" s="51" t="n"/>
      <c r="N977" s="51" t="n"/>
    </row>
    <row r="978" ht="13.5" customHeight="1" s="38">
      <c r="A978" s="73" t="inlineStr">
        <is>
          <t>R_0975</t>
        </is>
      </c>
      <c r="B978" s="49" t="n">
        <v>3.8</v>
      </c>
      <c r="C978" s="50" t="n">
        <v>1.33</v>
      </c>
      <c r="D978" s="49" t="n">
        <v>3.9</v>
      </c>
      <c r="E978" s="50" t="n">
        <v>1.17</v>
      </c>
      <c r="F978" s="49" t="n">
        <v>3.2</v>
      </c>
      <c r="G978" s="50" t="n">
        <v>0.64</v>
      </c>
      <c r="H978" s="49" t="n">
        <v>3</v>
      </c>
      <c r="I978" s="50" t="n">
        <v>0.45</v>
      </c>
      <c r="J978" s="50" t="n">
        <v>3.59</v>
      </c>
      <c r="K978" s="50" t="inlineStr">
        <is>
          <t>Pass</t>
        </is>
      </c>
      <c r="L978" s="51" t="n"/>
      <c r="M978" s="51" t="n"/>
      <c r="N978" s="51" t="n"/>
    </row>
    <row r="979" ht="13.5" customHeight="1" s="38">
      <c r="A979" s="73" t="inlineStr">
        <is>
          <t>R_0976</t>
        </is>
      </c>
      <c r="B979" s="49" t="n">
        <v>3.4</v>
      </c>
      <c r="C979" s="50" t="n">
        <v>1.19</v>
      </c>
      <c r="D979" s="49" t="n">
        <v>3.3</v>
      </c>
      <c r="E979" s="50" t="n">
        <v>0.99</v>
      </c>
      <c r="F979" s="49" t="n">
        <v>3.5</v>
      </c>
      <c r="G979" s="50" t="n">
        <v>0.7</v>
      </c>
      <c r="H979" s="49" t="n">
        <v>3</v>
      </c>
      <c r="I979" s="50" t="n">
        <v>0.45</v>
      </c>
      <c r="J979" s="50" t="n">
        <v>3.33</v>
      </c>
      <c r="K979" s="50" t="inlineStr">
        <is>
          <t>Fail</t>
        </is>
      </c>
      <c r="L979" s="51" t="n"/>
      <c r="M979" s="51" t="n"/>
      <c r="N979" s="51" t="n"/>
    </row>
    <row r="980" ht="13.5" customHeight="1" s="38">
      <c r="A980" s="73" t="inlineStr">
        <is>
          <t>R_0977</t>
        </is>
      </c>
      <c r="B980" s="49" t="n">
        <v>3.4</v>
      </c>
      <c r="C980" s="50" t="n">
        <v>1.19</v>
      </c>
      <c r="D980" s="49" t="n">
        <v>3.1</v>
      </c>
      <c r="E980" s="50" t="n">
        <v>0.93</v>
      </c>
      <c r="F980" s="49" t="n">
        <v>3.5</v>
      </c>
      <c r="G980" s="50" t="n">
        <v>0.7</v>
      </c>
      <c r="H980" s="49" t="n">
        <v>2.8</v>
      </c>
      <c r="I980" s="50" t="n">
        <v>0.42</v>
      </c>
      <c r="J980" s="50" t="n">
        <v>3.24</v>
      </c>
      <c r="K980" s="50" t="inlineStr">
        <is>
          <t>Fail</t>
        </is>
      </c>
      <c r="L980" s="51" t="n"/>
      <c r="M980" s="51" t="n"/>
      <c r="N980" s="51" t="n"/>
    </row>
    <row r="981" ht="13.5" customHeight="1" s="38">
      <c r="A981" s="73" t="inlineStr">
        <is>
          <t>R_0978</t>
        </is>
      </c>
      <c r="B981" s="49" t="n">
        <v>3.5</v>
      </c>
      <c r="C981" s="50" t="n">
        <v>1.225</v>
      </c>
      <c r="D981" s="49" t="n">
        <v>3.1</v>
      </c>
      <c r="E981" s="50" t="n">
        <v>0.93</v>
      </c>
      <c r="F981" s="49" t="n">
        <v>3.5</v>
      </c>
      <c r="G981" s="50" t="n">
        <v>0.7</v>
      </c>
      <c r="H981" s="49" t="n">
        <v>3.3</v>
      </c>
      <c r="I981" s="50" t="n">
        <v>0.495</v>
      </c>
      <c r="J981" s="50" t="n">
        <v>3.35</v>
      </c>
      <c r="K981" s="50" t="inlineStr">
        <is>
          <t>Fail</t>
        </is>
      </c>
      <c r="L981" s="51" t="n"/>
      <c r="M981" s="51" t="n"/>
      <c r="N981" s="51" t="n"/>
    </row>
    <row r="982" ht="13.5" customHeight="1" s="38">
      <c r="A982" s="73" t="inlineStr">
        <is>
          <t>R_0979</t>
        </is>
      </c>
      <c r="B982" s="49" t="n">
        <v>3.2</v>
      </c>
      <c r="C982" s="50" t="n">
        <v>1.12</v>
      </c>
      <c r="D982" s="49" t="n">
        <v>3.5</v>
      </c>
      <c r="E982" s="50" t="n">
        <v>1.05</v>
      </c>
      <c r="F982" s="49" t="n">
        <v>3.5</v>
      </c>
      <c r="G982" s="50" t="n">
        <v>0.7</v>
      </c>
      <c r="H982" s="49" t="n">
        <v>3.3</v>
      </c>
      <c r="I982" s="50" t="n">
        <v>0.495</v>
      </c>
      <c r="J982" s="50" t="n">
        <v>3.37</v>
      </c>
      <c r="K982" s="50" t="inlineStr">
        <is>
          <t>Fail</t>
        </is>
      </c>
      <c r="L982" s="51" t="n"/>
      <c r="M982" s="51" t="n"/>
      <c r="N982" s="51" t="n"/>
    </row>
    <row r="983" ht="13.5" customHeight="1" s="38">
      <c r="A983" s="73" t="inlineStr">
        <is>
          <t>R_0980</t>
        </is>
      </c>
      <c r="B983" s="49" t="n">
        <v>3.8</v>
      </c>
      <c r="C983" s="50" t="n">
        <v>1.33</v>
      </c>
      <c r="D983" s="49" t="n">
        <v>3.4</v>
      </c>
      <c r="E983" s="50" t="n">
        <v>1.02</v>
      </c>
      <c r="F983" s="49" t="n">
        <v>3.6</v>
      </c>
      <c r="G983" s="50" t="n">
        <v>0.72</v>
      </c>
      <c r="H983" s="49" t="n">
        <v>3.8</v>
      </c>
      <c r="I983" s="50" t="n">
        <v>0.57</v>
      </c>
      <c r="J983" s="50" t="n">
        <v>3.64</v>
      </c>
      <c r="K983" s="50" t="inlineStr">
        <is>
          <t>Pass</t>
        </is>
      </c>
      <c r="L983" s="51" t="n"/>
      <c r="M983" s="51" t="n"/>
      <c r="N983" s="51" t="n"/>
    </row>
    <row r="984" ht="13.5" customHeight="1" s="38">
      <c r="A984" s="73" t="inlineStr">
        <is>
          <t>R_0981</t>
        </is>
      </c>
      <c r="B984" s="49" t="n">
        <v>3.3</v>
      </c>
      <c r="C984" s="50" t="n">
        <v>1.155</v>
      </c>
      <c r="D984" s="49" t="n">
        <v>3</v>
      </c>
      <c r="E984" s="50" t="n">
        <v>0.9</v>
      </c>
      <c r="F984" s="49" t="n">
        <v>3.5</v>
      </c>
      <c r="G984" s="50" t="n">
        <v>0.7</v>
      </c>
      <c r="H984" s="49" t="n">
        <v>3</v>
      </c>
      <c r="I984" s="50" t="n">
        <v>0.45</v>
      </c>
      <c r="J984" s="50" t="n">
        <v>3.21</v>
      </c>
      <c r="K984" s="50" t="inlineStr">
        <is>
          <t>Fail</t>
        </is>
      </c>
      <c r="L984" s="51" t="n"/>
      <c r="M984" s="51" t="n"/>
      <c r="N984" s="51" t="n"/>
    </row>
    <row r="985" ht="13.5" customHeight="1" s="38">
      <c r="A985" s="73" t="inlineStr">
        <is>
          <t>R_0982</t>
        </is>
      </c>
      <c r="B985" s="49" t="n">
        <v>3.2</v>
      </c>
      <c r="C985" s="50" t="n">
        <v>1.12</v>
      </c>
      <c r="D985" s="49" t="n">
        <v>3.9</v>
      </c>
      <c r="E985" s="50" t="n">
        <v>1.17</v>
      </c>
      <c r="F985" s="49" t="n">
        <v>3.5</v>
      </c>
      <c r="G985" s="50" t="n">
        <v>0.7</v>
      </c>
      <c r="H985" s="49" t="n">
        <v>3.3</v>
      </c>
      <c r="I985" s="50" t="n">
        <v>0.495</v>
      </c>
      <c r="J985" s="50" t="n">
        <v>3.49</v>
      </c>
      <c r="K985" s="50" t="inlineStr">
        <is>
          <t>Fail</t>
        </is>
      </c>
      <c r="L985" s="51" t="n"/>
      <c r="M985" s="51" t="n"/>
      <c r="N985" s="51" t="n"/>
    </row>
    <row r="986" ht="13.5" customHeight="1" s="38">
      <c r="A986" s="73" t="inlineStr">
        <is>
          <t>R_0983</t>
        </is>
      </c>
      <c r="B986" s="49" t="n">
        <v>3.5</v>
      </c>
      <c r="C986" s="50" t="n">
        <v>1.225</v>
      </c>
      <c r="D986" s="49" t="n">
        <v>3.6</v>
      </c>
      <c r="E986" s="50" t="n">
        <v>1.08</v>
      </c>
      <c r="F986" s="49" t="n">
        <v>3.6</v>
      </c>
      <c r="G986" s="50" t="n">
        <v>0.72</v>
      </c>
      <c r="H986" s="49" t="n">
        <v>3.3</v>
      </c>
      <c r="I986" s="50" t="n">
        <v>0.495</v>
      </c>
      <c r="J986" s="50" t="n">
        <v>3.52</v>
      </c>
      <c r="K986" s="50" t="inlineStr">
        <is>
          <t>Pass</t>
        </is>
      </c>
      <c r="L986" s="51" t="n"/>
      <c r="M986" s="51" t="n"/>
      <c r="N986" s="51" t="n"/>
    </row>
    <row r="987" ht="13.5" customHeight="1" s="38">
      <c r="A987" s="73" t="inlineStr">
        <is>
          <t>R_0984</t>
        </is>
      </c>
      <c r="B987" s="49" t="n">
        <v>3.7</v>
      </c>
      <c r="C987" s="50" t="n">
        <v>1.295</v>
      </c>
      <c r="D987" s="49" t="n">
        <v>3.2</v>
      </c>
      <c r="E987" s="50" t="n">
        <v>0.96</v>
      </c>
      <c r="F987" s="49" t="n">
        <v>3.4</v>
      </c>
      <c r="G987" s="50" t="n">
        <v>0.68</v>
      </c>
      <c r="H987" s="49" t="n">
        <v>2.8</v>
      </c>
      <c r="I987" s="50" t="n">
        <v>0.42</v>
      </c>
      <c r="J987" s="50" t="n">
        <v>3.35</v>
      </c>
      <c r="K987" s="50" t="inlineStr">
        <is>
          <t>Fail</t>
        </is>
      </c>
      <c r="L987" s="51" t="n"/>
      <c r="M987" s="51" t="n"/>
      <c r="N987" s="51" t="n"/>
    </row>
    <row r="988" ht="13.5" customHeight="1" s="38">
      <c r="A988" s="73" t="inlineStr">
        <is>
          <t>R_0985</t>
        </is>
      </c>
      <c r="B988" s="49" t="n">
        <v>3.6</v>
      </c>
      <c r="C988" s="50" t="n">
        <v>1.26</v>
      </c>
      <c r="D988" s="49" t="n">
        <v>2.9</v>
      </c>
      <c r="E988" s="50" t="n">
        <v>0.87</v>
      </c>
      <c r="F988" s="49" t="n">
        <v>3.6</v>
      </c>
      <c r="G988" s="50" t="n">
        <v>0.72</v>
      </c>
      <c r="H988" s="49" t="n">
        <v>3.1</v>
      </c>
      <c r="I988" s="50" t="n">
        <v>0.465</v>
      </c>
      <c r="J988" s="50" t="n">
        <v>3.31</v>
      </c>
      <c r="K988" s="50" t="inlineStr">
        <is>
          <t>Fail</t>
        </is>
      </c>
      <c r="L988" s="51" t="n"/>
      <c r="M988" s="51" t="n"/>
      <c r="N988" s="51" t="n"/>
    </row>
    <row r="989" ht="13.5" customHeight="1" s="38">
      <c r="A989" s="73" t="inlineStr">
        <is>
          <t>R_0986</t>
        </is>
      </c>
      <c r="B989" s="49" t="n">
        <v>3.5</v>
      </c>
      <c r="C989" s="50" t="n">
        <v>1.225</v>
      </c>
      <c r="D989" s="49" t="n">
        <v>3.2</v>
      </c>
      <c r="E989" s="50" t="n">
        <v>0.96</v>
      </c>
      <c r="F989" s="49" t="n">
        <v>3.6</v>
      </c>
      <c r="G989" s="50" t="n">
        <v>0.72</v>
      </c>
      <c r="H989" s="49" t="n">
        <v>3.6</v>
      </c>
      <c r="I989" s="50" t="n">
        <v>0.54</v>
      </c>
      <c r="J989" s="50" t="n">
        <v>3.45</v>
      </c>
      <c r="K989" s="50" t="inlineStr">
        <is>
          <t>Fail</t>
        </is>
      </c>
      <c r="L989" s="51" t="n"/>
      <c r="M989" s="51" t="n"/>
      <c r="N989" s="51" t="n"/>
    </row>
    <row r="990" ht="13.5" customHeight="1" s="38">
      <c r="A990" s="73" t="inlineStr">
        <is>
          <t>R_0987</t>
        </is>
      </c>
      <c r="B990" s="49" t="n">
        <v>3.8</v>
      </c>
      <c r="C990" s="50" t="n">
        <v>1.33</v>
      </c>
      <c r="D990" s="49" t="n">
        <v>3.7</v>
      </c>
      <c r="E990" s="50" t="n">
        <v>1.11</v>
      </c>
      <c r="F990" s="49" t="n">
        <v>3.7</v>
      </c>
      <c r="G990" s="50" t="n">
        <v>0.74</v>
      </c>
      <c r="H990" s="49" t="n">
        <v>3.3</v>
      </c>
      <c r="I990" s="50" t="n">
        <v>0.495</v>
      </c>
      <c r="J990" s="50" t="n">
        <v>3.68</v>
      </c>
      <c r="K990" s="50" t="inlineStr">
        <is>
          <t>Pass</t>
        </is>
      </c>
      <c r="L990" s="51" t="n"/>
      <c r="M990" s="51" t="n"/>
      <c r="N990" s="51" t="n"/>
    </row>
    <row r="991" ht="13.5" customHeight="1" s="38">
      <c r="A991" s="73" t="inlineStr">
        <is>
          <t>R_0988</t>
        </is>
      </c>
      <c r="B991" s="49" t="n">
        <v>2.8</v>
      </c>
      <c r="C991" s="50" t="n">
        <v>0.98</v>
      </c>
      <c r="D991" s="49" t="n">
        <v>3.3</v>
      </c>
      <c r="E991" s="50" t="n">
        <v>0.99</v>
      </c>
      <c r="F991" s="49" t="n">
        <v>3.4</v>
      </c>
      <c r="G991" s="50" t="n">
        <v>0.68</v>
      </c>
      <c r="H991" s="49" t="n">
        <v>2.5</v>
      </c>
      <c r="I991" s="50" t="n">
        <v>0.375</v>
      </c>
      <c r="J991" s="50" t="n">
        <v>3.02</v>
      </c>
      <c r="K991" s="50" t="inlineStr">
        <is>
          <t>Fail</t>
        </is>
      </c>
      <c r="L991" s="51" t="n"/>
      <c r="M991" s="51" t="n"/>
      <c r="N991" s="51" t="n"/>
    </row>
    <row r="992" ht="13.5" customHeight="1" s="38">
      <c r="A992" s="73" t="inlineStr">
        <is>
          <t>R_0989</t>
        </is>
      </c>
      <c r="B992" s="49" t="n">
        <v>3.5</v>
      </c>
      <c r="C992" s="50" t="n">
        <v>1.225</v>
      </c>
      <c r="D992" s="49" t="n">
        <v>3.1</v>
      </c>
      <c r="E992" s="50" t="n">
        <v>0.93</v>
      </c>
      <c r="F992" s="49" t="n">
        <v>3.5</v>
      </c>
      <c r="G992" s="50" t="n">
        <v>0.7</v>
      </c>
      <c r="H992" s="49" t="n">
        <v>3.8</v>
      </c>
      <c r="I992" s="50" t="n">
        <v>0.57</v>
      </c>
      <c r="J992" s="50" t="n">
        <v>3.43</v>
      </c>
      <c r="K992" s="50" t="inlineStr">
        <is>
          <t>Fail</t>
        </is>
      </c>
      <c r="L992" s="51" t="n"/>
      <c r="M992" s="51" t="n"/>
      <c r="N992" s="51" t="n"/>
    </row>
    <row r="993" ht="13.5" customHeight="1" s="38">
      <c r="A993" s="73" t="inlineStr">
        <is>
          <t>R_0990</t>
        </is>
      </c>
      <c r="B993" s="49" t="n">
        <v>3.6</v>
      </c>
      <c r="C993" s="50" t="n">
        <v>1.26</v>
      </c>
      <c r="D993" s="49" t="n">
        <v>3.5</v>
      </c>
      <c r="E993" s="50" t="n">
        <v>1.05</v>
      </c>
      <c r="F993" s="49" t="n">
        <v>3.6</v>
      </c>
      <c r="G993" s="50" t="n">
        <v>0.72</v>
      </c>
      <c r="H993" s="49" t="n">
        <v>3.8</v>
      </c>
      <c r="I993" s="50" t="n">
        <v>0.57</v>
      </c>
      <c r="J993" s="50" t="n">
        <v>3.6</v>
      </c>
      <c r="K993" s="50" t="inlineStr">
        <is>
          <t>Pass</t>
        </is>
      </c>
      <c r="L993" s="51" t="n"/>
      <c r="M993" s="51" t="n"/>
      <c r="N993" s="51" t="n"/>
    </row>
    <row r="994" ht="13.5" customHeight="1" s="38">
      <c r="A994" s="73" t="inlineStr">
        <is>
          <t>R_0991</t>
        </is>
      </c>
      <c r="B994" s="49" t="n">
        <v>3.4</v>
      </c>
      <c r="C994" s="50" t="n">
        <v>1.19</v>
      </c>
      <c r="D994" s="49" t="n">
        <v>3</v>
      </c>
      <c r="E994" s="50" t="n">
        <v>0.9</v>
      </c>
      <c r="F994" s="49" t="n">
        <v>3.5</v>
      </c>
      <c r="G994" s="50" t="n">
        <v>0.7</v>
      </c>
      <c r="H994" s="49" t="n">
        <v>2.8</v>
      </c>
      <c r="I994" s="50" t="n">
        <v>0.42</v>
      </c>
      <c r="J994" s="50" t="n">
        <v>3.21</v>
      </c>
      <c r="K994" s="50" t="inlineStr">
        <is>
          <t>Fail</t>
        </is>
      </c>
      <c r="L994" s="51" t="n"/>
      <c r="M994" s="51" t="n"/>
      <c r="N994" s="51" t="n"/>
    </row>
    <row r="995" ht="13.5" customHeight="1" s="38">
      <c r="A995" s="73" t="inlineStr">
        <is>
          <t>R_0992</t>
        </is>
      </c>
      <c r="B995" s="49" t="n">
        <v>3.5</v>
      </c>
      <c r="C995" s="50" t="n">
        <v>1.225</v>
      </c>
      <c r="D995" s="49" t="n">
        <v>2.9</v>
      </c>
      <c r="E995" s="50" t="n">
        <v>0.87</v>
      </c>
      <c r="F995" s="49" t="n">
        <v>3.5</v>
      </c>
      <c r="G995" s="50" t="n">
        <v>0.7</v>
      </c>
      <c r="H995" s="49" t="n">
        <v>3</v>
      </c>
      <c r="I995" s="50" t="n">
        <v>0.45</v>
      </c>
      <c r="J995" s="50" t="n">
        <v>3.25</v>
      </c>
      <c r="K995" s="50" t="inlineStr">
        <is>
          <t>Fail</t>
        </is>
      </c>
      <c r="L995" s="51" t="n"/>
      <c r="M995" s="51" t="n"/>
      <c r="N995" s="51" t="n"/>
    </row>
    <row r="996" ht="13.5" customHeight="1" s="38">
      <c r="A996" s="73" t="inlineStr">
        <is>
          <t>R_0993</t>
        </is>
      </c>
      <c r="B996" s="49" t="inlineStr">
        <is>
          <t>3.5 | 3.9</t>
        </is>
      </c>
      <c r="C996" s="50" t="inlineStr">
        <is>
          <t>1.225 | 1.365</t>
        </is>
      </c>
      <c r="D996" s="49" t="inlineStr">
        <is>
          <t>3.3 | 3.7</t>
        </is>
      </c>
      <c r="E996" s="50" t="inlineStr">
        <is>
          <t>0.99 | 1.11</t>
        </is>
      </c>
      <c r="F996" s="49" t="inlineStr">
        <is>
          <t>3.5 | 3.7</t>
        </is>
      </c>
      <c r="G996" s="50" t="inlineStr">
        <is>
          <t>0.7 | 0.74</t>
        </is>
      </c>
      <c r="H996" s="49" t="inlineStr">
        <is>
          <t>3.1 | 4.2</t>
        </is>
      </c>
      <c r="I996" s="50" t="inlineStr">
        <is>
          <t>0.465 | 0.63</t>
        </is>
      </c>
      <c r="J996" s="50" t="inlineStr">
        <is>
          <t>3.38 | 3.845</t>
        </is>
      </c>
      <c r="K996" s="50" t="inlineStr">
        <is>
          <t>Fail | Pass</t>
        </is>
      </c>
      <c r="L996" s="51" t="n"/>
      <c r="M996" s="51" t="n"/>
      <c r="N996" s="51" t="n"/>
    </row>
    <row r="997" ht="13.5" customHeight="1" s="38">
      <c r="A997" s="73" t="inlineStr">
        <is>
          <t>R_0994</t>
        </is>
      </c>
      <c r="B997" s="49" t="inlineStr">
        <is>
          <t>3.6 | 3.9</t>
        </is>
      </c>
      <c r="C997" s="50" t="inlineStr">
        <is>
          <t>1.26 | 1.365</t>
        </is>
      </c>
      <c r="D997" s="49" t="inlineStr">
        <is>
          <t>2.9 | 3.6</t>
        </is>
      </c>
      <c r="E997" s="50" t="inlineStr">
        <is>
          <t>0.87 | 1.08</t>
        </is>
      </c>
      <c r="F997" s="49" t="inlineStr">
        <is>
          <t>3.6 | 4.0</t>
        </is>
      </c>
      <c r="G997" s="50" t="inlineStr">
        <is>
          <t>0.72 | 0.8</t>
        </is>
      </c>
      <c r="H997" s="49" t="inlineStr">
        <is>
          <t>3.8 | 4.2</t>
        </is>
      </c>
      <c r="I997" s="50" t="inlineStr">
        <is>
          <t>0.57 | 0.63</t>
        </is>
      </c>
      <c r="J997" s="50" t="inlineStr">
        <is>
          <t>3.42 | 3.875</t>
        </is>
      </c>
      <c r="K997" s="50" t="inlineStr">
        <is>
          <t>Fail | Pass</t>
        </is>
      </c>
      <c r="L997" s="51" t="n"/>
      <c r="M997" s="51" t="n"/>
      <c r="N997" s="51" t="n"/>
    </row>
    <row r="998" ht="13.5" customHeight="1" s="38">
      <c r="A998" s="73" t="inlineStr">
        <is>
          <t>R_0995</t>
        </is>
      </c>
      <c r="B998" s="49" t="n">
        <v>2.6</v>
      </c>
      <c r="C998" s="50" t="n">
        <v>0.91</v>
      </c>
      <c r="D998" s="49" t="n">
        <v>3.4</v>
      </c>
      <c r="E998" s="50" t="n">
        <v>1.02</v>
      </c>
      <c r="F998" s="49" t="n">
        <v>3.5</v>
      </c>
      <c r="G998" s="50" t="n">
        <v>0.7</v>
      </c>
      <c r="H998" s="49" t="n">
        <v>3.9</v>
      </c>
      <c r="I998" s="50" t="n">
        <v>0.585</v>
      </c>
      <c r="J998" s="50" t="n">
        <v>3.21</v>
      </c>
      <c r="K998" s="50" t="inlineStr">
        <is>
          <t>Fail</t>
        </is>
      </c>
      <c r="L998" s="51" t="n"/>
      <c r="M998" s="51" t="n"/>
      <c r="N998" s="51" t="n"/>
    </row>
    <row r="999" ht="13.5" customHeight="1" s="38">
      <c r="A999" s="73" t="inlineStr">
        <is>
          <t>R_0996</t>
        </is>
      </c>
      <c r="B999" s="49" t="n">
        <v>3</v>
      </c>
      <c r="C999" s="50" t="n">
        <v>1.05</v>
      </c>
      <c r="D999" s="49" t="n">
        <v>3.6</v>
      </c>
      <c r="E999" s="50" t="n">
        <v>1.08</v>
      </c>
      <c r="F999" s="49" t="n">
        <v>3.6</v>
      </c>
      <c r="G999" s="50" t="n">
        <v>0.72</v>
      </c>
      <c r="H999" s="49" t="n">
        <v>3.3</v>
      </c>
      <c r="I999" s="50" t="n">
        <v>0.495</v>
      </c>
      <c r="J999" s="50" t="n">
        <v>3.35</v>
      </c>
      <c r="K999" s="50" t="inlineStr">
        <is>
          <t>Fail</t>
        </is>
      </c>
      <c r="L999" s="51" t="n"/>
      <c r="M999" s="51" t="n"/>
      <c r="N999" s="51" t="n"/>
    </row>
    <row r="1000" ht="13.5" customHeight="1" s="38">
      <c r="A1000" s="73" t="inlineStr">
        <is>
          <t>R_0997</t>
        </is>
      </c>
      <c r="B1000" s="49" t="n">
        <v>3.5</v>
      </c>
      <c r="C1000" s="50" t="n">
        <v>1.225</v>
      </c>
      <c r="D1000" s="49" t="n">
        <v>3.4</v>
      </c>
      <c r="E1000" s="50" t="n">
        <v>1.02</v>
      </c>
      <c r="F1000" s="49" t="n">
        <v>3.5</v>
      </c>
      <c r="G1000" s="50" t="n">
        <v>0.7</v>
      </c>
      <c r="H1000" s="49" t="n">
        <v>2.8</v>
      </c>
      <c r="I1000" s="50" t="n">
        <v>0.42</v>
      </c>
      <c r="J1000" s="50" t="n">
        <v>3.37</v>
      </c>
      <c r="K1000" s="50" t="inlineStr">
        <is>
          <t>Fail</t>
        </is>
      </c>
      <c r="L1000" s="51" t="n"/>
      <c r="M1000" s="51" t="n"/>
      <c r="N1000" s="51" t="n"/>
    </row>
    <row r="1001" ht="13.5" customHeight="1" s="38">
      <c r="A1001" s="73" t="inlineStr">
        <is>
          <t>R_0998</t>
        </is>
      </c>
      <c r="B1001" s="49" t="n">
        <v>3.2</v>
      </c>
      <c r="C1001" s="50" t="n">
        <v>1.12</v>
      </c>
      <c r="D1001" s="49" t="n">
        <v>3.3</v>
      </c>
      <c r="E1001" s="50" t="n">
        <v>0.99</v>
      </c>
      <c r="F1001" s="49" t="n">
        <v>3.7</v>
      </c>
      <c r="G1001" s="50" t="n">
        <v>0.74</v>
      </c>
      <c r="H1001" s="49" t="n">
        <v>4.5</v>
      </c>
      <c r="I1001" s="50" t="n">
        <v>0.675</v>
      </c>
      <c r="J1001" s="50" t="n">
        <v>3.52</v>
      </c>
      <c r="K1001" s="50" t="inlineStr">
        <is>
          <t>Pass</t>
        </is>
      </c>
      <c r="L1001" s="51" t="n"/>
      <c r="M1001" s="51" t="n"/>
      <c r="N1001" s="51" t="n"/>
    </row>
    <row r="1002" ht="13.5" customHeight="1" s="38">
      <c r="A1002" s="73" t="inlineStr">
        <is>
          <t>R_0999</t>
        </is>
      </c>
      <c r="B1002" s="49" t="n">
        <v>3.6</v>
      </c>
      <c r="C1002" s="50" t="n">
        <v>1.26</v>
      </c>
      <c r="D1002" s="49" t="n">
        <v>3.2</v>
      </c>
      <c r="E1002" s="50" t="n">
        <v>0.96</v>
      </c>
      <c r="F1002" s="49" t="n">
        <v>3.6</v>
      </c>
      <c r="G1002" s="50" t="n">
        <v>0.72</v>
      </c>
      <c r="H1002" s="49" t="n">
        <v>3.8</v>
      </c>
      <c r="I1002" s="50" t="n">
        <v>0.57</v>
      </c>
      <c r="J1002" s="50" t="n">
        <v>3.51</v>
      </c>
      <c r="K1002" s="50" t="inlineStr">
        <is>
          <t>Pass</t>
        </is>
      </c>
      <c r="L1002" s="51" t="n"/>
      <c r="M1002" s="51" t="n"/>
      <c r="N1002" s="51" t="n"/>
    </row>
    <row r="1003" ht="13.5" customHeight="1" s="38">
      <c r="A1003" s="73" t="inlineStr">
        <is>
          <t>R_1000</t>
        </is>
      </c>
      <c r="B1003" s="49" t="n">
        <v>2.8</v>
      </c>
      <c r="C1003" s="50" t="n">
        <v>0.98</v>
      </c>
      <c r="D1003" s="49" t="n">
        <v>3.5</v>
      </c>
      <c r="E1003" s="50" t="n">
        <v>1.05</v>
      </c>
      <c r="F1003" s="49" t="n">
        <v>3.4</v>
      </c>
      <c r="G1003" s="50" t="n">
        <v>0.68</v>
      </c>
      <c r="H1003" s="49" t="n">
        <v>4</v>
      </c>
      <c r="I1003" s="50" t="n">
        <v>0.6</v>
      </c>
      <c r="J1003" s="50" t="n">
        <v>3.31</v>
      </c>
      <c r="K1003" s="50" t="inlineStr">
        <is>
          <t>Fail</t>
        </is>
      </c>
      <c r="L1003" s="51" t="n"/>
      <c r="M1003" s="51" t="n"/>
      <c r="N1003" s="51" t="n"/>
    </row>
  </sheetData>
  <mergeCells count="2">
    <mergeCell ref="A2:N2"/>
    <mergeCell ref="A1:N1"/>
  </mergeCells>
  <printOptions horizontalCentered="0" verticalCentered="0" headings="0" gridLines="0" gridLinesSet="1"/>
  <pageMargins left="0.75" right="0.75" top="1" bottom="1" header="0.511811023622047" footer="0.511805555555556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6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7" activeCellId="0" sqref="A27"/>
    </sheetView>
  </sheetViews>
  <sheetFormatPr baseColWidth="8" defaultColWidth="8.66796875" defaultRowHeight="15" customHeight="0" zeroHeight="0" outlineLevelRow="0"/>
  <cols>
    <col width="42" customWidth="1" style="37" min="1" max="1"/>
    <col width="12" customWidth="1" style="37" min="2" max="2"/>
    <col width="33.09" customWidth="1" style="37" min="3" max="3"/>
    <col width="22" customWidth="1" style="37" min="4" max="5"/>
    <col width="16" customWidth="1" style="37" min="6" max="7"/>
    <col width="20" customWidth="1" style="37" min="8" max="8"/>
    <col width="16" customWidth="1" style="37" min="9" max="9"/>
    <col width="26" customWidth="1" style="37" min="10" max="10"/>
    <col width="30" customWidth="1" style="37" min="11" max="11"/>
    <col width="8.67" customWidth="1" style="37" min="12" max="16384"/>
  </cols>
  <sheetData>
    <row r="1" ht="21.75" customHeight="1" s="38">
      <c r="A1" s="39" t="inlineStr">
        <is>
          <t>ANALYSIS DASHBOARD  |  Post-Evaluation – Link scores after blinding period ends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1" t="n"/>
    </row>
    <row r="2" ht="21.75" customHeight="1" s="38">
      <c r="A2" s="42" t="inlineStr">
        <is>
          <t>Complete this sheet ONLY after all blind scoring is finished and scores have been merged back to Master Tracking Ledger.</t>
        </is>
      </c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  <c r="K2" s="44" t="n"/>
    </row>
    <row r="3" ht="48" customHeight="1" s="38">
      <c r="A3" s="73" t="inlineStr">
        <is>
          <t>Group</t>
        </is>
      </c>
      <c r="B3" s="73" t="inlineStr">
        <is>
          <t>N Reports</t>
        </is>
      </c>
      <c r="C3" s="73" t="inlineStr">
        <is>
          <t>Avg Actionability</t>
        </is>
      </c>
      <c r="D3" s="73" t="inlineStr">
        <is>
          <t>Avg Analytical Rigor</t>
        </is>
      </c>
      <c r="E3" s="73" t="inlineStr">
        <is>
          <t>Avg Language Appr.</t>
        </is>
      </c>
      <c r="F3" s="73" t="inlineStr">
        <is>
          <t>Avg Structure</t>
        </is>
      </c>
      <c r="G3" s="73" t="inlineStr">
        <is>
          <t>Avg Composite</t>
        </is>
      </c>
      <c r="H3" s="73" t="inlineStr">
        <is>
          <t>Std Dev Composite</t>
        </is>
      </c>
      <c r="I3" s="73" t="inlineStr">
        <is>
          <t>Pass Rate (%)</t>
        </is>
      </c>
      <c r="J3" s="73" t="inlineStr">
        <is>
          <t>Threshold Attainment Rate (%)</t>
        </is>
      </c>
      <c r="K3" s="73" t="inlineStr">
        <is>
          <t>Notes</t>
        </is>
      </c>
    </row>
    <row r="4" ht="13.5" customHeight="1" s="38">
      <c r="A4" s="46" t="inlineStr">
        <is>
          <t>Baseline – Zero-Shot (S0)</t>
        </is>
      </c>
      <c r="B4" s="52">
        <f>COUNTIF('Dashboard Calc'!$B$4:$B$1003,"S0")</f>
        <v/>
      </c>
      <c r="C4" s="53">
        <f>AVERAGEIF('Dashboard Calc'!$B$4:$B$1003,"S0",'Dashboard Calc'!$C$4:$C$1003)</f>
        <v/>
      </c>
      <c r="D4" s="53">
        <f>AVERAGEIF('Dashboard Calc'!$B$4:$B$1003,"S0",'Dashboard Calc'!$D$4:$D$1003)</f>
        <v/>
      </c>
      <c r="E4" s="53">
        <f>AVERAGEIF('Dashboard Calc'!$B$4:$B$1003,"S0",'Dashboard Calc'!$E$4:$E$1003)</f>
        <v/>
      </c>
      <c r="F4" s="53">
        <f>AVERAGEIF('Dashboard Calc'!$B$4:$B$1003,"S0",'Dashboard Calc'!$F$4:$F$1003)</f>
        <v/>
      </c>
      <c r="G4" s="53">
        <f>AVERAGEIF('Dashboard Calc'!$B$4:$B$1003,"S0",'Dashboard Calc'!$G$4:$G$1003)</f>
        <v/>
      </c>
      <c r="H4" s="53">
        <f t="array" ref="H4:H4">STDEV(IF('Dashboard Calc'!$B$4:$B$1003="S0",'Dashboard Calc'!$G$4:$G$1003))</f>
        <v/>
      </c>
      <c r="I4" s="54">
        <f>COUNTIFS('Dashboard Calc'!$B$4:$B$1003,"S0",'Dashboard Calc'!$H$4:$H$1003,"Pass")/COUNTIF('Dashboard Calc'!$B$4:$B$1003,"S0")</f>
        <v/>
      </c>
      <c r="J4" s="54">
        <f>COUNTIFS('Dashboard Calc'!$B$4:$B$1003,"S0",'Dashboard Calc'!$G$4:$G$1003,"&gt;=3.5")/COUNTIF('Dashboard Calc'!$B$4:$B$1003,"S0")</f>
        <v/>
      </c>
      <c r="K4" s="47" t="n"/>
    </row>
    <row r="5" ht="13.5" customHeight="1" s="38">
      <c r="A5" s="46" t="inlineStr">
        <is>
          <t>Strategy 1 – Zero-Shot + Template (S1)</t>
        </is>
      </c>
      <c r="B5" s="52">
        <f>COUNTIF('Dashboard Calc'!$B$4:$B$1003,"S1")</f>
        <v/>
      </c>
      <c r="C5" s="53">
        <f>AVERAGEIF('Dashboard Calc'!$B$4:$B$1003,"S1",'Dashboard Calc'!$C$4:$C$1003)</f>
        <v/>
      </c>
      <c r="D5" s="53">
        <f>AVERAGEIF('Dashboard Calc'!$B$4:$B$1003,"S1",'Dashboard Calc'!$D$4:$D$1003)</f>
        <v/>
      </c>
      <c r="E5" s="53">
        <f>AVERAGEIF('Dashboard Calc'!$B$4:$B$1003,"S1",'Dashboard Calc'!$E$4:$E$1003)</f>
        <v/>
      </c>
      <c r="F5" s="53">
        <f>AVERAGEIF('Dashboard Calc'!$B$4:$B$1003,"S1",'Dashboard Calc'!$F$4:$F$1003)</f>
        <v/>
      </c>
      <c r="G5" s="53">
        <f>AVERAGEIF('Dashboard Calc'!$B$4:$B$1003,"S1",'Dashboard Calc'!$G$4:$G$1003)</f>
        <v/>
      </c>
      <c r="H5" s="53">
        <f t="array" ref="H5:H5">STDEV(IF('Dashboard Calc'!$B$4:$B$1003="S1",'Dashboard Calc'!$G$4:$G$1003))</f>
        <v/>
      </c>
      <c r="I5" s="54">
        <f>COUNTIFS('Dashboard Calc'!$B$4:$B$1003,"S1",'Dashboard Calc'!$H$4:$H$1003,"Pass")/COUNTIF('Dashboard Calc'!$B$4:$B$1003,"S1")</f>
        <v/>
      </c>
      <c r="J5" s="54">
        <f>COUNTIFS('Dashboard Calc'!$B$4:$B$1003,"S1",'Dashboard Calc'!$G$4:$G$1003,"&gt;=3.5")/COUNTIF('Dashboard Calc'!$B$4:$B$1003,"S1")</f>
        <v/>
      </c>
      <c r="K5" s="47" t="n"/>
    </row>
    <row r="6" ht="13.5" customHeight="1" s="38">
      <c r="A6" s="46" t="inlineStr">
        <is>
          <t>Strategy 2 – Zero-Shot + Template + BLUF (S2)</t>
        </is>
      </c>
      <c r="B6" s="52">
        <f>COUNTIF('Dashboard Calc'!$B$4:$B$1003,"S2")</f>
        <v/>
      </c>
      <c r="C6" s="53">
        <f>AVERAGEIF('Dashboard Calc'!$B$4:$B$1003,"S2",'Dashboard Calc'!$C$4:$C$1003)</f>
        <v/>
      </c>
      <c r="D6" s="53">
        <f>AVERAGEIF('Dashboard Calc'!$B$4:$B$1003,"S2",'Dashboard Calc'!$D$4:$D$1003)</f>
        <v/>
      </c>
      <c r="E6" s="53">
        <f>AVERAGEIF('Dashboard Calc'!$B$4:$B$1003,"S2",'Dashboard Calc'!$E$4:$E$1003)</f>
        <v/>
      </c>
      <c r="F6" s="53">
        <f>AVERAGEIF('Dashboard Calc'!$B$4:$B$1003,"S2",'Dashboard Calc'!$F$4:$F$1003)</f>
        <v/>
      </c>
      <c r="G6" s="53">
        <f>AVERAGEIF('Dashboard Calc'!$B$4:$B$1003,"S2",'Dashboard Calc'!$G$4:$G$1003)</f>
        <v/>
      </c>
      <c r="H6" s="53">
        <f t="array" ref="H6:H6">STDEV(IF('Dashboard Calc'!$B$4:$B$1003="S2",'Dashboard Calc'!$G$4:$G$1003))</f>
        <v/>
      </c>
      <c r="I6" s="54">
        <f>COUNTIFS('Dashboard Calc'!$B$4:$B$1003,"S2",'Dashboard Calc'!$H$4:$H$1003,"Pass")/COUNTIF('Dashboard Calc'!$B$4:$B$1003,"S2")</f>
        <v/>
      </c>
      <c r="J6" s="54">
        <f>COUNTIFS('Dashboard Calc'!$B$4:$B$1003,"S2",'Dashboard Calc'!$G$4:$G$1003,"&gt;=3.5")/COUNTIF('Dashboard Calc'!$B$4:$B$1003,"S2")</f>
        <v/>
      </c>
      <c r="K6" s="47" t="n"/>
    </row>
    <row r="7" ht="13.5" customHeight="1" s="38">
      <c r="A7" s="46" t="inlineStr">
        <is>
          <t>Strategy 3 – One-Shot + Template (S3)</t>
        </is>
      </c>
      <c r="B7" s="52">
        <f>COUNTIF('Dashboard Calc'!$B$4:$B$1003,"S3")</f>
        <v/>
      </c>
      <c r="C7" s="53">
        <f>AVERAGEIF('Dashboard Calc'!$B$4:$B$1003,"S3",'Dashboard Calc'!$C$4:$C$1003)</f>
        <v/>
      </c>
      <c r="D7" s="53">
        <f>AVERAGEIF('Dashboard Calc'!$B$4:$B$1003,"S3",'Dashboard Calc'!$D$4:$D$1003)</f>
        <v/>
      </c>
      <c r="E7" s="53">
        <f>AVERAGEIF('Dashboard Calc'!$B$4:$B$1003,"S3",'Dashboard Calc'!$E$4:$E$1003)</f>
        <v/>
      </c>
      <c r="F7" s="53">
        <f>AVERAGEIF('Dashboard Calc'!$B$4:$B$1003,"S3",'Dashboard Calc'!$F$4:$F$1003)</f>
        <v/>
      </c>
      <c r="G7" s="53">
        <f>AVERAGEIF('Dashboard Calc'!$B$4:$B$1003,"S3",'Dashboard Calc'!$G$4:$G$1003)</f>
        <v/>
      </c>
      <c r="H7" s="53">
        <f t="array" ref="H7:H7">STDEV(IF('Dashboard Calc'!$B$4:$B$1003="S3",'Dashboard Calc'!$G$4:$G$1003))</f>
        <v/>
      </c>
      <c r="I7" s="54">
        <f>COUNTIFS('Dashboard Calc'!$B$4:$B$1003,"S3",'Dashboard Calc'!$H$4:$H$1003,"Pass")/COUNTIF('Dashboard Calc'!$B$4:$B$1003,"S3")</f>
        <v/>
      </c>
      <c r="J7" s="54">
        <f>COUNTIFS('Dashboard Calc'!$B$4:$B$1003,"S3",'Dashboard Calc'!$G$4:$G$1003,"&gt;=3.5")/COUNTIF('Dashboard Calc'!$B$4:$B$1003,"S3")</f>
        <v/>
      </c>
      <c r="K7" s="47" t="n"/>
    </row>
    <row r="8" ht="13.5" customHeight="1" s="38">
      <c r="A8" s="46" t="inlineStr">
        <is>
          <t>Strategy 4 – One-Shot + Template + BLUF (S4)</t>
        </is>
      </c>
      <c r="B8" s="52">
        <f>COUNTIF('Dashboard Calc'!$B$4:$B$1003,"S4")</f>
        <v/>
      </c>
      <c r="C8" s="53">
        <f>AVERAGEIF('Dashboard Calc'!$B$4:$B$1003,"S4",'Dashboard Calc'!$C$4:$C$1003)</f>
        <v/>
      </c>
      <c r="D8" s="53">
        <f>AVERAGEIF('Dashboard Calc'!$B$4:$B$1003,"S4",'Dashboard Calc'!$D$4:$D$1003)</f>
        <v/>
      </c>
      <c r="E8" s="53">
        <f>AVERAGEIF('Dashboard Calc'!$B$4:$B$1003,"S4",'Dashboard Calc'!$E$4:$E$1003)</f>
        <v/>
      </c>
      <c r="F8" s="53">
        <f>AVERAGEIF('Dashboard Calc'!$B$4:$B$1003,"S4",'Dashboard Calc'!$F$4:$F$1003)</f>
        <v/>
      </c>
      <c r="G8" s="53">
        <f>AVERAGEIF('Dashboard Calc'!$B$4:$B$1003,"S4",'Dashboard Calc'!$G$4:$G$1003)</f>
        <v/>
      </c>
      <c r="H8" s="53">
        <f t="array" ref="H8:H8">STDEV(IF('Dashboard Calc'!$B$4:$B$1003="S4",'Dashboard Calc'!$G$4:$G$1003))</f>
        <v/>
      </c>
      <c r="I8" s="54">
        <f>COUNTIFS('Dashboard Calc'!$B$4:$B$1003,"S4",'Dashboard Calc'!$H$4:$H$1003,"Pass")/COUNTIF('Dashboard Calc'!$B$4:$B$1003,"S4")</f>
        <v/>
      </c>
      <c r="J8" s="54">
        <f>COUNTIFS('Dashboard Calc'!$B$4:$B$1003,"S4",'Dashboard Calc'!$G$4:$G$1003,"&gt;=3.5")/COUNTIF('Dashboard Calc'!$B$4:$B$1003,"S4")</f>
        <v/>
      </c>
      <c r="K8" s="47" t="n"/>
    </row>
    <row r="9" ht="18.65" customHeight="1" s="38">
      <c r="A9" s="55" t="n"/>
      <c r="B9" s="55" t="n"/>
      <c r="C9" s="55" t="n"/>
      <c r="D9" s="55" t="n"/>
      <c r="E9" s="55" t="n"/>
      <c r="F9" s="55" t="n"/>
      <c r="G9" s="55" t="n"/>
      <c r="H9" s="55" t="n"/>
      <c r="I9" s="55" t="n"/>
      <c r="J9" s="55" t="n"/>
      <c r="K9" s="55" t="n"/>
    </row>
    <row r="10" ht="20.1" customHeight="1" s="38">
      <c r="A10" s="56" t="inlineStr">
        <is>
          <t>TIME SAVINGS ANALYSIS</t>
        </is>
      </c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4" t="n"/>
    </row>
    <row r="11" ht="13.5" customHeight="1" s="38">
      <c r="A11" s="73" t="inlineStr">
        <is>
          <t>Metric</t>
        </is>
      </c>
      <c r="B11" s="73" t="inlineStr">
        <is>
          <t>Value</t>
        </is>
      </c>
      <c r="C11" s="73" t="inlineStr">
        <is>
          <t>Notes</t>
        </is>
      </c>
      <c r="D11" s="57" t="n"/>
      <c r="E11" s="57" t="n"/>
      <c r="F11" s="57" t="n"/>
      <c r="G11" s="57" t="n"/>
      <c r="H11" s="57" t="n"/>
      <c r="I11" s="57" t="n"/>
      <c r="J11" s="57" t="n"/>
      <c r="K11" s="57" t="n"/>
    </row>
    <row r="12" ht="13.5" customHeight="1" s="38">
      <c r="A12" s="46" t="inlineStr">
        <is>
          <t>Human avg. time per report (hrs)</t>
        </is>
      </c>
      <c r="B12" s="58" t="n">
        <v>8</v>
      </c>
      <c r="C12" s="46" t="inlineStr">
        <is>
          <t>4–12 hrs/report</t>
        </is>
      </c>
      <c r="D12" s="59" t="n"/>
      <c r="E12" s="59" t="n"/>
      <c r="F12" s="59" t="n"/>
      <c r="G12" s="59" t="n"/>
      <c r="H12" s="59" t="n"/>
      <c r="I12" s="59" t="n"/>
      <c r="J12" s="59" t="n"/>
      <c r="K12" s="59" t="n"/>
    </row>
    <row r="13" ht="13.5" customHeight="1" s="38">
      <c r="A13" s="46" t="inlineStr">
        <is>
          <t>AI avg. generation time (sec)</t>
        </is>
      </c>
      <c r="B13" s="60">
        <f>SUMPRODUCT(IFERROR(VALUE('Master Tracking Ledger'!$I$4:$I$1003),0))/SUMPRODUCT(IFERROR(VALUE('Master Tracking Ledger'!$I$4:$I$1003)^0,0))</f>
        <v/>
      </c>
      <c r="C13" s="46" t="inlineStr">
        <is>
          <t>Record during each generation session</t>
        </is>
      </c>
      <c r="D13" s="59" t="n"/>
      <c r="E13" s="59" t="n"/>
      <c r="F13" s="59" t="n"/>
      <c r="G13" s="59" t="n"/>
      <c r="H13" s="59" t="n"/>
      <c r="I13" s="59" t="n"/>
      <c r="J13" s="59" t="n"/>
      <c r="K13" s="59" t="n"/>
    </row>
    <row r="14" ht="13.5" customHeight="1" s="38">
      <c r="A14" s="46" t="inlineStr">
        <is>
          <t>AI avg. generation time (min)</t>
        </is>
      </c>
      <c r="B14" s="50">
        <f t="array" ref="B14:B14">IF(B13="","",B13/60)</f>
        <v/>
      </c>
      <c r="C14" s="46" t="inlineStr">
        <is>
          <t>Auto-calculated from seconds</t>
        </is>
      </c>
      <c r="D14" s="59" t="n"/>
      <c r="E14" s="59" t="n"/>
      <c r="F14" s="59" t="n"/>
      <c r="G14" s="59" t="n"/>
      <c r="H14" s="59" t="n"/>
      <c r="I14" s="59" t="n"/>
      <c r="J14" s="59" t="n"/>
      <c r="K14" s="59" t="n"/>
    </row>
    <row r="15" ht="13.5" customHeight="1" s="38">
      <c r="A15" s="46" t="inlineStr">
        <is>
          <t>Time saved per report (hrs)</t>
        </is>
      </c>
      <c r="B15" s="50">
        <f t="array" ref="B15:B15">IF(B12="","",B12-B14)</f>
        <v/>
      </c>
      <c r="C15" s="46" t="inlineStr">
        <is>
          <t>Human hrs minus AI time in hrs</t>
        </is>
      </c>
      <c r="D15" s="59" t="n"/>
      <c r="E15" s="59" t="n"/>
      <c r="F15" s="59" t="n"/>
      <c r="G15" s="59" t="n"/>
      <c r="H15" s="59" t="n"/>
      <c r="I15" s="59" t="n"/>
      <c r="J15" s="59" t="n"/>
      <c r="K15" s="59" t="n"/>
    </row>
    <row r="16" ht="13.5" customHeight="1" s="38">
      <c r="A16" s="46" t="inlineStr">
        <is>
          <t>Reports per week (CTI team)</t>
        </is>
      </c>
      <c r="B16" s="58" t="n">
        <v>2</v>
      </c>
      <c r="C16" s="46" t="inlineStr">
        <is>
          <t>Assumption: 2 reports/week</t>
        </is>
      </c>
      <c r="D16" s="59" t="n"/>
      <c r="E16" s="59" t="n"/>
      <c r="F16" s="59" t="n"/>
      <c r="G16" s="59" t="n"/>
      <c r="H16" s="59" t="n"/>
      <c r="I16" s="59" t="n"/>
      <c r="J16" s="59" t="n"/>
      <c r="K16" s="59" t="n"/>
    </row>
    <row r="17" ht="13.5" customHeight="1" s="38">
      <c r="A17" s="46" t="inlineStr">
        <is>
          <t>Weekly hours saved</t>
        </is>
      </c>
      <c r="B17" s="50">
        <f t="array" ref="B17:B17">IF(B15="","",B15*B16)</f>
        <v/>
      </c>
      <c r="C17" s="46" t="inlineStr">
        <is>
          <t>Time saved × reports per week</t>
        </is>
      </c>
      <c r="D17" s="59" t="n"/>
      <c r="E17" s="59" t="n"/>
      <c r="F17" s="59" t="n"/>
      <c r="G17" s="59" t="n"/>
      <c r="H17" s="59" t="n"/>
      <c r="I17" s="59" t="n"/>
      <c r="J17" s="59" t="n"/>
      <c r="K17" s="59" t="n"/>
    </row>
    <row r="18" ht="13.5" customHeight="1" s="38">
      <c r="A18" s="46" t="inlineStr">
        <is>
          <t>Annual hours saved</t>
        </is>
      </c>
      <c r="B18" s="50">
        <f t="array" ref="B18:B18">IF(B17="","",B17*52)</f>
        <v/>
      </c>
      <c r="C18" s="46" t="inlineStr">
        <is>
          <t>Weekly saved × 52 weeks</t>
        </is>
      </c>
      <c r="D18" s="59" t="n"/>
      <c r="E18" s="59" t="n"/>
      <c r="F18" s="59" t="n"/>
      <c r="G18" s="59" t="n"/>
      <c r="H18" s="59" t="n"/>
      <c r="I18" s="59" t="n"/>
      <c r="J18" s="59" t="n"/>
      <c r="K18" s="59" t="n"/>
    </row>
    <row r="19" ht="13.5" customHeight="1" s="38">
      <c r="A19" s="55" t="n"/>
      <c r="B19" s="55" t="n"/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</row>
    <row r="20" ht="19.5" customHeight="1" s="38">
      <c r="A20" s="56" t="inlineStr">
        <is>
          <t>MODEL PERFORMANCE METRICS (tok/s)</t>
        </is>
      </c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4" t="n"/>
    </row>
    <row r="21" ht="13.5" customHeight="1" s="38">
      <c r="A21" s="73" t="inlineStr">
        <is>
          <t>Metric</t>
        </is>
      </c>
      <c r="B21" s="73" t="inlineStr">
        <is>
          <t>Value</t>
        </is>
      </c>
      <c r="C21" s="73" t="inlineStr">
        <is>
          <t>Notes</t>
        </is>
      </c>
      <c r="D21" s="57" t="n"/>
      <c r="E21" s="57" t="n"/>
      <c r="F21" s="57" t="n"/>
      <c r="G21" s="57" t="n"/>
      <c r="H21" s="57" t="n"/>
      <c r="I21" s="57" t="n"/>
      <c r="J21" s="57" t="n"/>
      <c r="K21" s="57" t="n"/>
    </row>
    <row r="22" ht="13.5" customHeight="1" s="38">
      <c r="A22" s="46" t="inlineStr">
        <is>
          <t>Avg Tokens/Second across all runs</t>
        </is>
      </c>
      <c r="B22" s="60">
        <f>SUMPRODUCT(IFERROR(VALUE('Master Tracking Ledger'!$J$4:$J$1003),0))/SUMPRODUCT(IFERROR(VALUE('Master Tracking Ledger'!$J$4:$J$1003)^0,0))</f>
        <v/>
      </c>
      <c r="C22" s="46" t="inlineStr">
        <is>
          <t>Average tok/s from Master Tracking Ledger</t>
        </is>
      </c>
      <c r="D22" s="59" t="n"/>
      <c r="E22" s="59" t="n"/>
      <c r="F22" s="59" t="n"/>
      <c r="G22" s="59" t="n"/>
      <c r="H22" s="59" t="n"/>
      <c r="I22" s="59" t="n"/>
      <c r="J22" s="59" t="n"/>
      <c r="K22" s="59" t="n"/>
    </row>
    <row r="23" ht="13.5" customHeight="1" s="38">
      <c r="A23" s="46" t="inlineStr">
        <is>
          <t>Min tok/s observed</t>
        </is>
      </c>
      <c r="B23" s="60" t="n">
        <v>60.9</v>
      </c>
      <c r="C23" s="46" t="inlineStr">
        <is>
          <t>Slowest generation recorded</t>
        </is>
      </c>
      <c r="D23" s="59" t="n"/>
      <c r="E23" s="59" t="n"/>
      <c r="F23" s="59" t="n"/>
      <c r="G23" s="59" t="n"/>
      <c r="H23" s="59" t="n"/>
      <c r="I23" s="59" t="n"/>
      <c r="J23" s="59" t="n"/>
      <c r="K23" s="59" t="n"/>
    </row>
    <row r="24" ht="13.5" customHeight="1" s="38">
      <c r="A24" s="46" t="inlineStr">
        <is>
          <t>Max tok/s observed</t>
        </is>
      </c>
      <c r="B24" s="60" t="n">
        <v>68.59</v>
      </c>
      <c r="C24" s="46" t="inlineStr">
        <is>
          <t>Fastest generation recorded</t>
        </is>
      </c>
      <c r="D24" s="59" t="n"/>
      <c r="E24" s="59" t="n"/>
      <c r="F24" s="59" t="n"/>
      <c r="G24" s="59" t="n"/>
      <c r="H24" s="59" t="n"/>
      <c r="I24" s="59" t="n"/>
      <c r="J24" s="59" t="n"/>
      <c r="K24" s="59" t="n"/>
    </row>
    <row r="25" ht="13.5" customHeight="1" s="38">
      <c r="A25" s="46" t="inlineStr">
        <is>
          <t>Avg tok/s by Strategy (S0)</t>
        </is>
      </c>
      <c r="B25" s="60">
        <f>SUMPRODUCT(--ISNUMBER(SEARCH("_S0_",'Master Tracking Ledger'!$A$4:$A$1003)),IFERROR(VALUE('Master Tracking Ledger'!$J$4:$J$1003),0))/SUMPRODUCT(--ISNUMBER(SEARCH("_S0_",'Master Tracking Ledger'!$A$4:$A$1003)),IFERROR(VALUE('Master Tracking Ledger'!$J$4:$J$1003)^0,0))</f>
        <v/>
      </c>
      <c r="C25" s="46" t="n"/>
      <c r="D25" s="59" t="n"/>
      <c r="E25" s="59" t="n"/>
      <c r="F25" s="59" t="n"/>
      <c r="G25" s="59" t="n"/>
      <c r="H25" s="59" t="n"/>
      <c r="I25" s="59" t="n"/>
      <c r="J25" s="59" t="n"/>
      <c r="K25" s="59" t="n"/>
    </row>
    <row r="26" ht="13.5" customHeight="1" s="38">
      <c r="A26" s="46" t="inlineStr">
        <is>
          <t>Avg tok/s by Strategy (S1)</t>
        </is>
      </c>
      <c r="B26" s="60">
        <f>SUMPRODUCT(--ISNUMBER(SEARCH("_S1_",'Master Tracking Ledger'!$A$4:$A$1003)),IFERROR(VALUE('Master Tracking Ledger'!$J$4:$J$1003),0))/SUMPRODUCT(--ISNUMBER(SEARCH("_S1_",'Master Tracking Ledger'!$A$4:$A$1003)),IFERROR(VALUE('Master Tracking Ledger'!$J$4:$J$1003)^0,0))</f>
        <v/>
      </c>
      <c r="C26" s="46" t="n"/>
      <c r="D26" s="59" t="n"/>
      <c r="E26" s="59" t="n"/>
      <c r="F26" s="59" t="n"/>
      <c r="G26" s="59" t="n"/>
      <c r="H26" s="59" t="n"/>
      <c r="I26" s="59" t="n"/>
      <c r="J26" s="59" t="n"/>
      <c r="K26" s="59" t="n"/>
    </row>
    <row r="27" ht="13.5" customHeight="1" s="38">
      <c r="A27" s="46" t="inlineStr">
        <is>
          <t>Avg tok/s by Strategy (S2)</t>
        </is>
      </c>
      <c r="B27" s="60">
        <f>SUMPRODUCT(--ISNUMBER(SEARCH("_S2_",'Master Tracking Ledger'!$A$4:$A$1003)),IFERROR(VALUE('Master Tracking Ledger'!$J$4:$J$1003),0))/SUMPRODUCT(--ISNUMBER(SEARCH("_S2_",'Master Tracking Ledger'!$A$4:$A$1003)),IFERROR(VALUE('Master Tracking Ledger'!$J$4:$J$1003)^0,0))</f>
        <v/>
      </c>
      <c r="C27" s="46" t="n"/>
      <c r="D27" s="59" t="n"/>
      <c r="E27" s="59" t="n"/>
      <c r="F27" s="59" t="n"/>
      <c r="G27" s="59" t="n"/>
      <c r="H27" s="59" t="n"/>
      <c r="I27" s="59" t="n"/>
      <c r="J27" s="59" t="n"/>
      <c r="K27" s="59" t="n"/>
    </row>
    <row r="28" ht="13.5" customHeight="1" s="38">
      <c r="A28" s="46" t="inlineStr">
        <is>
          <t>Avg tok/s by Strategy (S3)</t>
        </is>
      </c>
      <c r="B28" s="60">
        <f>SUMPRODUCT(--ISNUMBER(SEARCH("_S3_",'Master Tracking Ledger'!$A$4:$A$1003)),IFERROR(VALUE('Master Tracking Ledger'!$J$4:$J$1003),0))/SUMPRODUCT(--ISNUMBER(SEARCH("_S3_",'Master Tracking Ledger'!$A$4:$A$1003)),IFERROR(VALUE('Master Tracking Ledger'!$J$4:$J$1003)^0,0))</f>
        <v/>
      </c>
      <c r="C28" s="46" t="n"/>
      <c r="D28" s="59" t="n"/>
      <c r="E28" s="59" t="n"/>
      <c r="F28" s="59" t="n"/>
      <c r="G28" s="59" t="n"/>
      <c r="H28" s="59" t="n"/>
      <c r="I28" s="59" t="n"/>
      <c r="J28" s="59" t="n"/>
      <c r="K28" s="59" t="n"/>
    </row>
    <row r="29" ht="13.5" customHeight="1" s="38">
      <c r="A29" s="46" t="inlineStr">
        <is>
          <t>Avg tok/s by Strategy (S4)</t>
        </is>
      </c>
      <c r="B29" s="60">
        <f>SUMPRODUCT(--ISNUMBER(SEARCH("_S4_",'Master Tracking Ledger'!$A$4:$A$1003)),IFERROR(VALUE('Master Tracking Ledger'!$J$4:$J$1003),0))/SUMPRODUCT(--ISNUMBER(SEARCH("_S4_",'Master Tracking Ledger'!$A$4:$A$1003)),IFERROR(VALUE('Master Tracking Ledger'!$J$4:$J$1003)^0,0))</f>
        <v/>
      </c>
      <c r="C29" s="46" t="n"/>
      <c r="D29" s="59" t="n"/>
      <c r="E29" s="59" t="n"/>
      <c r="F29" s="59" t="n"/>
      <c r="G29" s="59" t="n"/>
      <c r="H29" s="59" t="n"/>
      <c r="I29" s="59" t="n"/>
      <c r="J29" s="59" t="n"/>
      <c r="K29" s="59" t="n"/>
    </row>
    <row r="31" ht="18" customHeight="1" s="38">
      <c r="A31" s="61" t="inlineStr">
        <is>
          <t>GEMMA3 vs HUMAN-ANALYST SCORE RECONCILIATION  |  60 dual-scored reports</t>
        </is>
      </c>
      <c r="B31" s="62" t="n"/>
      <c r="C31" s="62" t="n"/>
      <c r="D31" s="62" t="n"/>
      <c r="E31" s="62" t="n"/>
      <c r="F31" s="62" t="n"/>
      <c r="G31" s="62" t="n"/>
      <c r="H31" s="62" t="n"/>
      <c r="I31" s="62" t="n"/>
      <c r="J31" s="62" t="n"/>
      <c r="K31" s="63" t="n"/>
    </row>
    <row r="32" ht="27.75" customHeight="1" s="38">
      <c r="A32" s="50" t="inlineStr">
        <is>
          <t>Left of pipe = Gemma3 (model) score; right = human analyst. Δ = Human − Gemma3. Source detail on the "Score Reconciliation" sheet. Pass threshold: Composite ≥ 3.5.</t>
        </is>
      </c>
      <c r="B32" s="62" t="n"/>
      <c r="C32" s="62" t="n"/>
      <c r="D32" s="62" t="n"/>
      <c r="E32" s="62" t="n"/>
      <c r="F32" s="62" t="n"/>
      <c r="G32" s="62" t="n"/>
      <c r="H32" s="62" t="n"/>
      <c r="I32" s="62" t="n"/>
      <c r="J32" s="62" t="n"/>
      <c r="K32" s="63" t="n"/>
    </row>
    <row r="33" ht="15" customHeight="1" s="38">
      <c r="A33" s="64" t="inlineStr">
        <is>
          <t>Metric</t>
        </is>
      </c>
      <c r="B33" s="64" t="inlineStr">
        <is>
          <t>Value</t>
        </is>
      </c>
      <c r="C33" s="64" t="inlineStr">
        <is>
          <t>Notes</t>
        </is>
      </c>
      <c r="D33" s="59" t="n"/>
      <c r="E33" s="59" t="n"/>
      <c r="F33" s="59" t="n"/>
      <c r="G33" s="59" t="n"/>
      <c r="H33" s="59" t="n"/>
      <c r="I33" s="59" t="n"/>
      <c r="J33" s="59" t="n"/>
      <c r="K33" s="59" t="n"/>
    </row>
    <row r="34" ht="15" customHeight="1" s="38">
      <c r="A34" s="75" t="inlineStr">
        <is>
          <t>Dual-scored reports (N)</t>
        </is>
      </c>
      <c r="B34" s="58">
        <f>COUNT('Score Reconciliation'!$B$4:$B$63)</f>
        <v/>
      </c>
      <c r="C34" s="75" t="inlineStr">
        <is>
          <t>Reports graded by both Gemma3 and a human analyst</t>
        </is>
      </c>
      <c r="D34" s="62" t="n"/>
      <c r="E34" s="62" t="n"/>
      <c r="F34" s="62" t="n"/>
      <c r="G34" s="62" t="n"/>
      <c r="H34" s="62" t="n"/>
      <c r="I34" s="62" t="n"/>
      <c r="J34" s="62" t="n"/>
      <c r="K34" s="63" t="n"/>
    </row>
    <row r="35" ht="15" customHeight="1" s="38">
      <c r="A35" s="75" t="inlineStr">
        <is>
          <t>Pass/Fail rating changed (count)</t>
        </is>
      </c>
      <c r="B35" s="58">
        <f>COUNTIF('Score Reconciliation'!$U$4:$U$63,"Yes")</f>
        <v/>
      </c>
      <c r="C35" s="75" t="inlineStr">
        <is>
          <t>Aggregate (composite) Pass/Fail flipped between raters</t>
        </is>
      </c>
      <c r="D35" s="62" t="n"/>
      <c r="E35" s="62" t="n"/>
      <c r="F35" s="62" t="n"/>
      <c r="G35" s="62" t="n"/>
      <c r="H35" s="62" t="n"/>
      <c r="I35" s="62" t="n"/>
      <c r="J35" s="62" t="n"/>
      <c r="K35" s="63" t="n"/>
    </row>
    <row r="36" ht="15" customHeight="1" s="38">
      <c r="A36" s="75" t="inlineStr">
        <is>
          <t>Pass/Fail changed (% of dual-scored)</t>
        </is>
      </c>
      <c r="B36" s="66">
        <f>COUNTIF('Score Reconciliation'!$U$4:$U$63,"Yes")/COUNT('Score Reconciliation'!$B$4:$B$63)</f>
        <v/>
      </c>
      <c r="C36" s="75" t="inlineStr">
        <is>
          <t>Share of dual-scored reports whose verdict flipped</t>
        </is>
      </c>
      <c r="D36" s="62" t="n"/>
      <c r="E36" s="62" t="n"/>
      <c r="F36" s="62" t="n"/>
      <c r="G36" s="62" t="n"/>
      <c r="H36" s="62" t="n"/>
      <c r="I36" s="62" t="n"/>
      <c r="J36" s="62" t="n"/>
      <c r="K36" s="63" t="n"/>
    </row>
    <row r="37" ht="15" customHeight="1" s="38">
      <c r="A37" s="75" t="inlineStr">
        <is>
          <t>— Gemma3 Pass → Human Fail</t>
        </is>
      </c>
      <c r="B37" s="58">
        <f>COUNTIFS('Score Reconciliation'!$S$4:$S$63,"Pass",'Score Reconciliation'!$T$4:$T$63,"Fail")</f>
        <v/>
      </c>
      <c r="C37" s="75" t="inlineStr">
        <is>
          <t>Model passed; human failed (model over-credit)</t>
        </is>
      </c>
      <c r="D37" s="62" t="n"/>
      <c r="E37" s="62" t="n"/>
      <c r="F37" s="62" t="n"/>
      <c r="G37" s="62" t="n"/>
      <c r="H37" s="62" t="n"/>
      <c r="I37" s="62" t="n"/>
      <c r="J37" s="62" t="n"/>
      <c r="K37" s="63" t="n"/>
    </row>
    <row r="38" ht="15" customHeight="1" s="38">
      <c r="A38" s="75" t="inlineStr">
        <is>
          <t>— Gemma3 Fail → Human Pass</t>
        </is>
      </c>
      <c r="B38" s="58">
        <f>COUNTIFS('Score Reconciliation'!$S$4:$S$63,"Fail",'Score Reconciliation'!$T$4:$T$63,"Pass")</f>
        <v/>
      </c>
      <c r="C38" s="75" t="inlineStr">
        <is>
          <t>Model failed; human passed (model under-credit)</t>
        </is>
      </c>
      <c r="D38" s="62" t="n"/>
      <c r="E38" s="62" t="n"/>
      <c r="F38" s="62" t="n"/>
      <c r="G38" s="62" t="n"/>
      <c r="H38" s="62" t="n"/>
      <c r="I38" s="62" t="n"/>
      <c r="J38" s="62" t="n"/>
      <c r="K38" s="63" t="n"/>
    </row>
    <row r="39" ht="15" customHeight="1" s="38">
      <c r="A39" s="75" t="inlineStr">
        <is>
          <t>Pass/Fail agreement rate (%)</t>
        </is>
      </c>
      <c r="B39" s="66">
        <f>COUNTIF('Score Reconciliation'!$U$4:$U$63,"No")/COUNT('Score Reconciliation'!$B$4:$B$63)</f>
        <v/>
      </c>
      <c r="C39" s="75" t="inlineStr">
        <is>
          <t>Both raters reached the same verdict</t>
        </is>
      </c>
      <c r="D39" s="62" t="n"/>
      <c r="E39" s="62" t="n"/>
      <c r="F39" s="62" t="n"/>
      <c r="G39" s="62" t="n"/>
      <c r="H39" s="62" t="n"/>
      <c r="I39" s="62" t="n"/>
      <c r="J39" s="62" t="n"/>
      <c r="K39" s="63" t="n"/>
    </row>
    <row r="40" ht="15" customHeight="1" s="38">
      <c r="A40" s="75" t="inlineStr">
        <is>
          <t>Mean composite — Gemma3</t>
        </is>
      </c>
      <c r="B40" s="67">
        <f>AVERAGE('Score Reconciliation'!$O$4:$O$63)</f>
        <v/>
      </c>
      <c r="C40" s="75" t="inlineStr">
        <is>
          <t>Average model composite across dual-scored set</t>
        </is>
      </c>
      <c r="D40" s="62" t="n"/>
      <c r="E40" s="62" t="n"/>
      <c r="F40" s="62" t="n"/>
      <c r="G40" s="62" t="n"/>
      <c r="H40" s="62" t="n"/>
      <c r="I40" s="62" t="n"/>
      <c r="J40" s="62" t="n"/>
      <c r="K40" s="63" t="n"/>
    </row>
    <row r="41" ht="15" customHeight="1" s="38">
      <c r="A41" s="75" t="inlineStr">
        <is>
          <t>Mean composite — Human</t>
        </is>
      </c>
      <c r="B41" s="67">
        <f>AVERAGE('Score Reconciliation'!$P$4:$P$63)</f>
        <v/>
      </c>
      <c r="C41" s="75" t="inlineStr">
        <is>
          <t>Average human composite across dual-scored set</t>
        </is>
      </c>
      <c r="D41" s="62" t="n"/>
      <c r="E41" s="62" t="n"/>
      <c r="F41" s="62" t="n"/>
      <c r="G41" s="62" t="n"/>
      <c r="H41" s="62" t="n"/>
      <c r="I41" s="62" t="n"/>
      <c r="J41" s="62" t="n"/>
      <c r="K41" s="63" t="n"/>
    </row>
    <row r="42" ht="15" customHeight="1" s="38">
      <c r="A42" s="75" t="inlineStr">
        <is>
          <t>Mean composite Δ (Human − Gemma3)</t>
        </is>
      </c>
      <c r="B42" s="68">
        <f>AVERAGE('Score Reconciliation'!$Q$4:$Q$63)</f>
        <v/>
      </c>
      <c r="C42" s="75" t="inlineStr">
        <is>
          <t>Signed: negative = human scored lower than model</t>
        </is>
      </c>
      <c r="D42" s="62" t="n"/>
      <c r="E42" s="62" t="n"/>
      <c r="F42" s="62" t="n"/>
      <c r="G42" s="62" t="n"/>
      <c r="H42" s="62" t="n"/>
      <c r="I42" s="62" t="n"/>
      <c r="J42" s="62" t="n"/>
      <c r="K42" s="63" t="n"/>
    </row>
    <row r="43" ht="15" customHeight="1" s="38">
      <c r="A43" s="75" t="inlineStr">
        <is>
          <t>Mean |composite Δ|</t>
        </is>
      </c>
      <c r="B43" s="67">
        <f>AVERAGE('Score Reconciliation'!$R$4:$R$63)</f>
        <v/>
      </c>
      <c r="C43" s="75" t="inlineStr">
        <is>
          <t>Average magnitude of disagreement, ignoring direction</t>
        </is>
      </c>
      <c r="D43" s="62" t="n"/>
      <c r="E43" s="62" t="n"/>
      <c r="F43" s="62" t="n"/>
      <c r="G43" s="62" t="n"/>
      <c r="H43" s="62" t="n"/>
      <c r="I43" s="62" t="n"/>
      <c r="J43" s="62" t="n"/>
      <c r="K43" s="63" t="n"/>
    </row>
    <row r="44" ht="15" customHeight="1" s="38">
      <c r="A44" s="75" t="inlineStr">
        <is>
          <t>Max |composite Δ| (single report)</t>
        </is>
      </c>
      <c r="B44" s="67">
        <f>MAX('Score Reconciliation'!$R$4:$R$63)</f>
        <v/>
      </c>
      <c r="C44" s="75" t="inlineStr">
        <is>
          <t>Largest single-report composite disagreement</t>
        </is>
      </c>
      <c r="D44" s="62" t="n"/>
      <c r="E44" s="62" t="n"/>
      <c r="F44" s="62" t="n"/>
      <c r="G44" s="62" t="n"/>
      <c r="H44" s="62" t="n"/>
      <c r="I44" s="62" t="n"/>
      <c r="J44" s="62" t="n"/>
      <c r="K44" s="63" t="n"/>
    </row>
    <row r="46" ht="18" customHeight="1" s="38">
      <c r="A46" s="61" t="inlineStr">
        <is>
          <t>VARIANCE BY DIMENSION  |  which scores varied most between Gemma3 and the human analyst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3" t="n"/>
    </row>
    <row r="47" ht="15" customHeight="1" s="38">
      <c r="A47" s="64" t="inlineStr">
        <is>
          <t>Dimension (weight)</t>
        </is>
      </c>
      <c r="B47" s="64" t="inlineStr">
        <is>
          <t>Mean Gemma3</t>
        </is>
      </c>
      <c r="C47" s="64" t="inlineStr">
        <is>
          <t>Mean Human</t>
        </is>
      </c>
      <c r="D47" s="64" t="inlineStr">
        <is>
          <t>Mean Δ (H−G)</t>
        </is>
      </c>
      <c r="E47" s="64" t="inlineStr">
        <is>
          <t>Mean |Δ|</t>
        </is>
      </c>
      <c r="F47" s="64" t="inlineStr">
        <is>
          <t>Max |Δ|</t>
        </is>
      </c>
      <c r="G47" s="64" t="inlineStr">
        <is>
          <t>Rank by Mean |Δ|</t>
        </is>
      </c>
      <c r="H47" s="59" t="n"/>
      <c r="I47" s="59" t="n"/>
      <c r="J47" s="59" t="n"/>
      <c r="K47" s="59" t="n"/>
    </row>
    <row r="48" ht="15" customHeight="1" s="38">
      <c r="A48" s="75" t="inlineStr">
        <is>
          <t>Actionability (×0.35)</t>
        </is>
      </c>
      <c r="B48" s="67">
        <f>AVERAGE('Score Reconciliation'!$C$4:$C$63)</f>
        <v/>
      </c>
      <c r="C48" s="67">
        <f>AVERAGE('Score Reconciliation'!$D$4:$D$63)</f>
        <v/>
      </c>
      <c r="D48" s="68">
        <f>AVERAGE('Score Reconciliation'!$E$4:$E$63)</f>
        <v/>
      </c>
      <c r="E48" s="67">
        <f>SUMPRODUCT(ABS('Score Reconciliation'!$E$4:$E$63))/COUNT('Score Reconciliation'!$E$4:$E$63)</f>
        <v/>
      </c>
      <c r="F48" s="67">
        <f>MAX(MAX('Score Reconciliation'!$E$4:$E$63),-MIN('Score Reconciliation'!$E$4:$E$63))</f>
        <v/>
      </c>
      <c r="G48" s="58">
        <f>RANK(E48,$E$48:$E$51)</f>
        <v/>
      </c>
      <c r="H48" s="59" t="n"/>
      <c r="I48" s="59" t="n"/>
      <c r="J48" s="59" t="n"/>
      <c r="K48" s="59" t="n"/>
    </row>
    <row r="49" ht="15" customHeight="1" s="38">
      <c r="A49" s="75" t="inlineStr">
        <is>
          <t>Analytical Rigor (×0.30)</t>
        </is>
      </c>
      <c r="B49" s="67">
        <f>AVERAGE('Score Reconciliation'!$F$4:$F$63)</f>
        <v/>
      </c>
      <c r="C49" s="67">
        <f>AVERAGE('Score Reconciliation'!$G$4:$G$63)</f>
        <v/>
      </c>
      <c r="D49" s="68">
        <f>AVERAGE('Score Reconciliation'!$H$4:$H$63)</f>
        <v/>
      </c>
      <c r="E49" s="67">
        <f>SUMPRODUCT(ABS('Score Reconciliation'!$H$4:$H$63))/COUNT('Score Reconciliation'!$H$4:$H$63)</f>
        <v/>
      </c>
      <c r="F49" s="67">
        <f>MAX(MAX('Score Reconciliation'!$H$4:$H$63),-MIN('Score Reconciliation'!$H$4:$H$63))</f>
        <v/>
      </c>
      <c r="G49" s="58">
        <f>RANK(E49,$E$48:$E$51)</f>
        <v/>
      </c>
      <c r="H49" s="59" t="n"/>
      <c r="I49" s="59" t="n"/>
      <c r="J49" s="59" t="n"/>
      <c r="K49" s="59" t="n"/>
    </row>
    <row r="50" ht="15" customHeight="1" s="38">
      <c r="A50" s="75" t="inlineStr">
        <is>
          <t>Language Appropriateness (×0.20)</t>
        </is>
      </c>
      <c r="B50" s="67">
        <f>AVERAGE('Score Reconciliation'!$I$4:$I$63)</f>
        <v/>
      </c>
      <c r="C50" s="67">
        <f>AVERAGE('Score Reconciliation'!$J$4:$J$63)</f>
        <v/>
      </c>
      <c r="D50" s="68">
        <f>AVERAGE('Score Reconciliation'!$K$4:$K$63)</f>
        <v/>
      </c>
      <c r="E50" s="67">
        <f>SUMPRODUCT(ABS('Score Reconciliation'!$K$4:$K$63))/COUNT('Score Reconciliation'!$K$4:$K$63)</f>
        <v/>
      </c>
      <c r="F50" s="67">
        <f>MAX(MAX('Score Reconciliation'!$K$4:$K$63),-MIN('Score Reconciliation'!$K$4:$K$63))</f>
        <v/>
      </c>
      <c r="G50" s="58">
        <f>RANK(E50,$E$48:$E$51)</f>
        <v/>
      </c>
      <c r="H50" s="59" t="n"/>
      <c r="I50" s="59" t="n"/>
      <c r="J50" s="59" t="n"/>
      <c r="K50" s="59" t="n"/>
    </row>
    <row r="51" ht="15" customHeight="1" s="38">
      <c r="A51" s="75" t="inlineStr">
        <is>
          <t>Structure (×0.15)</t>
        </is>
      </c>
      <c r="B51" s="67">
        <f>AVERAGE('Score Reconciliation'!$L$4:$L$63)</f>
        <v/>
      </c>
      <c r="C51" s="67">
        <f>AVERAGE('Score Reconciliation'!$M$4:$M$63)</f>
        <v/>
      </c>
      <c r="D51" s="68">
        <f>AVERAGE('Score Reconciliation'!$N$4:$N$63)</f>
        <v/>
      </c>
      <c r="E51" s="67">
        <f>SUMPRODUCT(ABS('Score Reconciliation'!$N$4:$N$63))/COUNT('Score Reconciliation'!$N$4:$N$63)</f>
        <v/>
      </c>
      <c r="F51" s="67">
        <f>MAX(MAX('Score Reconciliation'!$N$4:$N$63),-MIN('Score Reconciliation'!$N$4:$N$63))</f>
        <v/>
      </c>
      <c r="G51" s="58">
        <f>RANK(E51,$E$48:$E$51)</f>
        <v/>
      </c>
      <c r="H51" s="59" t="n"/>
      <c r="I51" s="59" t="n"/>
      <c r="J51" s="59" t="n"/>
      <c r="K51" s="59" t="n"/>
    </row>
    <row r="52" ht="15" customHeight="1" s="38">
      <c r="A52" s="75" t="inlineStr">
        <is>
          <t>Composite (weighted)</t>
        </is>
      </c>
      <c r="B52" s="67">
        <f>AVERAGE('Score Reconciliation'!$O$4:$O$63)</f>
        <v/>
      </c>
      <c r="C52" s="67">
        <f>AVERAGE('Score Reconciliation'!$P$4:$P$63)</f>
        <v/>
      </c>
      <c r="D52" s="68">
        <f>AVERAGE('Score Reconciliation'!$Q$4:$Q$63)</f>
        <v/>
      </c>
      <c r="E52" s="67">
        <f>SUMPRODUCT(ABS('Score Reconciliation'!$Q$4:$Q$63))/COUNT('Score Reconciliation'!$Q$4:$Q$63)</f>
        <v/>
      </c>
      <c r="F52" s="67">
        <f>MAX(MAX('Score Reconciliation'!$Q$4:$Q$63),-MIN('Score Reconciliation'!$Q$4:$Q$63))</f>
        <v/>
      </c>
      <c r="G52" s="50" t="inlineStr">
        <is>
          <t>— (aggregate)</t>
        </is>
      </c>
      <c r="H52" s="59" t="n"/>
      <c r="I52" s="59" t="n"/>
      <c r="J52" s="59" t="n"/>
      <c r="K52" s="59" t="n"/>
    </row>
    <row r="53" ht="15" customHeight="1" s="38">
      <c r="A53" s="69" t="inlineStr">
        <is>
          <t>Most-divergent dimension:</t>
        </is>
      </c>
      <c r="B53" s="75">
        <f>INDEX($A$48:$A$51,MATCH(MAX($E$48:$E$51),$E$48:$E$51,0))</f>
        <v/>
      </c>
      <c r="C53" s="62" t="n"/>
      <c r="D53" s="62" t="n"/>
      <c r="E53" s="62" t="n"/>
      <c r="F53" s="62" t="n"/>
      <c r="G53" s="62" t="n"/>
      <c r="H53" s="62" t="n"/>
      <c r="I53" s="62" t="n"/>
      <c r="J53" s="62" t="n"/>
      <c r="K53" s="63" t="n"/>
    </row>
    <row r="55" ht="18" customHeight="1" s="38">
      <c r="A55" s="61" t="inlineStr">
        <is>
          <t>TOP-VARIANCE REPORTS  |  largest Gemma3-vs-Human composite disagreements</t>
        </is>
      </c>
      <c r="B55" s="62" t="n"/>
      <c r="C55" s="62" t="n"/>
      <c r="D55" s="62" t="n"/>
      <c r="E55" s="62" t="n"/>
      <c r="F55" s="62" t="n"/>
      <c r="G55" s="62" t="n"/>
      <c r="H55" s="62" t="n"/>
      <c r="I55" s="62" t="n"/>
      <c r="J55" s="62" t="n"/>
      <c r="K55" s="63" t="n"/>
    </row>
    <row r="56" ht="15" customHeight="1" s="38">
      <c r="A56" s="64" t="inlineStr">
        <is>
          <t>Rank</t>
        </is>
      </c>
      <c r="B56" s="64" t="inlineStr">
        <is>
          <t>Random_ID</t>
        </is>
      </c>
      <c r="C56" s="64" t="inlineStr">
        <is>
          <t>Gemma3 Composite</t>
        </is>
      </c>
      <c r="D56" s="64" t="inlineStr">
        <is>
          <t>Human Composite</t>
        </is>
      </c>
      <c r="E56" s="64" t="inlineStr">
        <is>
          <t>Δ Composite (H−G)</t>
        </is>
      </c>
      <c r="F56" s="64" t="inlineStr">
        <is>
          <t>Verdict Change</t>
        </is>
      </c>
      <c r="G56" s="59" t="n"/>
      <c r="H56" s="59" t="n"/>
      <c r="I56" s="59" t="n"/>
      <c r="J56" s="59" t="n"/>
      <c r="K56" s="59" t="n"/>
    </row>
    <row r="57" ht="15" customHeight="1" s="38">
      <c r="A57" s="58" t="n">
        <v>1</v>
      </c>
      <c r="B57" s="50">
        <f>INDEX('Score Reconciliation'!$A$4:$A$63,MATCH(LARGE('Score Reconciliation'!$W$4:$W$63,1),'Score Reconciliation'!$W$4:$W$63,0))</f>
        <v/>
      </c>
      <c r="C57" s="67">
        <f>INDEX('Score Reconciliation'!$O$4:$O$63,MATCH(LARGE('Score Reconciliation'!$W$4:$W$63,1),'Score Reconciliation'!$W$4:$W$63,0))</f>
        <v/>
      </c>
      <c r="D57" s="67">
        <f>INDEX('Score Reconciliation'!$P$4:$P$63,MATCH(LARGE('Score Reconciliation'!$W$4:$W$63,1),'Score Reconciliation'!$W$4:$W$63,0))</f>
        <v/>
      </c>
      <c r="E57" s="68">
        <f>INDEX('Score Reconciliation'!$Q$4:$Q$63,MATCH(LARGE('Score Reconciliation'!$W$4:$W$63,1),'Score Reconciliation'!$W$4:$W$63,0))</f>
        <v/>
      </c>
      <c r="F57" s="50">
        <f>INDEX('Score Reconciliation'!$V$4:$V$63,MATCH(LARGE('Score Reconciliation'!$W$4:$W$63,1),'Score Reconciliation'!$W$4:$W$63,0))</f>
        <v/>
      </c>
      <c r="G57" s="59" t="n"/>
      <c r="H57" s="59" t="n"/>
      <c r="I57" s="59" t="n"/>
      <c r="J57" s="59" t="n"/>
      <c r="K57" s="59" t="n"/>
    </row>
    <row r="58" ht="15" customHeight="1" s="38">
      <c r="A58" s="58" t="n">
        <v>2</v>
      </c>
      <c r="B58" s="50">
        <f>INDEX('Score Reconciliation'!$A$4:$A$63,MATCH(LARGE('Score Reconciliation'!$W$4:$W$63,2),'Score Reconciliation'!$W$4:$W$63,0))</f>
        <v/>
      </c>
      <c r="C58" s="67">
        <f>INDEX('Score Reconciliation'!$O$4:$O$63,MATCH(LARGE('Score Reconciliation'!$W$4:$W$63,2),'Score Reconciliation'!$W$4:$W$63,0))</f>
        <v/>
      </c>
      <c r="D58" s="67">
        <f>INDEX('Score Reconciliation'!$P$4:$P$63,MATCH(LARGE('Score Reconciliation'!$W$4:$W$63,2),'Score Reconciliation'!$W$4:$W$63,0))</f>
        <v/>
      </c>
      <c r="E58" s="68">
        <f>INDEX('Score Reconciliation'!$Q$4:$Q$63,MATCH(LARGE('Score Reconciliation'!$W$4:$W$63,2),'Score Reconciliation'!$W$4:$W$63,0))</f>
        <v/>
      </c>
      <c r="F58" s="50">
        <f>INDEX('Score Reconciliation'!$V$4:$V$63,MATCH(LARGE('Score Reconciliation'!$W$4:$W$63,2),'Score Reconciliation'!$W$4:$W$63,0))</f>
        <v/>
      </c>
      <c r="G58" s="59" t="n"/>
      <c r="H58" s="59" t="n"/>
      <c r="I58" s="59" t="n"/>
      <c r="J58" s="59" t="n"/>
      <c r="K58" s="59" t="n"/>
    </row>
    <row r="59" ht="15" customHeight="1" s="38">
      <c r="A59" s="58" t="n">
        <v>3</v>
      </c>
      <c r="B59" s="50">
        <f>INDEX('Score Reconciliation'!$A$4:$A$63,MATCH(LARGE('Score Reconciliation'!$W$4:$W$63,3),'Score Reconciliation'!$W$4:$W$63,0))</f>
        <v/>
      </c>
      <c r="C59" s="67">
        <f>INDEX('Score Reconciliation'!$O$4:$O$63,MATCH(LARGE('Score Reconciliation'!$W$4:$W$63,3),'Score Reconciliation'!$W$4:$W$63,0))</f>
        <v/>
      </c>
      <c r="D59" s="67">
        <f>INDEX('Score Reconciliation'!$P$4:$P$63,MATCH(LARGE('Score Reconciliation'!$W$4:$W$63,3),'Score Reconciliation'!$W$4:$W$63,0))</f>
        <v/>
      </c>
      <c r="E59" s="68">
        <f>INDEX('Score Reconciliation'!$Q$4:$Q$63,MATCH(LARGE('Score Reconciliation'!$W$4:$W$63,3),'Score Reconciliation'!$W$4:$W$63,0))</f>
        <v/>
      </c>
      <c r="F59" s="50">
        <f>INDEX('Score Reconciliation'!$V$4:$V$63,MATCH(LARGE('Score Reconciliation'!$W$4:$W$63,3),'Score Reconciliation'!$W$4:$W$63,0))</f>
        <v/>
      </c>
      <c r="G59" s="59" t="n"/>
      <c r="H59" s="59" t="n"/>
      <c r="I59" s="59" t="n"/>
      <c r="J59" s="59" t="n"/>
      <c r="K59" s="59" t="n"/>
    </row>
    <row r="60" ht="15" customHeight="1" s="38">
      <c r="A60" s="58" t="n">
        <v>4</v>
      </c>
      <c r="B60" s="50">
        <f>INDEX('Score Reconciliation'!$A$4:$A$63,MATCH(LARGE('Score Reconciliation'!$W$4:$W$63,4),'Score Reconciliation'!$W$4:$W$63,0))</f>
        <v/>
      </c>
      <c r="C60" s="67">
        <f>INDEX('Score Reconciliation'!$O$4:$O$63,MATCH(LARGE('Score Reconciliation'!$W$4:$W$63,4),'Score Reconciliation'!$W$4:$W$63,0))</f>
        <v/>
      </c>
      <c r="D60" s="67">
        <f>INDEX('Score Reconciliation'!$P$4:$P$63,MATCH(LARGE('Score Reconciliation'!$W$4:$W$63,4),'Score Reconciliation'!$W$4:$W$63,0))</f>
        <v/>
      </c>
      <c r="E60" s="68">
        <f>INDEX('Score Reconciliation'!$Q$4:$Q$63,MATCH(LARGE('Score Reconciliation'!$W$4:$W$63,4),'Score Reconciliation'!$W$4:$W$63,0))</f>
        <v/>
      </c>
      <c r="F60" s="50">
        <f>INDEX('Score Reconciliation'!$V$4:$V$63,MATCH(LARGE('Score Reconciliation'!$W$4:$W$63,4),'Score Reconciliation'!$W$4:$W$63,0))</f>
        <v/>
      </c>
      <c r="G60" s="59" t="n"/>
      <c r="H60" s="59" t="n"/>
      <c r="I60" s="59" t="n"/>
      <c r="J60" s="59" t="n"/>
      <c r="K60" s="59" t="n"/>
    </row>
    <row r="61" ht="15" customHeight="1" s="38">
      <c r="A61" s="58" t="n">
        <v>5</v>
      </c>
      <c r="B61" s="50">
        <f>INDEX('Score Reconciliation'!$A$4:$A$63,MATCH(LARGE('Score Reconciliation'!$W$4:$W$63,5),'Score Reconciliation'!$W$4:$W$63,0))</f>
        <v/>
      </c>
      <c r="C61" s="67">
        <f>INDEX('Score Reconciliation'!$O$4:$O$63,MATCH(LARGE('Score Reconciliation'!$W$4:$W$63,5),'Score Reconciliation'!$W$4:$W$63,0))</f>
        <v/>
      </c>
      <c r="D61" s="67">
        <f>INDEX('Score Reconciliation'!$P$4:$P$63,MATCH(LARGE('Score Reconciliation'!$W$4:$W$63,5),'Score Reconciliation'!$W$4:$W$63,0))</f>
        <v/>
      </c>
      <c r="E61" s="68">
        <f>INDEX('Score Reconciliation'!$Q$4:$Q$63,MATCH(LARGE('Score Reconciliation'!$W$4:$W$63,5),'Score Reconciliation'!$W$4:$W$63,0))</f>
        <v/>
      </c>
      <c r="F61" s="50">
        <f>INDEX('Score Reconciliation'!$V$4:$V$63,MATCH(LARGE('Score Reconciliation'!$W$4:$W$63,5),'Score Reconciliation'!$W$4:$W$63,0))</f>
        <v/>
      </c>
      <c r="G61" s="59" t="n"/>
      <c r="H61" s="59" t="n"/>
      <c r="I61" s="59" t="n"/>
      <c r="J61" s="59" t="n"/>
      <c r="K61" s="59" t="n"/>
    </row>
    <row r="62" ht="15" customHeight="1" s="38">
      <c r="A62" s="58" t="n">
        <v>6</v>
      </c>
      <c r="B62" s="50">
        <f>INDEX('Score Reconciliation'!$A$4:$A$63,MATCH(LARGE('Score Reconciliation'!$W$4:$W$63,6),'Score Reconciliation'!$W$4:$W$63,0))</f>
        <v/>
      </c>
      <c r="C62" s="67">
        <f>INDEX('Score Reconciliation'!$O$4:$O$63,MATCH(LARGE('Score Reconciliation'!$W$4:$W$63,6),'Score Reconciliation'!$W$4:$W$63,0))</f>
        <v/>
      </c>
      <c r="D62" s="67">
        <f>INDEX('Score Reconciliation'!$P$4:$P$63,MATCH(LARGE('Score Reconciliation'!$W$4:$W$63,6),'Score Reconciliation'!$W$4:$W$63,0))</f>
        <v/>
      </c>
      <c r="E62" s="68">
        <f>INDEX('Score Reconciliation'!$Q$4:$Q$63,MATCH(LARGE('Score Reconciliation'!$W$4:$W$63,6),'Score Reconciliation'!$W$4:$W$63,0))</f>
        <v/>
      </c>
      <c r="F62" s="50">
        <f>INDEX('Score Reconciliation'!$V$4:$V$63,MATCH(LARGE('Score Reconciliation'!$W$4:$W$63,6),'Score Reconciliation'!$W$4:$W$63,0))</f>
        <v/>
      </c>
      <c r="G62" s="59" t="n"/>
      <c r="H62" s="59" t="n"/>
      <c r="I62" s="59" t="n"/>
      <c r="J62" s="59" t="n"/>
      <c r="K62" s="59" t="n"/>
    </row>
    <row r="63" ht="15" customHeight="1" s="38">
      <c r="A63" s="58" t="n">
        <v>7</v>
      </c>
      <c r="B63" s="50">
        <f>INDEX('Score Reconciliation'!$A$4:$A$63,MATCH(LARGE('Score Reconciliation'!$W$4:$W$63,7),'Score Reconciliation'!$W$4:$W$63,0))</f>
        <v/>
      </c>
      <c r="C63" s="67">
        <f>INDEX('Score Reconciliation'!$O$4:$O$63,MATCH(LARGE('Score Reconciliation'!$W$4:$W$63,7),'Score Reconciliation'!$W$4:$W$63,0))</f>
        <v/>
      </c>
      <c r="D63" s="67">
        <f>INDEX('Score Reconciliation'!$P$4:$P$63,MATCH(LARGE('Score Reconciliation'!$W$4:$W$63,7),'Score Reconciliation'!$W$4:$W$63,0))</f>
        <v/>
      </c>
      <c r="E63" s="68">
        <f>INDEX('Score Reconciliation'!$Q$4:$Q$63,MATCH(LARGE('Score Reconciliation'!$W$4:$W$63,7),'Score Reconciliation'!$W$4:$W$63,0))</f>
        <v/>
      </c>
      <c r="F63" s="50">
        <f>INDEX('Score Reconciliation'!$V$4:$V$63,MATCH(LARGE('Score Reconciliation'!$W$4:$W$63,7),'Score Reconciliation'!$W$4:$W$63,0))</f>
        <v/>
      </c>
      <c r="G63" s="59" t="n"/>
      <c r="H63" s="59" t="n"/>
      <c r="I63" s="59" t="n"/>
      <c r="J63" s="59" t="n"/>
      <c r="K63" s="59" t="n"/>
    </row>
    <row r="64" ht="15" customHeight="1" s="38">
      <c r="A64" s="58" t="n">
        <v>8</v>
      </c>
      <c r="B64" s="50">
        <f>INDEX('Score Reconciliation'!$A$4:$A$63,MATCH(LARGE('Score Reconciliation'!$W$4:$W$63,8),'Score Reconciliation'!$W$4:$W$63,0))</f>
        <v/>
      </c>
      <c r="C64" s="67">
        <f>INDEX('Score Reconciliation'!$O$4:$O$63,MATCH(LARGE('Score Reconciliation'!$W$4:$W$63,8),'Score Reconciliation'!$W$4:$W$63,0))</f>
        <v/>
      </c>
      <c r="D64" s="67">
        <f>INDEX('Score Reconciliation'!$P$4:$P$63,MATCH(LARGE('Score Reconciliation'!$W$4:$W$63,8),'Score Reconciliation'!$W$4:$W$63,0))</f>
        <v/>
      </c>
      <c r="E64" s="68">
        <f>INDEX('Score Reconciliation'!$Q$4:$Q$63,MATCH(LARGE('Score Reconciliation'!$W$4:$W$63,8),'Score Reconciliation'!$W$4:$W$63,0))</f>
        <v/>
      </c>
      <c r="F64" s="50">
        <f>INDEX('Score Reconciliation'!$V$4:$V$63,MATCH(LARGE('Score Reconciliation'!$W$4:$W$63,8),'Score Reconciliation'!$W$4:$W$63,0))</f>
        <v/>
      </c>
      <c r="G64" s="59" t="n"/>
      <c r="H64" s="59" t="n"/>
      <c r="I64" s="59" t="n"/>
      <c r="J64" s="59" t="n"/>
      <c r="K64" s="59" t="n"/>
    </row>
  </sheetData>
  <mergeCells count="20">
    <mergeCell ref="C41:K41"/>
    <mergeCell ref="C44:K44"/>
    <mergeCell ref="C40:K40"/>
    <mergeCell ref="A1:K1"/>
    <mergeCell ref="C43:K43"/>
    <mergeCell ref="C36:K36"/>
    <mergeCell ref="A46:K46"/>
    <mergeCell ref="C39:K39"/>
    <mergeCell ref="C38:K38"/>
    <mergeCell ref="C37:K37"/>
    <mergeCell ref="A55:K55"/>
    <mergeCell ref="A2:K2"/>
    <mergeCell ref="A32:K32"/>
    <mergeCell ref="C34:K34"/>
    <mergeCell ref="A20:K20"/>
    <mergeCell ref="C42:K42"/>
    <mergeCell ref="B53:K53"/>
    <mergeCell ref="A10:K10"/>
    <mergeCell ref="C35:K35"/>
    <mergeCell ref="A31:K31"/>
  </mergeCells>
  <printOptions horizontalCentered="0" verticalCentered="0" headings="0" gridLines="0" gridLinesSet="1"/>
  <pageMargins left="0.75" right="0.75" top="1" bottom="1" header="0.511811023622047" footer="0.511805555555556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0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customHeight="0" zeroHeight="0" outlineLevelRow="0"/>
  <cols>
    <col width="14" customWidth="1" style="37" min="1" max="1"/>
    <col width="32" customWidth="1" style="37" min="2" max="2"/>
    <col width="44" customWidth="1" style="37" min="3" max="3"/>
    <col width="15" customWidth="1" style="37" min="4" max="4"/>
    <col width="22.3" customWidth="1" style="37" min="5" max="5"/>
    <col width="8.67" customWidth="1" style="37" min="6" max="16384"/>
  </cols>
  <sheetData>
    <row r="1" ht="15" customHeight="1" s="38">
      <c r="A1" s="70" t="inlineStr">
        <is>
          <t>ANONYMIZATION KEY  |  ⚠  RESTRICTED</t>
        </is>
      </c>
      <c r="B1" s="40" t="n"/>
      <c r="C1" s="40" t="n"/>
      <c r="D1" s="40" t="n"/>
      <c r="E1" s="40" t="n"/>
      <c r="F1" s="71" t="n"/>
    </row>
    <row r="2" ht="15" customHeight="1" s="38">
      <c r="A2" s="72" t="inlineStr">
        <is>
          <t>Open ONLY after all evaluations are complete. Maps every Random_ID to its Report_ID, strategy, and metadata.</t>
        </is>
      </c>
      <c r="B2" s="43" t="n"/>
      <c r="C2" s="43" t="n"/>
      <c r="D2" s="43" t="n"/>
      <c r="E2" s="43" t="n"/>
      <c r="F2" s="71" t="n"/>
    </row>
    <row r="3" ht="13.5" customHeight="1" s="38">
      <c r="A3" s="73" t="inlineStr">
        <is>
          <t>Random_ID</t>
        </is>
      </c>
      <c r="B3" s="73" t="inlineStr">
        <is>
          <t>Report_ID</t>
        </is>
      </c>
      <c r="C3" s="73" t="inlineStr">
        <is>
          <t>Prompt_Strategy</t>
        </is>
      </c>
      <c r="D3" s="73" t="inlineStr">
        <is>
          <t>Scenario_ID</t>
        </is>
      </c>
      <c r="E3" s="73" t="inlineStr">
        <is>
          <t>Incident_Category</t>
        </is>
      </c>
      <c r="F3" s="74" t="n"/>
    </row>
    <row r="4" ht="13.5" customHeight="1" s="38">
      <c r="A4" s="46" t="inlineStr">
        <is>
          <t>R_0001</t>
        </is>
      </c>
      <c r="B4" s="46" t="inlineStr">
        <is>
          <t>B_S3_SC05_I06</t>
        </is>
      </c>
      <c r="C4" s="46" t="inlineStr">
        <is>
          <t>Strategy 3 – One-Shot + Structured Template</t>
        </is>
      </c>
      <c r="D4" s="75" t="inlineStr">
        <is>
          <t>SC05</t>
        </is>
      </c>
      <c r="E4" s="46" t="inlineStr">
        <is>
          <t>Business Email Compromise</t>
        </is>
      </c>
      <c r="F4" s="74" t="n"/>
    </row>
    <row r="5" ht="13.5" customHeight="1" s="38">
      <c r="A5" s="46" t="inlineStr">
        <is>
          <t>R_0002</t>
        </is>
      </c>
      <c r="B5" s="46" t="inlineStr">
        <is>
          <t>S_S0_SC04_I02</t>
        </is>
      </c>
      <c r="C5" s="46" t="inlineStr">
        <is>
          <t>Baseline – Zero-Shot (minimal instruction)</t>
        </is>
      </c>
      <c r="D5" s="75" t="inlineStr">
        <is>
          <t>SC04</t>
        </is>
      </c>
      <c r="E5" s="46" t="inlineStr">
        <is>
          <t>Supply Chain</t>
        </is>
      </c>
      <c r="F5" s="74" t="n"/>
    </row>
    <row r="6" ht="13.5" customHeight="1" s="38">
      <c r="A6" s="46" t="inlineStr">
        <is>
          <t>R_0003</t>
        </is>
      </c>
      <c r="B6" s="46" t="inlineStr">
        <is>
          <t>S_S3_SC02_I10</t>
        </is>
      </c>
      <c r="C6" s="46" t="inlineStr">
        <is>
          <t>Strategy 3 – One-Shot + Structured Template</t>
        </is>
      </c>
      <c r="D6" s="75" t="inlineStr">
        <is>
          <t>SC02</t>
        </is>
      </c>
      <c r="E6" s="46" t="inlineStr">
        <is>
          <t>Supply Chain</t>
        </is>
      </c>
      <c r="F6" s="74" t="n"/>
    </row>
    <row r="7" ht="13.5" customHeight="1" s="38">
      <c r="A7" s="46" t="inlineStr">
        <is>
          <t>R_0004</t>
        </is>
      </c>
      <c r="B7" s="46" t="inlineStr">
        <is>
          <t>R_S4_SC02_I08</t>
        </is>
      </c>
      <c r="C7" s="46" t="inlineStr">
        <is>
          <t>Strategy 4 – One-Shot + Template + BLUF</t>
        </is>
      </c>
      <c r="D7" s="75" t="inlineStr">
        <is>
          <t>SC02</t>
        </is>
      </c>
      <c r="E7" s="46" t="inlineStr">
        <is>
          <t>Ransomware</t>
        </is>
      </c>
      <c r="F7" s="74" t="n"/>
    </row>
    <row r="8" ht="13.5" customHeight="1" s="38">
      <c r="A8" s="46" t="inlineStr">
        <is>
          <t>R_0005</t>
        </is>
      </c>
      <c r="B8" s="46" t="inlineStr">
        <is>
          <t>Z_S0_SC04_I04</t>
        </is>
      </c>
      <c r="C8" s="46" t="inlineStr">
        <is>
          <t>Baseline – Zero-Shot (minimal instruction)</t>
        </is>
      </c>
      <c r="D8" s="75" t="inlineStr">
        <is>
          <t>SC04</t>
        </is>
      </c>
      <c r="E8" s="46" t="inlineStr">
        <is>
          <t>Zero-Day / Edge Device</t>
        </is>
      </c>
      <c r="F8" s="74" t="n"/>
    </row>
    <row r="9" ht="13.5" customHeight="1" s="38">
      <c r="A9" s="46" t="inlineStr">
        <is>
          <t>R_0006</t>
        </is>
      </c>
      <c r="B9" s="46" t="inlineStr">
        <is>
          <t>R_S1_SC05_I09</t>
        </is>
      </c>
      <c r="C9" s="46" t="inlineStr">
        <is>
          <t>Strategy 1 – Zero-Shot + Structured Template</t>
        </is>
      </c>
      <c r="D9" s="75" t="inlineStr">
        <is>
          <t>SC05</t>
        </is>
      </c>
      <c r="E9" s="46" t="inlineStr">
        <is>
          <t>Ransomware</t>
        </is>
      </c>
      <c r="F9" s="74" t="n"/>
    </row>
    <row r="10" ht="13.5" customHeight="1" s="38">
      <c r="A10" s="46" t="inlineStr">
        <is>
          <t>R_0007</t>
        </is>
      </c>
      <c r="B10" s="46" t="inlineStr">
        <is>
          <t>B_S4_SC03_I07</t>
        </is>
      </c>
      <c r="C10" s="46" t="inlineStr">
        <is>
          <t>Strategy 4 – One-Shot + Template + BLUF</t>
        </is>
      </c>
      <c r="D10" s="75" t="inlineStr">
        <is>
          <t>SC03</t>
        </is>
      </c>
      <c r="E10" s="46" t="inlineStr">
        <is>
          <t>Business Email Compromise</t>
        </is>
      </c>
      <c r="F10" s="74" t="n"/>
    </row>
    <row r="11" ht="13.5" customHeight="1" s="38">
      <c r="A11" s="46" t="inlineStr">
        <is>
          <t>R_0008</t>
        </is>
      </c>
      <c r="B11" s="46" t="inlineStr">
        <is>
          <t>Z_S3_SC05_I02</t>
        </is>
      </c>
      <c r="C11" s="46" t="inlineStr">
        <is>
          <t>Strategy 3 – One-Shot + Structured Template</t>
        </is>
      </c>
      <c r="D11" s="75" t="inlineStr">
        <is>
          <t>SC05</t>
        </is>
      </c>
      <c r="E11" s="46" t="inlineStr">
        <is>
          <t>Zero-Day / Edge Device</t>
        </is>
      </c>
      <c r="F11" s="74" t="n"/>
    </row>
    <row r="12" ht="13.5" customHeight="1" s="38">
      <c r="A12" s="46" t="inlineStr">
        <is>
          <t>R_0009</t>
        </is>
      </c>
      <c r="B12" s="46" t="inlineStr">
        <is>
          <t>B_S2_SC05_I04</t>
        </is>
      </c>
      <c r="C12" s="46" t="inlineStr">
        <is>
          <t>Strategy 2 – Zero-Shot + Template + BLUF</t>
        </is>
      </c>
      <c r="D12" s="75" t="inlineStr">
        <is>
          <t>SC05</t>
        </is>
      </c>
      <c r="E12" s="46" t="inlineStr">
        <is>
          <t>Business Email Compromise</t>
        </is>
      </c>
      <c r="F12" s="74" t="n"/>
    </row>
    <row r="13" ht="13.5" customHeight="1" s="38">
      <c r="A13" s="46" t="inlineStr">
        <is>
          <t>R_0010</t>
        </is>
      </c>
      <c r="B13" s="46" t="inlineStr">
        <is>
          <t>R_S3_SC02_I04</t>
        </is>
      </c>
      <c r="C13" s="46" t="inlineStr">
        <is>
          <t>Strategy 3 – One-Shot + Structured Template</t>
        </is>
      </c>
      <c r="D13" s="75" t="inlineStr">
        <is>
          <t>SC02</t>
        </is>
      </c>
      <c r="E13" s="46" t="inlineStr">
        <is>
          <t>Ransomware</t>
        </is>
      </c>
      <c r="F13" s="74" t="n"/>
    </row>
    <row r="14" ht="13.5" customHeight="1" s="38">
      <c r="A14" s="46" t="inlineStr">
        <is>
          <t>R_0011</t>
        </is>
      </c>
      <c r="B14" s="46" t="inlineStr">
        <is>
          <t>Z_S1_SC01_I08</t>
        </is>
      </c>
      <c r="C14" s="46" t="inlineStr">
        <is>
          <t>Strategy 1 – Zero-Shot + Structured Template</t>
        </is>
      </c>
      <c r="D14" s="75" t="inlineStr">
        <is>
          <t>SC01</t>
        </is>
      </c>
      <c r="E14" s="46" t="inlineStr">
        <is>
          <t>Zero-Day / Edge Device</t>
        </is>
      </c>
      <c r="F14" s="74" t="n"/>
    </row>
    <row r="15" ht="13.5" customHeight="1" s="38">
      <c r="A15" s="46" t="inlineStr">
        <is>
          <t>R_0012</t>
        </is>
      </c>
      <c r="B15" s="46" t="inlineStr">
        <is>
          <t>R_S4_SC04_I04</t>
        </is>
      </c>
      <c r="C15" s="46" t="inlineStr">
        <is>
          <t>Strategy 4 – One-Shot + Template + BLUF</t>
        </is>
      </c>
      <c r="D15" s="75" t="inlineStr">
        <is>
          <t>SC04</t>
        </is>
      </c>
      <c r="E15" s="46" t="inlineStr">
        <is>
          <t>Ransomware</t>
        </is>
      </c>
      <c r="F15" s="74" t="n"/>
    </row>
    <row r="16" ht="13.5" customHeight="1" s="38">
      <c r="A16" s="46" t="inlineStr">
        <is>
          <t>R_0013</t>
        </is>
      </c>
      <c r="B16" s="46" t="inlineStr">
        <is>
          <t>B_S1_SC05_I03</t>
        </is>
      </c>
      <c r="C16" s="46" t="inlineStr">
        <is>
          <t>Strategy 1 – Zero-Shot + Structured Template</t>
        </is>
      </c>
      <c r="D16" s="75" t="inlineStr">
        <is>
          <t>SC05</t>
        </is>
      </c>
      <c r="E16" s="46" t="inlineStr">
        <is>
          <t>Business Email Compromise</t>
        </is>
      </c>
      <c r="F16" s="74" t="n"/>
    </row>
    <row r="17" ht="13.5" customHeight="1" s="38">
      <c r="A17" s="46" t="inlineStr">
        <is>
          <t>R_0014</t>
        </is>
      </c>
      <c r="B17" s="46" t="inlineStr">
        <is>
          <t>S_S1_SC04_I03</t>
        </is>
      </c>
      <c r="C17" s="46" t="inlineStr">
        <is>
          <t>Strategy 1 – Zero-Shot + Structured Template</t>
        </is>
      </c>
      <c r="D17" s="75" t="inlineStr">
        <is>
          <t>SC04</t>
        </is>
      </c>
      <c r="E17" s="46" t="inlineStr">
        <is>
          <t>Supply Chain</t>
        </is>
      </c>
      <c r="F17" s="74" t="n"/>
    </row>
    <row r="18" ht="13.5" customHeight="1" s="38">
      <c r="A18" s="46" t="inlineStr">
        <is>
          <t>R_0015</t>
        </is>
      </c>
      <c r="B18" s="46" t="inlineStr">
        <is>
          <t>Z_S2_SC01_I05</t>
        </is>
      </c>
      <c r="C18" s="46" t="inlineStr">
        <is>
          <t>Strategy 2 – Zero-Shot + Template + BLUF</t>
        </is>
      </c>
      <c r="D18" s="75" t="inlineStr">
        <is>
          <t>SC01</t>
        </is>
      </c>
      <c r="E18" s="46" t="inlineStr">
        <is>
          <t>Zero-Day / Edge Device</t>
        </is>
      </c>
      <c r="F18" s="74" t="n"/>
    </row>
    <row r="19" ht="13.5" customHeight="1" s="38">
      <c r="A19" s="46" t="inlineStr">
        <is>
          <t>R_0016</t>
        </is>
      </c>
      <c r="B19" s="46" t="inlineStr">
        <is>
          <t>S_S3_SC04_I02</t>
        </is>
      </c>
      <c r="C19" s="46" t="inlineStr">
        <is>
          <t>Strategy 3 – One-Shot + Structured Template</t>
        </is>
      </c>
      <c r="D19" s="75" t="inlineStr">
        <is>
          <t>SC04</t>
        </is>
      </c>
      <c r="E19" s="46" t="inlineStr">
        <is>
          <t>Supply Chain</t>
        </is>
      </c>
      <c r="F19" s="74" t="n"/>
    </row>
    <row r="20" ht="13.5" customHeight="1" s="38">
      <c r="A20" s="46" t="inlineStr">
        <is>
          <t>R_0017</t>
        </is>
      </c>
      <c r="B20" s="46" t="inlineStr">
        <is>
          <t>S_S0_SC03_I10</t>
        </is>
      </c>
      <c r="C20" s="46" t="inlineStr">
        <is>
          <t>Baseline – Zero-Shot (minimal instruction)</t>
        </is>
      </c>
      <c r="D20" s="75" t="inlineStr">
        <is>
          <t>SC03</t>
        </is>
      </c>
      <c r="E20" s="46" t="inlineStr">
        <is>
          <t>Supply Chain</t>
        </is>
      </c>
      <c r="F20" s="74" t="n"/>
    </row>
    <row r="21" ht="13.5" customHeight="1" s="38">
      <c r="A21" s="46" t="inlineStr">
        <is>
          <t>R_0018</t>
        </is>
      </c>
      <c r="B21" s="46" t="inlineStr">
        <is>
          <t>B_S0_SC05_I04</t>
        </is>
      </c>
      <c r="C21" s="46" t="inlineStr">
        <is>
          <t>Baseline – Zero-Shot (minimal instruction)</t>
        </is>
      </c>
      <c r="D21" s="75" t="inlineStr">
        <is>
          <t>SC05</t>
        </is>
      </c>
      <c r="E21" s="46" t="inlineStr">
        <is>
          <t>Business Email Compromise</t>
        </is>
      </c>
      <c r="F21" s="74" t="n"/>
    </row>
    <row r="22" ht="13.5" customHeight="1" s="38">
      <c r="A22" s="46" t="inlineStr">
        <is>
          <t>R_0019</t>
        </is>
      </c>
      <c r="B22" s="46" t="inlineStr">
        <is>
          <t>R_S0_SC03_I10</t>
        </is>
      </c>
      <c r="C22" s="46" t="inlineStr">
        <is>
          <t>Baseline – Zero-Shot (minimal instruction)</t>
        </is>
      </c>
      <c r="D22" s="75" t="inlineStr">
        <is>
          <t>SC03</t>
        </is>
      </c>
      <c r="E22" s="46" t="inlineStr">
        <is>
          <t>Ransomware</t>
        </is>
      </c>
      <c r="F22" s="74" t="n"/>
    </row>
    <row r="23" ht="13.5" customHeight="1" s="38">
      <c r="A23" s="46" t="inlineStr">
        <is>
          <t>R_0020</t>
        </is>
      </c>
      <c r="B23" s="46" t="inlineStr">
        <is>
          <t>B_S3_SC05_I02</t>
        </is>
      </c>
      <c r="C23" s="46" t="inlineStr">
        <is>
          <t>Strategy 3 – One-Shot + Structured Template</t>
        </is>
      </c>
      <c r="D23" s="75" t="inlineStr">
        <is>
          <t>SC05</t>
        </is>
      </c>
      <c r="E23" s="46" t="inlineStr">
        <is>
          <t>Business Email Compromise</t>
        </is>
      </c>
      <c r="F23" s="74" t="n"/>
    </row>
    <row r="24" ht="13.5" customHeight="1" s="38">
      <c r="A24" s="46" t="inlineStr">
        <is>
          <t>R_0021</t>
        </is>
      </c>
      <c r="B24" s="46" t="inlineStr">
        <is>
          <t>S_S1_SC01_I06</t>
        </is>
      </c>
      <c r="C24" s="46" t="inlineStr">
        <is>
          <t>Strategy 1 – Zero-Shot + Structured Template</t>
        </is>
      </c>
      <c r="D24" s="75" t="inlineStr">
        <is>
          <t>SC01</t>
        </is>
      </c>
      <c r="E24" s="46" t="inlineStr">
        <is>
          <t>Supply Chain</t>
        </is>
      </c>
      <c r="F24" s="74" t="n"/>
    </row>
    <row r="25" ht="13.5" customHeight="1" s="38">
      <c r="A25" s="46" t="inlineStr">
        <is>
          <t>R_0022</t>
        </is>
      </c>
      <c r="B25" s="46" t="inlineStr">
        <is>
          <t>Z_S3_SC05_I08</t>
        </is>
      </c>
      <c r="C25" s="46" t="inlineStr">
        <is>
          <t>Strategy 3 – One-Shot + Structured Template</t>
        </is>
      </c>
      <c r="D25" s="75" t="inlineStr">
        <is>
          <t>SC05</t>
        </is>
      </c>
      <c r="E25" s="46" t="inlineStr">
        <is>
          <t>Zero-Day / Edge Device</t>
        </is>
      </c>
      <c r="F25" s="74" t="n"/>
    </row>
    <row r="26" ht="13.5" customHeight="1" s="38">
      <c r="A26" s="46" t="inlineStr">
        <is>
          <t>R_0023</t>
        </is>
      </c>
      <c r="B26" s="46" t="inlineStr">
        <is>
          <t>S_S2_SC03_I09</t>
        </is>
      </c>
      <c r="C26" s="46" t="inlineStr">
        <is>
          <t>Strategy 2 – Zero-Shot + Template + BLUF</t>
        </is>
      </c>
      <c r="D26" s="75" t="inlineStr">
        <is>
          <t>SC03</t>
        </is>
      </c>
      <c r="E26" s="46" t="inlineStr">
        <is>
          <t>Supply Chain</t>
        </is>
      </c>
      <c r="F26" s="74" t="n"/>
    </row>
    <row r="27" ht="13.5" customHeight="1" s="38">
      <c r="A27" s="46" t="inlineStr">
        <is>
          <t>R_0024</t>
        </is>
      </c>
      <c r="B27" s="46" t="inlineStr">
        <is>
          <t>B_S1_SC05_I02</t>
        </is>
      </c>
      <c r="C27" s="46" t="inlineStr">
        <is>
          <t>Strategy 1 – Zero-Shot + Structured Template</t>
        </is>
      </c>
      <c r="D27" s="75" t="inlineStr">
        <is>
          <t>SC05</t>
        </is>
      </c>
      <c r="E27" s="46" t="inlineStr">
        <is>
          <t>Business Email Compromise</t>
        </is>
      </c>
      <c r="F27" s="74" t="n"/>
    </row>
    <row r="28" ht="13.5" customHeight="1" s="38">
      <c r="A28" s="46" t="inlineStr">
        <is>
          <t>R_0025</t>
        </is>
      </c>
      <c r="B28" s="46" t="inlineStr">
        <is>
          <t>Z_S2_SC02_I10</t>
        </is>
      </c>
      <c r="C28" s="46" t="inlineStr">
        <is>
          <t>Strategy 2 – Zero-Shot + Template + BLUF</t>
        </is>
      </c>
      <c r="D28" s="75" t="inlineStr">
        <is>
          <t>SC02</t>
        </is>
      </c>
      <c r="E28" s="46" t="inlineStr">
        <is>
          <t>Zero-Day / Edge Device</t>
        </is>
      </c>
      <c r="F28" s="74" t="n"/>
    </row>
    <row r="29" ht="13.5" customHeight="1" s="38">
      <c r="A29" s="46" t="inlineStr">
        <is>
          <t>R_0026</t>
        </is>
      </c>
      <c r="B29" s="46" t="inlineStr">
        <is>
          <t>Z_S2_SC04_I08</t>
        </is>
      </c>
      <c r="C29" s="46" t="inlineStr">
        <is>
          <t>Strategy 2 – Zero-Shot + Template + BLUF</t>
        </is>
      </c>
      <c r="D29" s="75" t="inlineStr">
        <is>
          <t>SC04</t>
        </is>
      </c>
      <c r="E29" s="46" t="inlineStr">
        <is>
          <t>Zero-Day / Edge Device</t>
        </is>
      </c>
      <c r="F29" s="74" t="n"/>
    </row>
    <row r="30" ht="13.5" customHeight="1" s="38">
      <c r="A30" s="46" t="inlineStr">
        <is>
          <t>R_0027</t>
        </is>
      </c>
      <c r="B30" s="46" t="inlineStr">
        <is>
          <t>S_S1_SC01_I10</t>
        </is>
      </c>
      <c r="C30" s="46" t="inlineStr">
        <is>
          <t>Strategy 1 – Zero-Shot + Structured Template</t>
        </is>
      </c>
      <c r="D30" s="75" t="inlineStr">
        <is>
          <t>SC01</t>
        </is>
      </c>
      <c r="E30" s="46" t="inlineStr">
        <is>
          <t>Supply Chain</t>
        </is>
      </c>
      <c r="F30" s="74" t="n"/>
    </row>
    <row r="31" ht="13.5" customHeight="1" s="38">
      <c r="A31" s="46" t="inlineStr">
        <is>
          <t>R_0028</t>
        </is>
      </c>
      <c r="B31" s="46" t="inlineStr">
        <is>
          <t>B_S4_SC05_I01</t>
        </is>
      </c>
      <c r="C31" s="46" t="inlineStr">
        <is>
          <t>Strategy 4 – One-Shot + Template + BLUF</t>
        </is>
      </c>
      <c r="D31" s="75" t="inlineStr">
        <is>
          <t>SC05</t>
        </is>
      </c>
      <c r="E31" s="46" t="inlineStr">
        <is>
          <t>Business Email Compromise</t>
        </is>
      </c>
      <c r="F31" s="74" t="n"/>
    </row>
    <row r="32" ht="13.5" customHeight="1" s="38">
      <c r="A32" s="46" t="inlineStr">
        <is>
          <t>R_0029</t>
        </is>
      </c>
      <c r="B32" s="46" t="inlineStr">
        <is>
          <t>R_S0_SC04_I05</t>
        </is>
      </c>
      <c r="C32" s="46" t="inlineStr">
        <is>
          <t>Baseline – Zero-Shot (minimal instruction)</t>
        </is>
      </c>
      <c r="D32" s="75" t="inlineStr">
        <is>
          <t>SC04</t>
        </is>
      </c>
      <c r="E32" s="46" t="inlineStr">
        <is>
          <t>Ransomware</t>
        </is>
      </c>
      <c r="F32" s="74" t="n"/>
    </row>
    <row r="33" ht="13.5" customHeight="1" s="38">
      <c r="A33" s="46" t="inlineStr">
        <is>
          <t>R_0030</t>
        </is>
      </c>
      <c r="B33" s="46" t="inlineStr">
        <is>
          <t>R_S1_SC05_I02</t>
        </is>
      </c>
      <c r="C33" s="46" t="inlineStr">
        <is>
          <t>Strategy 1 – Zero-Shot + Structured Template</t>
        </is>
      </c>
      <c r="D33" s="75" t="inlineStr">
        <is>
          <t>SC05</t>
        </is>
      </c>
      <c r="E33" s="46" t="inlineStr">
        <is>
          <t>Ransomware</t>
        </is>
      </c>
      <c r="F33" s="74" t="n"/>
    </row>
    <row r="34" ht="13.5" customHeight="1" s="38">
      <c r="A34" s="46" t="inlineStr">
        <is>
          <t>R_0031</t>
        </is>
      </c>
      <c r="B34" s="46" t="inlineStr">
        <is>
          <t>B_S4_SC05_I07</t>
        </is>
      </c>
      <c r="C34" s="46" t="inlineStr">
        <is>
          <t>Strategy 4 – One-Shot + Template + BLUF</t>
        </is>
      </c>
      <c r="D34" s="75" t="inlineStr">
        <is>
          <t>SC05</t>
        </is>
      </c>
      <c r="E34" s="46" t="inlineStr">
        <is>
          <t>Business Email Compromise</t>
        </is>
      </c>
      <c r="F34" s="74" t="n"/>
    </row>
    <row r="35" ht="13.5" customHeight="1" s="38">
      <c r="A35" s="46" t="inlineStr">
        <is>
          <t>R_0032</t>
        </is>
      </c>
      <c r="B35" s="46" t="inlineStr">
        <is>
          <t>Z_S1_SC02_I03</t>
        </is>
      </c>
      <c r="C35" s="46" t="inlineStr">
        <is>
          <t>Strategy 1 – Zero-Shot + Structured Template</t>
        </is>
      </c>
      <c r="D35" s="75" t="inlineStr">
        <is>
          <t>SC02</t>
        </is>
      </c>
      <c r="E35" s="46" t="inlineStr">
        <is>
          <t>Zero-Day / Edge Device</t>
        </is>
      </c>
      <c r="F35" s="74" t="n"/>
    </row>
    <row r="36" ht="13.5" customHeight="1" s="38">
      <c r="A36" s="46" t="inlineStr">
        <is>
          <t>R_0033</t>
        </is>
      </c>
      <c r="B36" s="46" t="inlineStr">
        <is>
          <t>B_S4_SC05_I08</t>
        </is>
      </c>
      <c r="C36" s="46" t="inlineStr">
        <is>
          <t>Strategy 4 – One-Shot + Template + BLUF</t>
        </is>
      </c>
      <c r="D36" s="75" t="inlineStr">
        <is>
          <t>SC05</t>
        </is>
      </c>
      <c r="E36" s="46" t="inlineStr">
        <is>
          <t>Business Email Compromise</t>
        </is>
      </c>
      <c r="F36" s="74" t="n"/>
    </row>
    <row r="37" ht="13.5" customHeight="1" s="38">
      <c r="A37" s="46" t="inlineStr">
        <is>
          <t>R_0034</t>
        </is>
      </c>
      <c r="B37" s="46" t="inlineStr">
        <is>
          <t>R_S0_SC04_I07</t>
        </is>
      </c>
      <c r="C37" s="46" t="inlineStr">
        <is>
          <t>Baseline – Zero-Shot (minimal instruction)</t>
        </is>
      </c>
      <c r="D37" s="75" t="inlineStr">
        <is>
          <t>SC04</t>
        </is>
      </c>
      <c r="E37" s="46" t="inlineStr">
        <is>
          <t>Ransomware</t>
        </is>
      </c>
      <c r="F37" s="74" t="n"/>
    </row>
    <row r="38" ht="13.5" customHeight="1" s="38">
      <c r="A38" s="46" t="inlineStr">
        <is>
          <t>R_0035</t>
        </is>
      </c>
      <c r="B38" s="46" t="inlineStr">
        <is>
          <t>Z_S0_SC02_I03</t>
        </is>
      </c>
      <c r="C38" s="46" t="inlineStr">
        <is>
          <t>Baseline – Zero-Shot (minimal instruction)</t>
        </is>
      </c>
      <c r="D38" s="75" t="inlineStr">
        <is>
          <t>SC02</t>
        </is>
      </c>
      <c r="E38" s="46" t="inlineStr">
        <is>
          <t>Zero-Day / Edge Device</t>
        </is>
      </c>
      <c r="F38" s="74" t="n"/>
    </row>
    <row r="39" ht="13.5" customHeight="1" s="38">
      <c r="A39" s="46" t="inlineStr">
        <is>
          <t>R_0036</t>
        </is>
      </c>
      <c r="B39" s="46" t="inlineStr">
        <is>
          <t>S_S2_SC02_I03</t>
        </is>
      </c>
      <c r="C39" s="46" t="inlineStr">
        <is>
          <t>Strategy 2 – Zero-Shot + Template + BLUF</t>
        </is>
      </c>
      <c r="D39" s="75" t="inlineStr">
        <is>
          <t>SC02</t>
        </is>
      </c>
      <c r="E39" s="46" t="inlineStr">
        <is>
          <t>Supply Chain</t>
        </is>
      </c>
      <c r="F39" s="74" t="n"/>
    </row>
    <row r="40" ht="13.5" customHeight="1" s="38">
      <c r="A40" s="46" t="inlineStr">
        <is>
          <t>R_0037</t>
        </is>
      </c>
      <c r="B40" s="46" t="inlineStr">
        <is>
          <t>B_S2_SC01_I08</t>
        </is>
      </c>
      <c r="C40" s="46" t="inlineStr">
        <is>
          <t>Strategy 2 – Zero-Shot + Template + BLUF</t>
        </is>
      </c>
      <c r="D40" s="75" t="inlineStr">
        <is>
          <t>SC01</t>
        </is>
      </c>
      <c r="E40" s="46" t="inlineStr">
        <is>
          <t>Business Email Compromise</t>
        </is>
      </c>
      <c r="F40" s="74" t="n"/>
    </row>
    <row r="41" ht="13.5" customHeight="1" s="38">
      <c r="A41" s="46" t="inlineStr">
        <is>
          <t>R_0038</t>
        </is>
      </c>
      <c r="B41" s="46" t="inlineStr">
        <is>
          <t>B_S1_SC04_I08</t>
        </is>
      </c>
      <c r="C41" s="46" t="inlineStr">
        <is>
          <t>Strategy 1 – Zero-Shot + Structured Template</t>
        </is>
      </c>
      <c r="D41" s="75" t="inlineStr">
        <is>
          <t>SC04</t>
        </is>
      </c>
      <c r="E41" s="46" t="inlineStr">
        <is>
          <t>Business Email Compromise</t>
        </is>
      </c>
      <c r="F41" s="74" t="n"/>
    </row>
    <row r="42" ht="13.5" customHeight="1" s="38">
      <c r="A42" s="46" t="inlineStr">
        <is>
          <t>R_0039</t>
        </is>
      </c>
      <c r="B42" s="46" t="inlineStr">
        <is>
          <t>S_S0_SC04_I03</t>
        </is>
      </c>
      <c r="C42" s="46" t="inlineStr">
        <is>
          <t>Baseline – Zero-Shot (minimal instruction)</t>
        </is>
      </c>
      <c r="D42" s="75" t="inlineStr">
        <is>
          <t>SC04</t>
        </is>
      </c>
      <c r="E42" s="46" t="inlineStr">
        <is>
          <t>Supply Chain</t>
        </is>
      </c>
      <c r="F42" s="74" t="n"/>
    </row>
    <row r="43" ht="13.5" customHeight="1" s="38">
      <c r="A43" s="46" t="inlineStr">
        <is>
          <t>R_0040</t>
        </is>
      </c>
      <c r="B43" s="46" t="inlineStr">
        <is>
          <t>Z_S2_SC03_I09</t>
        </is>
      </c>
      <c r="C43" s="46" t="inlineStr">
        <is>
          <t>Strategy 2 – Zero-Shot + Template + BLUF</t>
        </is>
      </c>
      <c r="D43" s="75" t="inlineStr">
        <is>
          <t>SC03</t>
        </is>
      </c>
      <c r="E43" s="46" t="inlineStr">
        <is>
          <t>Zero-Day / Edge Device</t>
        </is>
      </c>
      <c r="F43" s="74" t="n"/>
    </row>
    <row r="44" ht="13.5" customHeight="1" s="38">
      <c r="A44" s="46" t="inlineStr">
        <is>
          <t>R_0041</t>
        </is>
      </c>
      <c r="B44" s="46" t="inlineStr">
        <is>
          <t>R_S3_SC04_I02</t>
        </is>
      </c>
      <c r="C44" s="46" t="inlineStr">
        <is>
          <t>Strategy 3 – One-Shot + Structured Template</t>
        </is>
      </c>
      <c r="D44" s="75" t="inlineStr">
        <is>
          <t>SC04</t>
        </is>
      </c>
      <c r="E44" s="46" t="inlineStr">
        <is>
          <t>Ransomware</t>
        </is>
      </c>
      <c r="F44" s="74" t="n"/>
    </row>
    <row r="45" ht="13.5" customHeight="1" s="38">
      <c r="A45" s="46" t="inlineStr">
        <is>
          <t>R_0042</t>
        </is>
      </c>
      <c r="B45" s="46" t="inlineStr">
        <is>
          <t>Z_S1_SC03_I07</t>
        </is>
      </c>
      <c r="C45" s="46" t="inlineStr">
        <is>
          <t>Strategy 1 – Zero-Shot + Structured Template</t>
        </is>
      </c>
      <c r="D45" s="75" t="inlineStr">
        <is>
          <t>SC03</t>
        </is>
      </c>
      <c r="E45" s="46" t="inlineStr">
        <is>
          <t>Zero-Day / Edge Device</t>
        </is>
      </c>
      <c r="F45" s="74" t="n"/>
    </row>
    <row r="46" ht="13.5" customHeight="1" s="38">
      <c r="A46" s="46" t="inlineStr">
        <is>
          <t>R_0043</t>
        </is>
      </c>
      <c r="B46" s="46" t="inlineStr">
        <is>
          <t>B_S2_SC01_I03</t>
        </is>
      </c>
      <c r="C46" s="46" t="inlineStr">
        <is>
          <t>Strategy 2 – Zero-Shot + Template + BLUF</t>
        </is>
      </c>
      <c r="D46" s="75" t="inlineStr">
        <is>
          <t>SC01</t>
        </is>
      </c>
      <c r="E46" s="46" t="inlineStr">
        <is>
          <t>Business Email Compromise</t>
        </is>
      </c>
      <c r="F46" s="74" t="n"/>
    </row>
    <row r="47" ht="13.5" customHeight="1" s="38">
      <c r="A47" s="46" t="inlineStr">
        <is>
          <t>R_0044</t>
        </is>
      </c>
      <c r="B47" s="46" t="inlineStr">
        <is>
          <t>R_S2_SC01_I08</t>
        </is>
      </c>
      <c r="C47" s="46" t="inlineStr">
        <is>
          <t>Strategy 2 – Zero-Shot + Template + BLUF</t>
        </is>
      </c>
      <c r="D47" s="75" t="inlineStr">
        <is>
          <t>SC01</t>
        </is>
      </c>
      <c r="E47" s="46" t="inlineStr">
        <is>
          <t>Ransomware</t>
        </is>
      </c>
      <c r="F47" s="74" t="n"/>
    </row>
    <row r="48" ht="13.5" customHeight="1" s="38">
      <c r="A48" s="46" t="inlineStr">
        <is>
          <t>R_0045</t>
        </is>
      </c>
      <c r="B48" s="46" t="inlineStr">
        <is>
          <t>B_S4_SC01_I05</t>
        </is>
      </c>
      <c r="C48" s="46" t="inlineStr">
        <is>
          <t>Strategy 4 – One-Shot + Template + BLUF</t>
        </is>
      </c>
      <c r="D48" s="75" t="inlineStr">
        <is>
          <t>SC01</t>
        </is>
      </c>
      <c r="E48" s="46" t="inlineStr">
        <is>
          <t>Business Email Compromise</t>
        </is>
      </c>
      <c r="F48" s="74" t="n"/>
    </row>
    <row r="49" ht="13.5" customHeight="1" s="38">
      <c r="A49" s="46" t="inlineStr">
        <is>
          <t>R_0046</t>
        </is>
      </c>
      <c r="B49" s="46" t="inlineStr">
        <is>
          <t>B_S2_SC03_I01</t>
        </is>
      </c>
      <c r="C49" s="46" t="inlineStr">
        <is>
          <t>Strategy 2 – Zero-Shot + Template + BLUF</t>
        </is>
      </c>
      <c r="D49" s="75" t="inlineStr">
        <is>
          <t>SC03</t>
        </is>
      </c>
      <c r="E49" s="46" t="inlineStr">
        <is>
          <t>Business Email Compromise</t>
        </is>
      </c>
      <c r="F49" s="74" t="n"/>
    </row>
    <row r="50" ht="13.5" customHeight="1" s="38">
      <c r="A50" s="46" t="inlineStr">
        <is>
          <t>R_0047</t>
        </is>
      </c>
      <c r="B50" s="46" t="inlineStr">
        <is>
          <t>Z_S4_SC04_I05</t>
        </is>
      </c>
      <c r="C50" s="46" t="inlineStr">
        <is>
          <t>Strategy 4 – One-Shot + Template + BLUF</t>
        </is>
      </c>
      <c r="D50" s="75" t="inlineStr">
        <is>
          <t>SC04</t>
        </is>
      </c>
      <c r="E50" s="46" t="inlineStr">
        <is>
          <t>Zero-Day / Edge Device</t>
        </is>
      </c>
      <c r="F50" s="74" t="n"/>
    </row>
    <row r="51" ht="13.5" customHeight="1" s="38">
      <c r="A51" s="46" t="inlineStr">
        <is>
          <t>R_0048</t>
        </is>
      </c>
      <c r="B51" s="46" t="inlineStr">
        <is>
          <t>R_S2_SC01_I01</t>
        </is>
      </c>
      <c r="C51" s="46" t="inlineStr">
        <is>
          <t>Strategy 2 – Zero-Shot + Template + BLUF</t>
        </is>
      </c>
      <c r="D51" s="75" t="inlineStr">
        <is>
          <t>SC01</t>
        </is>
      </c>
      <c r="E51" s="46" t="inlineStr">
        <is>
          <t>Ransomware</t>
        </is>
      </c>
      <c r="F51" s="74" t="n"/>
    </row>
    <row r="52" ht="13.5" customHeight="1" s="38">
      <c r="A52" s="46" t="inlineStr">
        <is>
          <t>R_0049</t>
        </is>
      </c>
      <c r="B52" s="46" t="inlineStr">
        <is>
          <t>S_S4_SC01_I01</t>
        </is>
      </c>
      <c r="C52" s="46" t="inlineStr">
        <is>
          <t>Strategy 4 – One-Shot + Template + BLUF</t>
        </is>
      </c>
      <c r="D52" s="75" t="inlineStr">
        <is>
          <t>SC01</t>
        </is>
      </c>
      <c r="E52" s="46" t="inlineStr">
        <is>
          <t>Supply Chain</t>
        </is>
      </c>
      <c r="F52" s="74" t="n"/>
    </row>
    <row r="53" ht="13.5" customHeight="1" s="38">
      <c r="A53" s="46" t="inlineStr">
        <is>
          <t>R_0050</t>
        </is>
      </c>
      <c r="B53" s="46" t="inlineStr">
        <is>
          <t>R_S0_SC03_I05</t>
        </is>
      </c>
      <c r="C53" s="46" t="inlineStr">
        <is>
          <t>Baseline – Zero-Shot (minimal instruction)</t>
        </is>
      </c>
      <c r="D53" s="75" t="inlineStr">
        <is>
          <t>SC03</t>
        </is>
      </c>
      <c r="E53" s="46" t="inlineStr">
        <is>
          <t>Ransomware</t>
        </is>
      </c>
      <c r="F53" s="74" t="n"/>
    </row>
    <row r="54" ht="13.5" customHeight="1" s="38">
      <c r="A54" s="46" t="inlineStr">
        <is>
          <t>R_0051</t>
        </is>
      </c>
      <c r="B54" s="46" t="inlineStr">
        <is>
          <t>R_S1_SC02_I05</t>
        </is>
      </c>
      <c r="C54" s="46" t="inlineStr">
        <is>
          <t>Strategy 1 – Zero-Shot + Structured Template</t>
        </is>
      </c>
      <c r="D54" s="75" t="inlineStr">
        <is>
          <t>SC02</t>
        </is>
      </c>
      <c r="E54" s="46" t="inlineStr">
        <is>
          <t>Ransomware</t>
        </is>
      </c>
      <c r="F54" s="74" t="n"/>
    </row>
    <row r="55" ht="13.5" customHeight="1" s="38">
      <c r="A55" s="46" t="inlineStr">
        <is>
          <t>R_0052</t>
        </is>
      </c>
      <c r="B55" s="46" t="inlineStr">
        <is>
          <t>S_S3_SC04_I05</t>
        </is>
      </c>
      <c r="C55" s="46" t="inlineStr">
        <is>
          <t>Strategy 3 – One-Shot + Structured Template</t>
        </is>
      </c>
      <c r="D55" s="75" t="inlineStr">
        <is>
          <t>SC04</t>
        </is>
      </c>
      <c r="E55" s="46" t="inlineStr">
        <is>
          <t>Supply Chain</t>
        </is>
      </c>
      <c r="F55" s="74" t="n"/>
    </row>
    <row r="56" ht="13.5" customHeight="1" s="38">
      <c r="A56" s="46" t="inlineStr">
        <is>
          <t>R_0053</t>
        </is>
      </c>
      <c r="B56" s="46" t="inlineStr">
        <is>
          <t>B_S2_SC03_I05</t>
        </is>
      </c>
      <c r="C56" s="46" t="inlineStr">
        <is>
          <t>Strategy 2 – Zero-Shot + Template + BLUF</t>
        </is>
      </c>
      <c r="D56" s="75" t="inlineStr">
        <is>
          <t>SC03</t>
        </is>
      </c>
      <c r="E56" s="46" t="inlineStr">
        <is>
          <t>Business Email Compromise</t>
        </is>
      </c>
      <c r="F56" s="74" t="n"/>
    </row>
    <row r="57" ht="13.5" customHeight="1" s="38">
      <c r="A57" s="46" t="inlineStr">
        <is>
          <t>R_0054</t>
        </is>
      </c>
      <c r="B57" s="46" t="inlineStr">
        <is>
          <t>R_S0_SC01_I09</t>
        </is>
      </c>
      <c r="C57" s="46" t="inlineStr">
        <is>
          <t>Baseline – Zero-Shot (minimal instruction)</t>
        </is>
      </c>
      <c r="D57" s="75" t="inlineStr">
        <is>
          <t>SC01</t>
        </is>
      </c>
      <c r="E57" s="46" t="inlineStr">
        <is>
          <t>Ransomware</t>
        </is>
      </c>
      <c r="F57" s="74" t="n"/>
    </row>
    <row r="58" ht="13.5" customHeight="1" s="38">
      <c r="A58" s="46" t="inlineStr">
        <is>
          <t>R_0055</t>
        </is>
      </c>
      <c r="B58" s="46" t="inlineStr">
        <is>
          <t>B_S1_SC03_I02</t>
        </is>
      </c>
      <c r="C58" s="46" t="inlineStr">
        <is>
          <t>Strategy 1 – Zero-Shot + Structured Template</t>
        </is>
      </c>
      <c r="D58" s="75" t="inlineStr">
        <is>
          <t>SC03</t>
        </is>
      </c>
      <c r="E58" s="46" t="inlineStr">
        <is>
          <t>Business Email Compromise</t>
        </is>
      </c>
      <c r="F58" s="74" t="n"/>
    </row>
    <row r="59" ht="13.5" customHeight="1" s="38">
      <c r="A59" s="46" t="inlineStr">
        <is>
          <t>R_0056</t>
        </is>
      </c>
      <c r="B59" s="46" t="inlineStr">
        <is>
          <t>Z_S3_SC01_I09</t>
        </is>
      </c>
      <c r="C59" s="46" t="inlineStr">
        <is>
          <t>Strategy 3 – One-Shot + Structured Template</t>
        </is>
      </c>
      <c r="D59" s="75" t="inlineStr">
        <is>
          <t>SC01</t>
        </is>
      </c>
      <c r="E59" s="46" t="inlineStr">
        <is>
          <t>Zero-Day / Edge Device</t>
        </is>
      </c>
      <c r="F59" s="74" t="n"/>
    </row>
    <row r="60" ht="13.5" customHeight="1" s="38">
      <c r="A60" s="46" t="inlineStr">
        <is>
          <t>R_0057</t>
        </is>
      </c>
      <c r="B60" s="46" t="inlineStr">
        <is>
          <t>Z_S0_SC04_I01</t>
        </is>
      </c>
      <c r="C60" s="46" t="inlineStr">
        <is>
          <t>Baseline – Zero-Shot (minimal instruction)</t>
        </is>
      </c>
      <c r="D60" s="75" t="inlineStr">
        <is>
          <t>SC04</t>
        </is>
      </c>
      <c r="E60" s="46" t="inlineStr">
        <is>
          <t>Zero-Day / Edge Device</t>
        </is>
      </c>
      <c r="F60" s="74" t="n"/>
    </row>
    <row r="61" ht="13.5" customHeight="1" s="38">
      <c r="A61" s="46" t="inlineStr">
        <is>
          <t>R_0058</t>
        </is>
      </c>
      <c r="B61" s="46" t="inlineStr">
        <is>
          <t>S_S4_SC04_I10</t>
        </is>
      </c>
      <c r="C61" s="46" t="inlineStr">
        <is>
          <t>Strategy 4 – One-Shot + Template + BLUF</t>
        </is>
      </c>
      <c r="D61" s="75" t="inlineStr">
        <is>
          <t>SC04</t>
        </is>
      </c>
      <c r="E61" s="46" t="inlineStr">
        <is>
          <t>Supply Chain</t>
        </is>
      </c>
      <c r="F61" s="74" t="n"/>
    </row>
    <row r="62" ht="13.5" customHeight="1" s="38">
      <c r="A62" s="46" t="inlineStr">
        <is>
          <t>R_0059</t>
        </is>
      </c>
      <c r="B62" s="46" t="inlineStr">
        <is>
          <t>S_S3_SC01_I03</t>
        </is>
      </c>
      <c r="C62" s="46" t="inlineStr">
        <is>
          <t>Strategy 3 – One-Shot + Structured Template</t>
        </is>
      </c>
      <c r="D62" s="75" t="inlineStr">
        <is>
          <t>SC01</t>
        </is>
      </c>
      <c r="E62" s="46" t="inlineStr">
        <is>
          <t>Supply Chain</t>
        </is>
      </c>
      <c r="F62" s="74" t="n"/>
    </row>
    <row r="63" ht="13.5" customHeight="1" s="38">
      <c r="A63" s="46" t="inlineStr">
        <is>
          <t>R_0060</t>
        </is>
      </c>
      <c r="B63" s="46" t="inlineStr">
        <is>
          <t>B_S3_SC04_I07</t>
        </is>
      </c>
      <c r="C63" s="46" t="inlineStr">
        <is>
          <t>Strategy 3 – One-Shot + Structured Template</t>
        </is>
      </c>
      <c r="D63" s="75" t="inlineStr">
        <is>
          <t>SC04</t>
        </is>
      </c>
      <c r="E63" s="46" t="inlineStr">
        <is>
          <t>Business Email Compromise</t>
        </is>
      </c>
      <c r="F63" s="74" t="n"/>
    </row>
    <row r="64" ht="13.5" customHeight="1" s="38">
      <c r="A64" s="46" t="inlineStr">
        <is>
          <t>R_0061</t>
        </is>
      </c>
      <c r="B64" s="46" t="inlineStr">
        <is>
          <t>Z_S3_SC04_I08</t>
        </is>
      </c>
      <c r="C64" s="46" t="inlineStr">
        <is>
          <t>Strategy 3 – One-Shot + Structured Template</t>
        </is>
      </c>
      <c r="D64" s="75" t="inlineStr">
        <is>
          <t>SC04</t>
        </is>
      </c>
      <c r="E64" s="46" t="inlineStr">
        <is>
          <t>Zero-Day / Edge Device</t>
        </is>
      </c>
      <c r="F64" s="74" t="n"/>
    </row>
    <row r="65" ht="13.5" customHeight="1" s="38">
      <c r="A65" s="46" t="inlineStr">
        <is>
          <t>R_0062</t>
        </is>
      </c>
      <c r="B65" s="46" t="inlineStr">
        <is>
          <t>R_S1_SC05_I06</t>
        </is>
      </c>
      <c r="C65" s="46" t="inlineStr">
        <is>
          <t>Strategy 1 – Zero-Shot + Structured Template</t>
        </is>
      </c>
      <c r="D65" s="75" t="inlineStr">
        <is>
          <t>SC05</t>
        </is>
      </c>
      <c r="E65" s="46" t="inlineStr">
        <is>
          <t>Ransomware</t>
        </is>
      </c>
      <c r="F65" s="74" t="n"/>
    </row>
    <row r="66" ht="13.5" customHeight="1" s="38">
      <c r="A66" s="46" t="inlineStr">
        <is>
          <t>R_0063</t>
        </is>
      </c>
      <c r="B66" s="46" t="inlineStr">
        <is>
          <t>Z_S3_SC01_I04</t>
        </is>
      </c>
      <c r="C66" s="46" t="inlineStr">
        <is>
          <t>Strategy 3 – One-Shot + Structured Template</t>
        </is>
      </c>
      <c r="D66" s="75" t="inlineStr">
        <is>
          <t>SC01</t>
        </is>
      </c>
      <c r="E66" s="46" t="inlineStr">
        <is>
          <t>Zero-Day / Edge Device</t>
        </is>
      </c>
      <c r="F66" s="74" t="n"/>
    </row>
    <row r="67" ht="13.5" customHeight="1" s="38">
      <c r="A67" s="46" t="inlineStr">
        <is>
          <t>R_0064</t>
        </is>
      </c>
      <c r="B67" s="46" t="inlineStr">
        <is>
          <t>S_S2_SC01_I06</t>
        </is>
      </c>
      <c r="C67" s="46" t="inlineStr">
        <is>
          <t>Strategy 2 – Zero-Shot + Template + BLUF</t>
        </is>
      </c>
      <c r="D67" s="75" t="inlineStr">
        <is>
          <t>SC01</t>
        </is>
      </c>
      <c r="E67" s="46" t="inlineStr">
        <is>
          <t>Supply Chain</t>
        </is>
      </c>
      <c r="F67" s="74" t="n"/>
    </row>
    <row r="68" ht="13.5" customHeight="1" s="38">
      <c r="A68" s="46" t="inlineStr">
        <is>
          <t>R_0065</t>
        </is>
      </c>
      <c r="B68" s="46" t="inlineStr">
        <is>
          <t>R_S0_SC03_I06</t>
        </is>
      </c>
      <c r="C68" s="46" t="inlineStr">
        <is>
          <t>Baseline – Zero-Shot (minimal instruction)</t>
        </is>
      </c>
      <c r="D68" s="75" t="inlineStr">
        <is>
          <t>SC03</t>
        </is>
      </c>
      <c r="E68" s="46" t="inlineStr">
        <is>
          <t>Ransomware</t>
        </is>
      </c>
      <c r="F68" s="74" t="n"/>
    </row>
    <row r="69" ht="13.5" customHeight="1" s="38">
      <c r="A69" s="46" t="inlineStr">
        <is>
          <t>R_0066</t>
        </is>
      </c>
      <c r="B69" s="46" t="inlineStr">
        <is>
          <t>R_S4_SC05_I02</t>
        </is>
      </c>
      <c r="C69" s="46" t="inlineStr">
        <is>
          <t>Strategy 4 – One-Shot + Template + BLUF</t>
        </is>
      </c>
      <c r="D69" s="75" t="inlineStr">
        <is>
          <t>SC05</t>
        </is>
      </c>
      <c r="E69" s="46" t="inlineStr">
        <is>
          <t>Ransomware</t>
        </is>
      </c>
      <c r="F69" s="74" t="n"/>
    </row>
    <row r="70" ht="13.5" customHeight="1" s="38">
      <c r="A70" s="46" t="inlineStr">
        <is>
          <t>R_0067</t>
        </is>
      </c>
      <c r="B70" s="46" t="inlineStr">
        <is>
          <t>Z_S0_SC05_I10</t>
        </is>
      </c>
      <c r="C70" s="46" t="inlineStr">
        <is>
          <t>Baseline – Zero-Shot (minimal instruction)</t>
        </is>
      </c>
      <c r="D70" s="75" t="inlineStr">
        <is>
          <t>SC05</t>
        </is>
      </c>
      <c r="E70" s="46" t="inlineStr">
        <is>
          <t>Zero-Day / Edge Device</t>
        </is>
      </c>
      <c r="F70" s="74" t="n"/>
    </row>
    <row r="71" ht="13.5" customHeight="1" s="38">
      <c r="A71" s="46" t="inlineStr">
        <is>
          <t>R_0068</t>
        </is>
      </c>
      <c r="B71" s="46" t="inlineStr">
        <is>
          <t>S_S4_SC04_I02</t>
        </is>
      </c>
      <c r="C71" s="46" t="inlineStr">
        <is>
          <t>Strategy 4 – One-Shot + Template + BLUF</t>
        </is>
      </c>
      <c r="D71" s="75" t="inlineStr">
        <is>
          <t>SC04</t>
        </is>
      </c>
      <c r="E71" s="46" t="inlineStr">
        <is>
          <t>Supply Chain</t>
        </is>
      </c>
      <c r="F71" s="74" t="n"/>
    </row>
    <row r="72" ht="13.5" customHeight="1" s="38">
      <c r="A72" s="46" t="inlineStr">
        <is>
          <t>R_0069</t>
        </is>
      </c>
      <c r="B72" s="46" t="inlineStr">
        <is>
          <t>B_S1_SC01_I10</t>
        </is>
      </c>
      <c r="C72" s="46" t="inlineStr">
        <is>
          <t>Strategy 1 – Zero-Shot + Structured Template</t>
        </is>
      </c>
      <c r="D72" s="75" t="inlineStr">
        <is>
          <t>SC01</t>
        </is>
      </c>
      <c r="E72" s="46" t="inlineStr">
        <is>
          <t>Business Email Compromise</t>
        </is>
      </c>
      <c r="F72" s="74" t="n"/>
    </row>
    <row r="73" ht="13.5" customHeight="1" s="38">
      <c r="A73" s="46" t="inlineStr">
        <is>
          <t>R_0070</t>
        </is>
      </c>
      <c r="B73" s="46" t="inlineStr">
        <is>
          <t>Z_S3_SC04_I06</t>
        </is>
      </c>
      <c r="C73" s="46" t="inlineStr">
        <is>
          <t>Strategy 3 – One-Shot + Structured Template</t>
        </is>
      </c>
      <c r="D73" s="75" t="inlineStr">
        <is>
          <t>SC04</t>
        </is>
      </c>
      <c r="E73" s="46" t="inlineStr">
        <is>
          <t>Zero-Day / Edge Device</t>
        </is>
      </c>
      <c r="F73" s="74" t="n"/>
    </row>
    <row r="74" ht="13.5" customHeight="1" s="38">
      <c r="A74" s="46" t="inlineStr">
        <is>
          <t>R_0071</t>
        </is>
      </c>
      <c r="B74" s="46" t="inlineStr">
        <is>
          <t>B_S3_SC03_I10</t>
        </is>
      </c>
      <c r="C74" s="46" t="inlineStr">
        <is>
          <t>Strategy 3 – One-Shot + Structured Template</t>
        </is>
      </c>
      <c r="D74" s="75" t="inlineStr">
        <is>
          <t>SC03</t>
        </is>
      </c>
      <c r="E74" s="46" t="inlineStr">
        <is>
          <t>Business Email Compromise</t>
        </is>
      </c>
      <c r="F74" s="74" t="n"/>
    </row>
    <row r="75" ht="13.5" customHeight="1" s="38">
      <c r="A75" s="46" t="inlineStr">
        <is>
          <t>R_0072</t>
        </is>
      </c>
      <c r="B75" s="46" t="inlineStr">
        <is>
          <t>Z_S4_SC04_I06</t>
        </is>
      </c>
      <c r="C75" s="46" t="inlineStr">
        <is>
          <t>Strategy 4 – One-Shot + Template + BLUF</t>
        </is>
      </c>
      <c r="D75" s="75" t="inlineStr">
        <is>
          <t>SC04</t>
        </is>
      </c>
      <c r="E75" s="46" t="inlineStr">
        <is>
          <t>Zero-Day / Edge Device</t>
        </is>
      </c>
      <c r="F75" s="74" t="n"/>
    </row>
    <row r="76" ht="13.5" customHeight="1" s="38">
      <c r="A76" s="46" t="inlineStr">
        <is>
          <t>R_0073</t>
        </is>
      </c>
      <c r="B76" s="46" t="inlineStr">
        <is>
          <t>Z_S3_SC05_I01</t>
        </is>
      </c>
      <c r="C76" s="46" t="inlineStr">
        <is>
          <t>Strategy 3 – One-Shot + Structured Template</t>
        </is>
      </c>
      <c r="D76" s="75" t="inlineStr">
        <is>
          <t>SC05</t>
        </is>
      </c>
      <c r="E76" s="46" t="inlineStr">
        <is>
          <t>Zero-Day / Edge Device</t>
        </is>
      </c>
      <c r="F76" s="74" t="n"/>
    </row>
    <row r="77" ht="13.5" customHeight="1" s="38">
      <c r="A77" s="46" t="inlineStr">
        <is>
          <t>R_0074</t>
        </is>
      </c>
      <c r="B77" s="46" t="inlineStr">
        <is>
          <t>Z_S4_SC01_I10</t>
        </is>
      </c>
      <c r="C77" s="46" t="inlineStr">
        <is>
          <t>Strategy 4 – One-Shot + Template + BLUF</t>
        </is>
      </c>
      <c r="D77" s="75" t="inlineStr">
        <is>
          <t>SC01</t>
        </is>
      </c>
      <c r="E77" s="46" t="inlineStr">
        <is>
          <t>Zero-Day / Edge Device</t>
        </is>
      </c>
      <c r="F77" s="74" t="n"/>
    </row>
    <row r="78" ht="13.5" customHeight="1" s="38">
      <c r="A78" s="46" t="inlineStr">
        <is>
          <t>R_0075</t>
        </is>
      </c>
      <c r="B78" s="46" t="inlineStr">
        <is>
          <t>R_S3_SC02_I05</t>
        </is>
      </c>
      <c r="C78" s="46" t="inlineStr">
        <is>
          <t>Strategy 3 – One-Shot + Structured Template</t>
        </is>
      </c>
      <c r="D78" s="75" t="inlineStr">
        <is>
          <t>SC02</t>
        </is>
      </c>
      <c r="E78" s="46" t="inlineStr">
        <is>
          <t>Ransomware</t>
        </is>
      </c>
      <c r="F78" s="74" t="n"/>
    </row>
    <row r="79" ht="13.5" customHeight="1" s="38">
      <c r="A79" s="46" t="inlineStr">
        <is>
          <t>R_0076</t>
        </is>
      </c>
      <c r="B79" s="46" t="inlineStr">
        <is>
          <t>R_S3_SC01_I10</t>
        </is>
      </c>
      <c r="C79" s="46" t="inlineStr">
        <is>
          <t>Strategy 3 – One-Shot + Structured Template</t>
        </is>
      </c>
      <c r="D79" s="75" t="inlineStr">
        <is>
          <t>SC01</t>
        </is>
      </c>
      <c r="E79" s="46" t="inlineStr">
        <is>
          <t>Ransomware</t>
        </is>
      </c>
      <c r="F79" s="74" t="n"/>
    </row>
    <row r="80" ht="13.5" customHeight="1" s="38">
      <c r="A80" s="46" t="inlineStr">
        <is>
          <t>R_0077</t>
        </is>
      </c>
      <c r="B80" s="46" t="inlineStr">
        <is>
          <t>S_S0_SC05_I01</t>
        </is>
      </c>
      <c r="C80" s="46" t="inlineStr">
        <is>
          <t>Baseline – Zero-Shot (minimal instruction)</t>
        </is>
      </c>
      <c r="D80" s="75" t="inlineStr">
        <is>
          <t>SC05</t>
        </is>
      </c>
      <c r="E80" s="46" t="inlineStr">
        <is>
          <t>Supply Chain</t>
        </is>
      </c>
      <c r="F80" s="74" t="n"/>
    </row>
    <row r="81" ht="13.5" customHeight="1" s="38">
      <c r="A81" s="46" t="inlineStr">
        <is>
          <t>R_0078</t>
        </is>
      </c>
      <c r="B81" s="46" t="inlineStr">
        <is>
          <t>S_S3_SC04_I09</t>
        </is>
      </c>
      <c r="C81" s="46" t="inlineStr">
        <is>
          <t>Strategy 3 – One-Shot + Structured Template</t>
        </is>
      </c>
      <c r="D81" s="75" t="inlineStr">
        <is>
          <t>SC04</t>
        </is>
      </c>
      <c r="E81" s="46" t="inlineStr">
        <is>
          <t>Supply Chain</t>
        </is>
      </c>
      <c r="F81" s="74" t="n"/>
    </row>
    <row r="82" ht="13.5" customHeight="1" s="38">
      <c r="A82" s="46" t="inlineStr">
        <is>
          <t>R_0079</t>
        </is>
      </c>
      <c r="B82" s="46" t="inlineStr">
        <is>
          <t>Z_S1_SC03_I02</t>
        </is>
      </c>
      <c r="C82" s="46" t="inlineStr">
        <is>
          <t>Strategy 1 – Zero-Shot + Structured Template</t>
        </is>
      </c>
      <c r="D82" s="75" t="inlineStr">
        <is>
          <t>SC03</t>
        </is>
      </c>
      <c r="E82" s="46" t="inlineStr">
        <is>
          <t>Zero-Day / Edge Device</t>
        </is>
      </c>
      <c r="F82" s="74" t="n"/>
    </row>
    <row r="83" ht="13.5" customHeight="1" s="38">
      <c r="A83" s="46" t="inlineStr">
        <is>
          <t>R_0080</t>
        </is>
      </c>
      <c r="B83" s="46" t="inlineStr">
        <is>
          <t>R_S1_SC03_I05</t>
        </is>
      </c>
      <c r="C83" s="46" t="inlineStr">
        <is>
          <t>Strategy 1 – Zero-Shot + Structured Template</t>
        </is>
      </c>
      <c r="D83" s="75" t="inlineStr">
        <is>
          <t>SC03</t>
        </is>
      </c>
      <c r="E83" s="46" t="inlineStr">
        <is>
          <t>Ransomware</t>
        </is>
      </c>
      <c r="F83" s="74" t="n"/>
    </row>
    <row r="84" ht="13.5" customHeight="1" s="38">
      <c r="A84" s="46" t="inlineStr">
        <is>
          <t>R_0081</t>
        </is>
      </c>
      <c r="B84" s="46" t="inlineStr">
        <is>
          <t>Z_S4_SC05_I08</t>
        </is>
      </c>
      <c r="C84" s="46" t="inlineStr">
        <is>
          <t>Strategy 4 – One-Shot + Template + BLUF</t>
        </is>
      </c>
      <c r="D84" s="75" t="inlineStr">
        <is>
          <t>SC05</t>
        </is>
      </c>
      <c r="E84" s="46" t="inlineStr">
        <is>
          <t>Zero-Day / Edge Device</t>
        </is>
      </c>
      <c r="F84" s="74" t="n"/>
    </row>
    <row r="85" ht="13.5" customHeight="1" s="38">
      <c r="A85" s="46" t="inlineStr">
        <is>
          <t>R_0082</t>
        </is>
      </c>
      <c r="B85" s="46" t="inlineStr">
        <is>
          <t>Z_S4_SC03_I10</t>
        </is>
      </c>
      <c r="C85" s="46" t="inlineStr">
        <is>
          <t>Strategy 4 – One-Shot + Template + BLUF</t>
        </is>
      </c>
      <c r="D85" s="75" t="inlineStr">
        <is>
          <t>SC03</t>
        </is>
      </c>
      <c r="E85" s="46" t="inlineStr">
        <is>
          <t>Zero-Day / Edge Device</t>
        </is>
      </c>
      <c r="F85" s="74" t="n"/>
    </row>
    <row r="86" ht="13.5" customHeight="1" s="38">
      <c r="A86" s="46" t="inlineStr">
        <is>
          <t>R_0083</t>
        </is>
      </c>
      <c r="B86" s="46" t="inlineStr">
        <is>
          <t>R_S3_SC05_I04</t>
        </is>
      </c>
      <c r="C86" s="46" t="inlineStr">
        <is>
          <t>Strategy 3 – One-Shot + Structured Template</t>
        </is>
      </c>
      <c r="D86" s="75" t="inlineStr">
        <is>
          <t>SC05</t>
        </is>
      </c>
      <c r="E86" s="46" t="inlineStr">
        <is>
          <t>Ransomware</t>
        </is>
      </c>
      <c r="F86" s="74" t="n"/>
    </row>
    <row r="87" ht="13.5" customHeight="1" s="38">
      <c r="A87" s="46" t="inlineStr">
        <is>
          <t>R_0084</t>
        </is>
      </c>
      <c r="B87" s="46" t="inlineStr">
        <is>
          <t>R_S3_SC04_I01</t>
        </is>
      </c>
      <c r="C87" s="46" t="inlineStr">
        <is>
          <t>Strategy 3 – One-Shot + Structured Template</t>
        </is>
      </c>
      <c r="D87" s="75" t="inlineStr">
        <is>
          <t>SC04</t>
        </is>
      </c>
      <c r="E87" s="46" t="inlineStr">
        <is>
          <t>Ransomware</t>
        </is>
      </c>
      <c r="F87" s="74" t="n"/>
    </row>
    <row r="88" ht="13.5" customHeight="1" s="38">
      <c r="A88" s="46" t="inlineStr">
        <is>
          <t>R_0085</t>
        </is>
      </c>
      <c r="B88" s="46" t="inlineStr">
        <is>
          <t>S_S1_SC04_I07</t>
        </is>
      </c>
      <c r="C88" s="46" t="inlineStr">
        <is>
          <t>Strategy 1 – Zero-Shot + Structured Template</t>
        </is>
      </c>
      <c r="D88" s="75" t="inlineStr">
        <is>
          <t>SC04</t>
        </is>
      </c>
      <c r="E88" s="46" t="inlineStr">
        <is>
          <t>Supply Chain</t>
        </is>
      </c>
      <c r="F88" s="74" t="n"/>
    </row>
    <row r="89" ht="13.5" customHeight="1" s="38">
      <c r="A89" s="46" t="inlineStr">
        <is>
          <t>R_0086</t>
        </is>
      </c>
      <c r="B89" s="46" t="inlineStr">
        <is>
          <t>R_S0_SC02_I07</t>
        </is>
      </c>
      <c r="C89" s="46" t="inlineStr">
        <is>
          <t>Baseline – Zero-Shot (minimal instruction)</t>
        </is>
      </c>
      <c r="D89" s="75" t="inlineStr">
        <is>
          <t>SC02</t>
        </is>
      </c>
      <c r="E89" s="46" t="inlineStr">
        <is>
          <t>Ransomware</t>
        </is>
      </c>
      <c r="F89" s="74" t="n"/>
    </row>
    <row r="90" ht="13.5" customHeight="1" s="38">
      <c r="A90" s="46" t="inlineStr">
        <is>
          <t>R_0087</t>
        </is>
      </c>
      <c r="B90" s="46" t="inlineStr">
        <is>
          <t>R_S2_SC01_I10</t>
        </is>
      </c>
      <c r="C90" s="46" t="inlineStr">
        <is>
          <t>Strategy 2 – Zero-Shot + Template + BLUF</t>
        </is>
      </c>
      <c r="D90" s="75" t="inlineStr">
        <is>
          <t>SC01</t>
        </is>
      </c>
      <c r="E90" s="46" t="inlineStr">
        <is>
          <t>Ransomware</t>
        </is>
      </c>
      <c r="F90" s="74" t="n"/>
    </row>
    <row r="91" ht="13.5" customHeight="1" s="38">
      <c r="A91" s="46" t="inlineStr">
        <is>
          <t>R_0088</t>
        </is>
      </c>
      <c r="B91" s="46" t="inlineStr">
        <is>
          <t>B_S3_SC04_I03</t>
        </is>
      </c>
      <c r="C91" s="46" t="inlineStr">
        <is>
          <t>Strategy 3 – One-Shot + Structured Template</t>
        </is>
      </c>
      <c r="D91" s="75" t="inlineStr">
        <is>
          <t>SC04</t>
        </is>
      </c>
      <c r="E91" s="46" t="inlineStr">
        <is>
          <t>Business Email Compromise</t>
        </is>
      </c>
      <c r="F91" s="74" t="n"/>
    </row>
    <row r="92" ht="13.5" customHeight="1" s="38">
      <c r="A92" s="46" t="inlineStr">
        <is>
          <t>R_0089</t>
        </is>
      </c>
      <c r="B92" s="46" t="inlineStr">
        <is>
          <t>B_S0_SC05_I09</t>
        </is>
      </c>
      <c r="C92" s="46" t="inlineStr">
        <is>
          <t>Baseline – Zero-Shot (minimal instruction)</t>
        </is>
      </c>
      <c r="D92" s="75" t="inlineStr">
        <is>
          <t>SC05</t>
        </is>
      </c>
      <c r="E92" s="46" t="inlineStr">
        <is>
          <t>Business Email Compromise</t>
        </is>
      </c>
      <c r="F92" s="74" t="n"/>
    </row>
    <row r="93" ht="13.5" customHeight="1" s="38">
      <c r="A93" s="46" t="inlineStr">
        <is>
          <t>R_0090</t>
        </is>
      </c>
      <c r="B93" s="46" t="inlineStr">
        <is>
          <t>R_S2_SC04_I07</t>
        </is>
      </c>
      <c r="C93" s="46" t="inlineStr">
        <is>
          <t>Strategy 2 – Zero-Shot + Template + BLUF</t>
        </is>
      </c>
      <c r="D93" s="75" t="inlineStr">
        <is>
          <t>SC04</t>
        </is>
      </c>
      <c r="E93" s="46" t="inlineStr">
        <is>
          <t>Ransomware</t>
        </is>
      </c>
      <c r="F93" s="74" t="n"/>
    </row>
    <row r="94" ht="13.5" customHeight="1" s="38">
      <c r="A94" s="46" t="inlineStr">
        <is>
          <t>R_0091</t>
        </is>
      </c>
      <c r="B94" s="46" t="inlineStr">
        <is>
          <t>B_S1_SC02_I09</t>
        </is>
      </c>
      <c r="C94" s="46" t="inlineStr">
        <is>
          <t>Strategy 1 – Zero-Shot + Structured Template</t>
        </is>
      </c>
      <c r="D94" s="75" t="inlineStr">
        <is>
          <t>SC02</t>
        </is>
      </c>
      <c r="E94" s="46" t="inlineStr">
        <is>
          <t>Business Email Compromise</t>
        </is>
      </c>
      <c r="F94" s="74" t="n"/>
    </row>
    <row r="95" ht="13.5" customHeight="1" s="38">
      <c r="A95" s="46" t="inlineStr">
        <is>
          <t>R_0092</t>
        </is>
      </c>
      <c r="B95" s="46" t="inlineStr">
        <is>
          <t>S_S2_SC05_I10</t>
        </is>
      </c>
      <c r="C95" s="46" t="inlineStr">
        <is>
          <t>Strategy 2 – Zero-Shot + Template + BLUF</t>
        </is>
      </c>
      <c r="D95" s="75" t="inlineStr">
        <is>
          <t>SC05</t>
        </is>
      </c>
      <c r="E95" s="46" t="inlineStr">
        <is>
          <t>Supply Chain</t>
        </is>
      </c>
      <c r="F95" s="74" t="n"/>
    </row>
    <row r="96" ht="13.5" customHeight="1" s="38">
      <c r="A96" s="46" t="inlineStr">
        <is>
          <t>R_0093</t>
        </is>
      </c>
      <c r="B96" s="46" t="inlineStr">
        <is>
          <t>B_S0_SC04_I05</t>
        </is>
      </c>
      <c r="C96" s="46" t="inlineStr">
        <is>
          <t>Baseline – Zero-Shot (minimal instruction)</t>
        </is>
      </c>
      <c r="D96" s="75" t="inlineStr">
        <is>
          <t>SC04</t>
        </is>
      </c>
      <c r="E96" s="46" t="inlineStr">
        <is>
          <t>Business Email Compromise</t>
        </is>
      </c>
      <c r="F96" s="74" t="n"/>
    </row>
    <row r="97" ht="13.5" customHeight="1" s="38">
      <c r="A97" s="46" t="inlineStr">
        <is>
          <t>R_0094</t>
        </is>
      </c>
      <c r="B97" s="46" t="inlineStr">
        <is>
          <t>S_S4_SC01_I03</t>
        </is>
      </c>
      <c r="C97" s="46" t="inlineStr">
        <is>
          <t>Strategy 4 – One-Shot + Template + BLUF</t>
        </is>
      </c>
      <c r="D97" s="75" t="inlineStr">
        <is>
          <t>SC01</t>
        </is>
      </c>
      <c r="E97" s="46" t="inlineStr">
        <is>
          <t>Supply Chain</t>
        </is>
      </c>
      <c r="F97" s="74" t="n"/>
    </row>
    <row r="98" ht="13.5" customHeight="1" s="38">
      <c r="A98" s="46" t="inlineStr">
        <is>
          <t>R_0095</t>
        </is>
      </c>
      <c r="B98" s="46" t="inlineStr">
        <is>
          <t>B_S4_SC02_I04</t>
        </is>
      </c>
      <c r="C98" s="46" t="inlineStr">
        <is>
          <t>Strategy 4 – One-Shot + Template + BLUF</t>
        </is>
      </c>
      <c r="D98" s="75" t="inlineStr">
        <is>
          <t>SC02</t>
        </is>
      </c>
      <c r="E98" s="46" t="inlineStr">
        <is>
          <t>Business Email Compromise</t>
        </is>
      </c>
      <c r="F98" s="74" t="n"/>
    </row>
    <row r="99" ht="13.5" customHeight="1" s="38">
      <c r="A99" s="46" t="inlineStr">
        <is>
          <t>R_0096</t>
        </is>
      </c>
      <c r="B99" s="46" t="inlineStr">
        <is>
          <t>B_S4_SC05_I06</t>
        </is>
      </c>
      <c r="C99" s="46" t="inlineStr">
        <is>
          <t>Strategy 4 – One-Shot + Template + BLUF</t>
        </is>
      </c>
      <c r="D99" s="75" t="inlineStr">
        <is>
          <t>SC05</t>
        </is>
      </c>
      <c r="E99" s="46" t="inlineStr">
        <is>
          <t>Business Email Compromise</t>
        </is>
      </c>
      <c r="F99" s="74" t="n"/>
    </row>
    <row r="100" ht="13.5" customHeight="1" s="38">
      <c r="A100" s="46" t="inlineStr">
        <is>
          <t>R_0097</t>
        </is>
      </c>
      <c r="B100" s="46" t="inlineStr">
        <is>
          <t>Z_S3_SC02_I07</t>
        </is>
      </c>
      <c r="C100" s="46" t="inlineStr">
        <is>
          <t>Strategy 3 – One-Shot + Structured Template</t>
        </is>
      </c>
      <c r="D100" s="75" t="inlineStr">
        <is>
          <t>SC02</t>
        </is>
      </c>
      <c r="E100" s="46" t="inlineStr">
        <is>
          <t>Zero-Day / Edge Device</t>
        </is>
      </c>
      <c r="F100" s="74" t="n"/>
    </row>
    <row r="101" ht="13.5" customHeight="1" s="38">
      <c r="A101" s="46" t="inlineStr">
        <is>
          <t>R_0098</t>
        </is>
      </c>
      <c r="B101" s="46" t="inlineStr">
        <is>
          <t>S_S2_SC04_I01</t>
        </is>
      </c>
      <c r="C101" s="46" t="inlineStr">
        <is>
          <t>Strategy 2 – Zero-Shot + Template + BLUF</t>
        </is>
      </c>
      <c r="D101" s="75" t="inlineStr">
        <is>
          <t>SC04</t>
        </is>
      </c>
      <c r="E101" s="46" t="inlineStr">
        <is>
          <t>Supply Chain</t>
        </is>
      </c>
      <c r="F101" s="74" t="n"/>
    </row>
    <row r="102" ht="13.5" customHeight="1" s="38">
      <c r="A102" s="46" t="inlineStr">
        <is>
          <t>R_0099</t>
        </is>
      </c>
      <c r="B102" s="46" t="inlineStr">
        <is>
          <t>R_S2_SC05_I03</t>
        </is>
      </c>
      <c r="C102" s="46" t="inlineStr">
        <is>
          <t>Strategy 2 – Zero-Shot + Template + BLUF</t>
        </is>
      </c>
      <c r="D102" s="75" t="inlineStr">
        <is>
          <t>SC05</t>
        </is>
      </c>
      <c r="E102" s="46" t="inlineStr">
        <is>
          <t>Ransomware</t>
        </is>
      </c>
      <c r="F102" s="74" t="n"/>
    </row>
    <row r="103" ht="13.5" customHeight="1" s="38">
      <c r="A103" s="46" t="inlineStr">
        <is>
          <t>R_0100</t>
        </is>
      </c>
      <c r="B103" s="46" t="inlineStr">
        <is>
          <t>B_S4_SC02_I02</t>
        </is>
      </c>
      <c r="C103" s="46" t="inlineStr">
        <is>
          <t>Strategy 4 – One-Shot + Template + BLUF</t>
        </is>
      </c>
      <c r="D103" s="75" t="inlineStr">
        <is>
          <t>SC02</t>
        </is>
      </c>
      <c r="E103" s="46" t="inlineStr">
        <is>
          <t>Business Email Compromise</t>
        </is>
      </c>
      <c r="F103" s="74" t="n"/>
    </row>
    <row r="104" ht="13.5" customHeight="1" s="38">
      <c r="A104" s="46" t="inlineStr">
        <is>
          <t>R_0101</t>
        </is>
      </c>
      <c r="B104" s="46" t="inlineStr">
        <is>
          <t>Z_S3_SC01_I05</t>
        </is>
      </c>
      <c r="C104" s="46" t="inlineStr">
        <is>
          <t>Strategy 3 – One-Shot + Structured Template</t>
        </is>
      </c>
      <c r="D104" s="75" t="inlineStr">
        <is>
          <t>SC01</t>
        </is>
      </c>
      <c r="E104" s="46" t="inlineStr">
        <is>
          <t>Zero-Day / Edge Device</t>
        </is>
      </c>
      <c r="F104" s="74" t="n"/>
    </row>
    <row r="105" ht="13.5" customHeight="1" s="38">
      <c r="A105" s="46" t="inlineStr">
        <is>
          <t>R_0102</t>
        </is>
      </c>
      <c r="B105" s="46" t="inlineStr">
        <is>
          <t>B_S1_SC05_I05</t>
        </is>
      </c>
      <c r="C105" s="46" t="inlineStr">
        <is>
          <t>Strategy 1 – Zero-Shot + Structured Template</t>
        </is>
      </c>
      <c r="D105" s="75" t="inlineStr">
        <is>
          <t>SC05</t>
        </is>
      </c>
      <c r="E105" s="46" t="inlineStr">
        <is>
          <t>Business Email Compromise</t>
        </is>
      </c>
      <c r="F105" s="74" t="n"/>
    </row>
    <row r="106" ht="13.5" customHeight="1" s="38">
      <c r="A106" s="46" t="inlineStr">
        <is>
          <t>R_0103</t>
        </is>
      </c>
      <c r="B106" s="46" t="inlineStr">
        <is>
          <t>R_S3_SC02_I01</t>
        </is>
      </c>
      <c r="C106" s="46" t="inlineStr">
        <is>
          <t>Strategy 3 – One-Shot + Structured Template</t>
        </is>
      </c>
      <c r="D106" s="75" t="inlineStr">
        <is>
          <t>SC02</t>
        </is>
      </c>
      <c r="E106" s="46" t="inlineStr">
        <is>
          <t>Ransomware</t>
        </is>
      </c>
      <c r="F106" s="74" t="n"/>
    </row>
    <row r="107" ht="13.5" customHeight="1" s="38">
      <c r="A107" s="46" t="inlineStr">
        <is>
          <t>R_0104</t>
        </is>
      </c>
      <c r="B107" s="46" t="inlineStr">
        <is>
          <t>Z_S4_SC03_I06</t>
        </is>
      </c>
      <c r="C107" s="46" t="inlineStr">
        <is>
          <t>Strategy 4 – One-Shot + Template + BLUF</t>
        </is>
      </c>
      <c r="D107" s="75" t="inlineStr">
        <is>
          <t>SC03</t>
        </is>
      </c>
      <c r="E107" s="46" t="inlineStr">
        <is>
          <t>Zero-Day / Edge Device</t>
        </is>
      </c>
      <c r="F107" s="74" t="n"/>
    </row>
    <row r="108" ht="13.5" customHeight="1" s="38">
      <c r="A108" s="46" t="inlineStr">
        <is>
          <t>R_0105</t>
        </is>
      </c>
      <c r="B108" s="46" t="inlineStr">
        <is>
          <t>B_S4_SC02_I05</t>
        </is>
      </c>
      <c r="C108" s="46" t="inlineStr">
        <is>
          <t>Strategy 4 – One-Shot + Template + BLUF</t>
        </is>
      </c>
      <c r="D108" s="75" t="inlineStr">
        <is>
          <t>SC02</t>
        </is>
      </c>
      <c r="E108" s="46" t="inlineStr">
        <is>
          <t>Business Email Compromise</t>
        </is>
      </c>
      <c r="F108" s="74" t="n"/>
    </row>
    <row r="109" ht="13.5" customHeight="1" s="38">
      <c r="A109" s="46" t="inlineStr">
        <is>
          <t>R_0106</t>
        </is>
      </c>
      <c r="B109" s="46" t="inlineStr">
        <is>
          <t>Z_S2_SC05_I06</t>
        </is>
      </c>
      <c r="C109" s="46" t="inlineStr">
        <is>
          <t>Strategy 2 – Zero-Shot + Template + BLUF</t>
        </is>
      </c>
      <c r="D109" s="75" t="inlineStr">
        <is>
          <t>SC05</t>
        </is>
      </c>
      <c r="E109" s="46" t="inlineStr">
        <is>
          <t>Zero-Day / Edge Device</t>
        </is>
      </c>
      <c r="F109" s="74" t="n"/>
    </row>
    <row r="110" ht="13.5" customHeight="1" s="38">
      <c r="A110" s="46" t="inlineStr">
        <is>
          <t>R_0107</t>
        </is>
      </c>
      <c r="B110" s="46" t="inlineStr">
        <is>
          <t>B_S2_SC05_I01</t>
        </is>
      </c>
      <c r="C110" s="46" t="inlineStr">
        <is>
          <t>Strategy 2 – Zero-Shot + Template + BLUF</t>
        </is>
      </c>
      <c r="D110" s="75" t="inlineStr">
        <is>
          <t>SC05</t>
        </is>
      </c>
      <c r="E110" s="46" t="inlineStr">
        <is>
          <t>Business Email Compromise</t>
        </is>
      </c>
      <c r="F110" s="74" t="n"/>
    </row>
    <row r="111" ht="13.5" customHeight="1" s="38">
      <c r="A111" s="46" t="inlineStr">
        <is>
          <t>R_0108</t>
        </is>
      </c>
      <c r="B111" s="46" t="inlineStr">
        <is>
          <t>R_S2_SC03_I07</t>
        </is>
      </c>
      <c r="C111" s="46" t="inlineStr">
        <is>
          <t>Strategy 2 – Zero-Shot + Template + BLUF</t>
        </is>
      </c>
      <c r="D111" s="75" t="inlineStr">
        <is>
          <t>SC03</t>
        </is>
      </c>
      <c r="E111" s="46" t="inlineStr">
        <is>
          <t>Ransomware</t>
        </is>
      </c>
      <c r="F111" s="74" t="n"/>
    </row>
    <row r="112" ht="13.5" customHeight="1" s="38">
      <c r="A112" s="46" t="inlineStr">
        <is>
          <t>R_0109</t>
        </is>
      </c>
      <c r="B112" s="46" t="inlineStr">
        <is>
          <t>R_S4_SC01_I10</t>
        </is>
      </c>
      <c r="C112" s="46" t="inlineStr">
        <is>
          <t>Strategy 4 – One-Shot + Template + BLUF</t>
        </is>
      </c>
      <c r="D112" s="75" t="inlineStr">
        <is>
          <t>SC01</t>
        </is>
      </c>
      <c r="E112" s="46" t="inlineStr">
        <is>
          <t>Ransomware</t>
        </is>
      </c>
      <c r="F112" s="74" t="n"/>
    </row>
    <row r="113" ht="13.5" customHeight="1" s="38">
      <c r="A113" s="46" t="inlineStr">
        <is>
          <t>R_0110</t>
        </is>
      </c>
      <c r="B113" s="46" t="inlineStr">
        <is>
          <t>B_S2_SC04_I07</t>
        </is>
      </c>
      <c r="C113" s="46" t="inlineStr">
        <is>
          <t>Strategy 2 – Zero-Shot + Template + BLUF</t>
        </is>
      </c>
      <c r="D113" s="75" t="inlineStr">
        <is>
          <t>SC04</t>
        </is>
      </c>
      <c r="E113" s="46" t="inlineStr">
        <is>
          <t>Business Email Compromise</t>
        </is>
      </c>
      <c r="F113" s="74" t="n"/>
    </row>
    <row r="114" ht="13.5" customHeight="1" s="38">
      <c r="A114" s="46" t="inlineStr">
        <is>
          <t>R_0111</t>
        </is>
      </c>
      <c r="B114" s="46" t="inlineStr">
        <is>
          <t>Z_S2_SC04_I01</t>
        </is>
      </c>
      <c r="C114" s="46" t="inlineStr">
        <is>
          <t>Strategy 2 – Zero-Shot + Template + BLUF</t>
        </is>
      </c>
      <c r="D114" s="75" t="inlineStr">
        <is>
          <t>SC04</t>
        </is>
      </c>
      <c r="E114" s="46" t="inlineStr">
        <is>
          <t>Zero-Day / Edge Device</t>
        </is>
      </c>
      <c r="F114" s="74" t="n"/>
    </row>
    <row r="115" ht="13.5" customHeight="1" s="38">
      <c r="A115" s="46" t="inlineStr">
        <is>
          <t>R_0112</t>
        </is>
      </c>
      <c r="B115" s="46" t="inlineStr">
        <is>
          <t>Z_S3_SC01_I01</t>
        </is>
      </c>
      <c r="C115" s="46" t="inlineStr">
        <is>
          <t>Strategy 3 – One-Shot + Structured Template</t>
        </is>
      </c>
      <c r="D115" s="75" t="inlineStr">
        <is>
          <t>SC01</t>
        </is>
      </c>
      <c r="E115" s="46" t="inlineStr">
        <is>
          <t>Zero-Day / Edge Device</t>
        </is>
      </c>
      <c r="F115" s="74" t="n"/>
    </row>
    <row r="116" ht="13.5" customHeight="1" s="38">
      <c r="A116" s="46" t="inlineStr">
        <is>
          <t>R_0113</t>
        </is>
      </c>
      <c r="B116" s="46" t="inlineStr">
        <is>
          <t>R_S4_SC05_I10</t>
        </is>
      </c>
      <c r="C116" s="46" t="inlineStr">
        <is>
          <t>Strategy 4 – One-Shot + Template + BLUF</t>
        </is>
      </c>
      <c r="D116" s="75" t="inlineStr">
        <is>
          <t>SC05</t>
        </is>
      </c>
      <c r="E116" s="46" t="inlineStr">
        <is>
          <t>Ransomware</t>
        </is>
      </c>
      <c r="F116" s="74" t="n"/>
    </row>
    <row r="117" ht="13.5" customHeight="1" s="38">
      <c r="A117" s="46" t="inlineStr">
        <is>
          <t>R_0114</t>
        </is>
      </c>
      <c r="B117" s="46" t="inlineStr">
        <is>
          <t>R_S0_SC05_I03</t>
        </is>
      </c>
      <c r="C117" s="46" t="inlineStr">
        <is>
          <t>Baseline – Zero-Shot (minimal instruction)</t>
        </is>
      </c>
      <c r="D117" s="75" t="inlineStr">
        <is>
          <t>SC05</t>
        </is>
      </c>
      <c r="E117" s="46" t="inlineStr">
        <is>
          <t>Ransomware</t>
        </is>
      </c>
      <c r="F117" s="74" t="n"/>
    </row>
    <row r="118" ht="13.5" customHeight="1" s="38">
      <c r="A118" s="46" t="inlineStr">
        <is>
          <t>R_0115</t>
        </is>
      </c>
      <c r="B118" s="46" t="inlineStr">
        <is>
          <t>R_S4_SC03_I03</t>
        </is>
      </c>
      <c r="C118" s="46" t="inlineStr">
        <is>
          <t>Strategy 4 – One-Shot + Template + BLUF</t>
        </is>
      </c>
      <c r="D118" s="75" t="inlineStr">
        <is>
          <t>SC03</t>
        </is>
      </c>
      <c r="E118" s="46" t="inlineStr">
        <is>
          <t>Ransomware</t>
        </is>
      </c>
      <c r="F118" s="74" t="n"/>
    </row>
    <row r="119" ht="13.5" customHeight="1" s="38">
      <c r="A119" s="46" t="inlineStr">
        <is>
          <t>R_0116</t>
        </is>
      </c>
      <c r="B119" s="46" t="inlineStr">
        <is>
          <t>B_S1_SC05_I06</t>
        </is>
      </c>
      <c r="C119" s="46" t="inlineStr">
        <is>
          <t>Strategy 1 – Zero-Shot + Structured Template</t>
        </is>
      </c>
      <c r="D119" s="75" t="inlineStr">
        <is>
          <t>SC05</t>
        </is>
      </c>
      <c r="E119" s="46" t="inlineStr">
        <is>
          <t>Business Email Compromise</t>
        </is>
      </c>
      <c r="F119" s="74" t="n"/>
    </row>
    <row r="120" ht="13.5" customHeight="1" s="38">
      <c r="A120" s="46" t="inlineStr">
        <is>
          <t>R_0117</t>
        </is>
      </c>
      <c r="B120" s="46" t="inlineStr">
        <is>
          <t>R_S0_SC02_I08</t>
        </is>
      </c>
      <c r="C120" s="46" t="inlineStr">
        <is>
          <t>Baseline – Zero-Shot (minimal instruction)</t>
        </is>
      </c>
      <c r="D120" s="75" t="inlineStr">
        <is>
          <t>SC02</t>
        </is>
      </c>
      <c r="E120" s="46" t="inlineStr">
        <is>
          <t>Ransomware</t>
        </is>
      </c>
      <c r="F120" s="74" t="n"/>
    </row>
    <row r="121" ht="13.5" customHeight="1" s="38">
      <c r="A121" s="46" t="inlineStr">
        <is>
          <t>R_0118</t>
        </is>
      </c>
      <c r="B121" s="46" t="inlineStr">
        <is>
          <t>R_S4_SC04_I01</t>
        </is>
      </c>
      <c r="C121" s="46" t="inlineStr">
        <is>
          <t>Strategy 4 – One-Shot + Template + BLUF</t>
        </is>
      </c>
      <c r="D121" s="75" t="inlineStr">
        <is>
          <t>SC04</t>
        </is>
      </c>
      <c r="E121" s="46" t="inlineStr">
        <is>
          <t>Ransomware</t>
        </is>
      </c>
      <c r="F121" s="74" t="n"/>
    </row>
    <row r="122" ht="13.5" customHeight="1" s="38">
      <c r="A122" s="46" t="inlineStr">
        <is>
          <t>R_0119</t>
        </is>
      </c>
      <c r="B122" s="46" t="inlineStr">
        <is>
          <t>B_S2_SC04_I08</t>
        </is>
      </c>
      <c r="C122" s="46" t="inlineStr">
        <is>
          <t>Strategy 2 – Zero-Shot + Template + BLUF</t>
        </is>
      </c>
      <c r="D122" s="75" t="inlineStr">
        <is>
          <t>SC04</t>
        </is>
      </c>
      <c r="E122" s="46" t="inlineStr">
        <is>
          <t>Business Email Compromise</t>
        </is>
      </c>
      <c r="F122" s="74" t="n"/>
    </row>
    <row r="123" ht="13.5" customHeight="1" s="38">
      <c r="A123" s="46" t="inlineStr">
        <is>
          <t>R_0120</t>
        </is>
      </c>
      <c r="B123" s="46" t="inlineStr">
        <is>
          <t>R_S1_SC04_I09</t>
        </is>
      </c>
      <c r="C123" s="46" t="inlineStr">
        <is>
          <t>Strategy 1 – Zero-Shot + Structured Template</t>
        </is>
      </c>
      <c r="D123" s="75" t="inlineStr">
        <is>
          <t>SC04</t>
        </is>
      </c>
      <c r="E123" s="46" t="inlineStr">
        <is>
          <t>Ransomware</t>
        </is>
      </c>
      <c r="F123" s="74" t="n"/>
    </row>
    <row r="124" ht="13.5" customHeight="1" s="38">
      <c r="A124" s="46" t="inlineStr">
        <is>
          <t>R_0121</t>
        </is>
      </c>
      <c r="B124" s="46" t="inlineStr">
        <is>
          <t>B_S1_SC05_I09</t>
        </is>
      </c>
      <c r="C124" s="46" t="inlineStr">
        <is>
          <t>Strategy 1 – Zero-Shot + Structured Template</t>
        </is>
      </c>
      <c r="D124" s="75" t="inlineStr">
        <is>
          <t>SC05</t>
        </is>
      </c>
      <c r="E124" s="46" t="inlineStr">
        <is>
          <t>Business Email Compromise</t>
        </is>
      </c>
      <c r="F124" s="74" t="n"/>
    </row>
    <row r="125" ht="13.5" customHeight="1" s="38">
      <c r="A125" s="46" t="inlineStr">
        <is>
          <t>R_0122</t>
        </is>
      </c>
      <c r="B125" s="46" t="inlineStr">
        <is>
          <t>R_S1_SC05_I04</t>
        </is>
      </c>
      <c r="C125" s="46" t="inlineStr">
        <is>
          <t>Strategy 1 – Zero-Shot + Structured Template</t>
        </is>
      </c>
      <c r="D125" s="75" t="inlineStr">
        <is>
          <t>SC05</t>
        </is>
      </c>
      <c r="E125" s="46" t="inlineStr">
        <is>
          <t>Ransomware</t>
        </is>
      </c>
      <c r="F125" s="74" t="n"/>
    </row>
    <row r="126" ht="13.5" customHeight="1" s="38">
      <c r="A126" s="46" t="inlineStr">
        <is>
          <t>R_0123</t>
        </is>
      </c>
      <c r="B126" s="46" t="inlineStr">
        <is>
          <t>R_S3_SC04_I07</t>
        </is>
      </c>
      <c r="C126" s="46" t="inlineStr">
        <is>
          <t>Strategy 3 – One-Shot + Structured Template</t>
        </is>
      </c>
      <c r="D126" s="75" t="inlineStr">
        <is>
          <t>SC04</t>
        </is>
      </c>
      <c r="E126" s="46" t="inlineStr">
        <is>
          <t>Ransomware</t>
        </is>
      </c>
      <c r="F126" s="74" t="n"/>
    </row>
    <row r="127" ht="13.5" customHeight="1" s="38">
      <c r="A127" s="46" t="inlineStr">
        <is>
          <t>R_0124</t>
        </is>
      </c>
      <c r="B127" s="46" t="inlineStr">
        <is>
          <t>B_S3_SC01_I03</t>
        </is>
      </c>
      <c r="C127" s="46" t="inlineStr">
        <is>
          <t>Strategy 3 – One-Shot + Structured Template</t>
        </is>
      </c>
      <c r="D127" s="75" t="inlineStr">
        <is>
          <t>SC01</t>
        </is>
      </c>
      <c r="E127" s="46" t="inlineStr">
        <is>
          <t>Business Email Compromise</t>
        </is>
      </c>
      <c r="F127" s="74" t="n"/>
    </row>
    <row r="128" ht="13.5" customHeight="1" s="38">
      <c r="A128" s="46" t="inlineStr">
        <is>
          <t>R_0125</t>
        </is>
      </c>
      <c r="B128" s="46" t="inlineStr">
        <is>
          <t>B_S1_SC03_I07</t>
        </is>
      </c>
      <c r="C128" s="46" t="inlineStr">
        <is>
          <t>Strategy 1 – Zero-Shot + Structured Template</t>
        </is>
      </c>
      <c r="D128" s="75" t="inlineStr">
        <is>
          <t>SC03</t>
        </is>
      </c>
      <c r="E128" s="46" t="inlineStr">
        <is>
          <t>Business Email Compromise</t>
        </is>
      </c>
      <c r="F128" s="74" t="n"/>
    </row>
    <row r="129" ht="13.5" customHeight="1" s="38">
      <c r="A129" s="46" t="inlineStr">
        <is>
          <t>R_0126</t>
        </is>
      </c>
      <c r="B129" s="46" t="inlineStr">
        <is>
          <t>B_S1_SC05_I01</t>
        </is>
      </c>
      <c r="C129" s="46" t="inlineStr">
        <is>
          <t>Strategy 1 – Zero-Shot + Structured Template</t>
        </is>
      </c>
      <c r="D129" s="75" t="inlineStr">
        <is>
          <t>SC05</t>
        </is>
      </c>
      <c r="E129" s="46" t="inlineStr">
        <is>
          <t>Business Email Compromise</t>
        </is>
      </c>
      <c r="F129" s="74" t="n"/>
    </row>
    <row r="130" ht="13.5" customHeight="1" s="38">
      <c r="A130" s="46" t="inlineStr">
        <is>
          <t>R_0127</t>
        </is>
      </c>
      <c r="B130" s="46" t="inlineStr">
        <is>
          <t>Z_S1_SC05_I03</t>
        </is>
      </c>
      <c r="C130" s="46" t="inlineStr">
        <is>
          <t>Strategy 1 – Zero-Shot + Structured Template</t>
        </is>
      </c>
      <c r="D130" s="75" t="inlineStr">
        <is>
          <t>SC05</t>
        </is>
      </c>
      <c r="E130" s="46" t="inlineStr">
        <is>
          <t>Zero-Day / Edge Device</t>
        </is>
      </c>
      <c r="F130" s="74" t="n"/>
    </row>
    <row r="131" ht="13.5" customHeight="1" s="38">
      <c r="A131" s="46" t="inlineStr">
        <is>
          <t>R_0128</t>
        </is>
      </c>
      <c r="B131" s="46" t="inlineStr">
        <is>
          <t>B_S4_SC01_I01</t>
        </is>
      </c>
      <c r="C131" s="46" t="inlineStr">
        <is>
          <t>Strategy 4 – One-Shot + Template + BLUF</t>
        </is>
      </c>
      <c r="D131" s="75" t="inlineStr">
        <is>
          <t>SC01</t>
        </is>
      </c>
      <c r="E131" s="46" t="inlineStr">
        <is>
          <t>Business Email Compromise</t>
        </is>
      </c>
      <c r="F131" s="74" t="n"/>
    </row>
    <row r="132" ht="13.5" customHeight="1" s="38">
      <c r="A132" s="46" t="inlineStr">
        <is>
          <t>R_0129</t>
        </is>
      </c>
      <c r="B132" s="46" t="inlineStr">
        <is>
          <t>B_S3_SC03_I07</t>
        </is>
      </c>
      <c r="C132" s="46" t="inlineStr">
        <is>
          <t>Strategy 3 – One-Shot + Structured Template</t>
        </is>
      </c>
      <c r="D132" s="75" t="inlineStr">
        <is>
          <t>SC03</t>
        </is>
      </c>
      <c r="E132" s="46" t="inlineStr">
        <is>
          <t>Business Email Compromise</t>
        </is>
      </c>
      <c r="F132" s="74" t="n"/>
    </row>
    <row r="133" ht="13.5" customHeight="1" s="38">
      <c r="A133" s="46" t="inlineStr">
        <is>
          <t>R_0130</t>
        </is>
      </c>
      <c r="B133" s="46" t="inlineStr">
        <is>
          <t>S_S1_SC02_I04</t>
        </is>
      </c>
      <c r="C133" s="46" t="inlineStr">
        <is>
          <t>Strategy 1 – Zero-Shot + Structured Template</t>
        </is>
      </c>
      <c r="D133" s="75" t="inlineStr">
        <is>
          <t>SC02</t>
        </is>
      </c>
      <c r="E133" s="46" t="inlineStr">
        <is>
          <t>Supply Chain</t>
        </is>
      </c>
      <c r="F133" s="74" t="n"/>
    </row>
    <row r="134" ht="13.5" customHeight="1" s="38">
      <c r="A134" s="46" t="inlineStr">
        <is>
          <t>R_0131</t>
        </is>
      </c>
      <c r="B134" s="46" t="inlineStr">
        <is>
          <t>B_S2_SC01_I04</t>
        </is>
      </c>
      <c r="C134" s="46" t="inlineStr">
        <is>
          <t>Strategy 2 – Zero-Shot + Template + BLUF</t>
        </is>
      </c>
      <c r="D134" s="75" t="inlineStr">
        <is>
          <t>SC01</t>
        </is>
      </c>
      <c r="E134" s="46" t="inlineStr">
        <is>
          <t>Business Email Compromise</t>
        </is>
      </c>
      <c r="F134" s="74" t="n"/>
    </row>
    <row r="135" ht="13.5" customHeight="1" s="38">
      <c r="A135" s="46" t="inlineStr">
        <is>
          <t>R_0132</t>
        </is>
      </c>
      <c r="B135" s="46" t="inlineStr">
        <is>
          <t>B_S3_SC03_I06</t>
        </is>
      </c>
      <c r="C135" s="46" t="inlineStr">
        <is>
          <t>Strategy 3 – One-Shot + Structured Template</t>
        </is>
      </c>
      <c r="D135" s="75" t="inlineStr">
        <is>
          <t>SC03</t>
        </is>
      </c>
      <c r="E135" s="46" t="inlineStr">
        <is>
          <t>Business Email Compromise</t>
        </is>
      </c>
      <c r="F135" s="74" t="n"/>
    </row>
    <row r="136" ht="13.5" customHeight="1" s="38">
      <c r="A136" s="46" t="inlineStr">
        <is>
          <t>R_0133</t>
        </is>
      </c>
      <c r="B136" s="46" t="inlineStr">
        <is>
          <t>Z_S1_SC05_I04</t>
        </is>
      </c>
      <c r="C136" s="46" t="inlineStr">
        <is>
          <t>Strategy 1 – Zero-Shot + Structured Template</t>
        </is>
      </c>
      <c r="D136" s="75" t="inlineStr">
        <is>
          <t>SC05</t>
        </is>
      </c>
      <c r="E136" s="46" t="inlineStr">
        <is>
          <t>Zero-Day / Edge Device</t>
        </is>
      </c>
      <c r="F136" s="74" t="n"/>
    </row>
    <row r="137" ht="13.5" customHeight="1" s="38">
      <c r="A137" s="46" t="inlineStr">
        <is>
          <t>R_0134</t>
        </is>
      </c>
      <c r="B137" s="46" t="inlineStr">
        <is>
          <t>B_S2_SC02_I08</t>
        </is>
      </c>
      <c r="C137" s="46" t="inlineStr">
        <is>
          <t>Strategy 2 – Zero-Shot + Template + BLUF</t>
        </is>
      </c>
      <c r="D137" s="75" t="inlineStr">
        <is>
          <t>SC02</t>
        </is>
      </c>
      <c r="E137" s="46" t="inlineStr">
        <is>
          <t>Business Email Compromise</t>
        </is>
      </c>
      <c r="F137" s="74" t="n"/>
    </row>
    <row r="138" ht="13.5" customHeight="1" s="38">
      <c r="A138" s="46" t="inlineStr">
        <is>
          <t>R_0135</t>
        </is>
      </c>
      <c r="B138" s="46" t="inlineStr">
        <is>
          <t>R_S3_SC02_I09</t>
        </is>
      </c>
      <c r="C138" s="46" t="inlineStr">
        <is>
          <t>Strategy 3 – One-Shot + Structured Template</t>
        </is>
      </c>
      <c r="D138" s="75" t="inlineStr">
        <is>
          <t>SC02</t>
        </is>
      </c>
      <c r="E138" s="46" t="inlineStr">
        <is>
          <t>Ransomware</t>
        </is>
      </c>
      <c r="F138" s="74" t="n"/>
    </row>
    <row r="139" ht="13.5" customHeight="1" s="38">
      <c r="A139" s="46" t="inlineStr">
        <is>
          <t>R_0136</t>
        </is>
      </c>
      <c r="B139" s="46" t="inlineStr">
        <is>
          <t>Z_S3_SC03_I05</t>
        </is>
      </c>
      <c r="C139" s="46" t="inlineStr">
        <is>
          <t>Strategy 3 – One-Shot + Structured Template</t>
        </is>
      </c>
      <c r="D139" s="75" t="inlineStr">
        <is>
          <t>SC03</t>
        </is>
      </c>
      <c r="E139" s="46" t="inlineStr">
        <is>
          <t>Zero-Day / Edge Device</t>
        </is>
      </c>
      <c r="F139" s="74" t="n"/>
    </row>
    <row r="140" ht="13.5" customHeight="1" s="38">
      <c r="A140" s="46" t="inlineStr">
        <is>
          <t>R_0137</t>
        </is>
      </c>
      <c r="B140" s="46" t="inlineStr">
        <is>
          <t>B_S0_SC05_I08</t>
        </is>
      </c>
      <c r="C140" s="46" t="inlineStr">
        <is>
          <t>Baseline – Zero-Shot (minimal instruction)</t>
        </is>
      </c>
      <c r="D140" s="75" t="inlineStr">
        <is>
          <t>SC05</t>
        </is>
      </c>
      <c r="E140" s="46" t="inlineStr">
        <is>
          <t>Business Email Compromise</t>
        </is>
      </c>
      <c r="F140" s="74" t="n"/>
    </row>
    <row r="141" ht="13.5" customHeight="1" s="38">
      <c r="A141" s="46" t="inlineStr">
        <is>
          <t>R_0138</t>
        </is>
      </c>
      <c r="B141" s="46" t="inlineStr">
        <is>
          <t>B_S2_SC04_I10</t>
        </is>
      </c>
      <c r="C141" s="46" t="inlineStr">
        <is>
          <t>Strategy 2 – Zero-Shot + Template + BLUF</t>
        </is>
      </c>
      <c r="D141" s="75" t="inlineStr">
        <is>
          <t>SC04</t>
        </is>
      </c>
      <c r="E141" s="46" t="inlineStr">
        <is>
          <t>Business Email Compromise</t>
        </is>
      </c>
      <c r="F141" s="74" t="n"/>
    </row>
    <row r="142" ht="13.5" customHeight="1" s="38">
      <c r="A142" s="46" t="inlineStr">
        <is>
          <t>R_0139</t>
        </is>
      </c>
      <c r="B142" s="46" t="inlineStr">
        <is>
          <t>Z_S0_SC04_I06</t>
        </is>
      </c>
      <c r="C142" s="46" t="inlineStr">
        <is>
          <t>Baseline – Zero-Shot (minimal instruction)</t>
        </is>
      </c>
      <c r="D142" s="75" t="inlineStr">
        <is>
          <t>SC04</t>
        </is>
      </c>
      <c r="E142" s="46" t="inlineStr">
        <is>
          <t>Zero-Day / Edge Device</t>
        </is>
      </c>
      <c r="F142" s="74" t="n"/>
    </row>
    <row r="143" ht="13.5" customHeight="1" s="38">
      <c r="A143" s="46" t="inlineStr">
        <is>
          <t>R_0140</t>
        </is>
      </c>
      <c r="B143" s="46" t="inlineStr">
        <is>
          <t>Z_S1_SC04_I01</t>
        </is>
      </c>
      <c r="C143" s="46" t="inlineStr">
        <is>
          <t>Strategy 1 – Zero-Shot + Structured Template</t>
        </is>
      </c>
      <c r="D143" s="75" t="inlineStr">
        <is>
          <t>SC04</t>
        </is>
      </c>
      <c r="E143" s="46" t="inlineStr">
        <is>
          <t>Zero-Day / Edge Device</t>
        </is>
      </c>
      <c r="F143" s="74" t="n"/>
    </row>
    <row r="144" ht="13.5" customHeight="1" s="38">
      <c r="A144" s="46" t="inlineStr">
        <is>
          <t>R_0141</t>
        </is>
      </c>
      <c r="B144" s="46" t="inlineStr">
        <is>
          <t>Z_S1_SC04_I06</t>
        </is>
      </c>
      <c r="C144" s="46" t="inlineStr">
        <is>
          <t>Strategy 1 – Zero-Shot + Structured Template</t>
        </is>
      </c>
      <c r="D144" s="75" t="inlineStr">
        <is>
          <t>SC04</t>
        </is>
      </c>
      <c r="E144" s="46" t="inlineStr">
        <is>
          <t>Zero-Day / Edge Device</t>
        </is>
      </c>
      <c r="F144" s="74" t="n"/>
    </row>
    <row r="145" ht="13.5" customHeight="1" s="38">
      <c r="A145" s="46" t="inlineStr">
        <is>
          <t>R_0142</t>
        </is>
      </c>
      <c r="B145" s="46" t="inlineStr">
        <is>
          <t>S_S4_SC01_I06</t>
        </is>
      </c>
      <c r="C145" s="46" t="inlineStr">
        <is>
          <t>Strategy 4 – One-Shot + Template + BLUF</t>
        </is>
      </c>
      <c r="D145" s="75" t="inlineStr">
        <is>
          <t>SC01</t>
        </is>
      </c>
      <c r="E145" s="46" t="inlineStr">
        <is>
          <t>Supply Chain</t>
        </is>
      </c>
      <c r="F145" s="74" t="n"/>
    </row>
    <row r="146" ht="13.5" customHeight="1" s="38">
      <c r="A146" s="46" t="inlineStr">
        <is>
          <t>R_0143</t>
        </is>
      </c>
      <c r="B146" s="46" t="inlineStr">
        <is>
          <t>S_S4_SC02_I09</t>
        </is>
      </c>
      <c r="C146" s="46" t="inlineStr">
        <is>
          <t>Strategy 4 – One-Shot + Template + BLUF</t>
        </is>
      </c>
      <c r="D146" s="75" t="inlineStr">
        <is>
          <t>SC02</t>
        </is>
      </c>
      <c r="E146" s="46" t="inlineStr">
        <is>
          <t>Supply Chain</t>
        </is>
      </c>
      <c r="F146" s="74" t="n"/>
    </row>
    <row r="147" ht="13.5" customHeight="1" s="38">
      <c r="A147" s="46" t="inlineStr">
        <is>
          <t>R_0144</t>
        </is>
      </c>
      <c r="B147" s="46" t="inlineStr">
        <is>
          <t>S_S3_SC05_I05</t>
        </is>
      </c>
      <c r="C147" s="46" t="inlineStr">
        <is>
          <t>Strategy 3 – One-Shot + Structured Template</t>
        </is>
      </c>
      <c r="D147" s="75" t="inlineStr">
        <is>
          <t>SC05</t>
        </is>
      </c>
      <c r="E147" s="46" t="inlineStr">
        <is>
          <t>Supply Chain</t>
        </is>
      </c>
      <c r="F147" s="74" t="n"/>
    </row>
    <row r="148" ht="13.5" customHeight="1" s="38">
      <c r="A148" s="46" t="inlineStr">
        <is>
          <t>R_0145</t>
        </is>
      </c>
      <c r="B148" s="46" t="inlineStr">
        <is>
          <t>R_S1_SC05_I01</t>
        </is>
      </c>
      <c r="C148" s="46" t="inlineStr">
        <is>
          <t>Strategy 1 – Zero-Shot + Structured Template</t>
        </is>
      </c>
      <c r="D148" s="75" t="inlineStr">
        <is>
          <t>SC05</t>
        </is>
      </c>
      <c r="E148" s="46" t="inlineStr">
        <is>
          <t>Ransomware</t>
        </is>
      </c>
      <c r="F148" s="74" t="n"/>
    </row>
    <row r="149" ht="13.5" customHeight="1" s="38">
      <c r="A149" s="46" t="inlineStr">
        <is>
          <t>R_0146</t>
        </is>
      </c>
      <c r="B149" s="46" t="inlineStr">
        <is>
          <t>R_S2_SC01_I07</t>
        </is>
      </c>
      <c r="C149" s="46" t="inlineStr">
        <is>
          <t>Strategy 2 – Zero-Shot + Template + BLUF</t>
        </is>
      </c>
      <c r="D149" s="75" t="inlineStr">
        <is>
          <t>SC01</t>
        </is>
      </c>
      <c r="E149" s="46" t="inlineStr">
        <is>
          <t>Ransomware</t>
        </is>
      </c>
      <c r="F149" s="74" t="n"/>
    </row>
    <row r="150" ht="13.5" customHeight="1" s="38">
      <c r="A150" s="46" t="inlineStr">
        <is>
          <t>R_0147</t>
        </is>
      </c>
      <c r="B150" s="46" t="inlineStr">
        <is>
          <t>S_S4_SC03_I01</t>
        </is>
      </c>
      <c r="C150" s="46" t="inlineStr">
        <is>
          <t>Strategy 4 – One-Shot + Template + BLUF</t>
        </is>
      </c>
      <c r="D150" s="75" t="inlineStr">
        <is>
          <t>SC03</t>
        </is>
      </c>
      <c r="E150" s="46" t="inlineStr">
        <is>
          <t>Supply Chain</t>
        </is>
      </c>
      <c r="F150" s="74" t="n"/>
    </row>
    <row r="151" ht="13.5" customHeight="1" s="38">
      <c r="A151" s="46" t="inlineStr">
        <is>
          <t>R_0148</t>
        </is>
      </c>
      <c r="B151" s="46" t="inlineStr">
        <is>
          <t>R_S1_SC02_I10</t>
        </is>
      </c>
      <c r="C151" s="46" t="inlineStr">
        <is>
          <t>Strategy 1 – Zero-Shot + Structured Template</t>
        </is>
      </c>
      <c r="D151" s="75" t="inlineStr">
        <is>
          <t>SC02</t>
        </is>
      </c>
      <c r="E151" s="46" t="inlineStr">
        <is>
          <t>Ransomware</t>
        </is>
      </c>
      <c r="F151" s="74" t="n"/>
    </row>
    <row r="152" ht="13.5" customHeight="1" s="38">
      <c r="A152" s="46" t="inlineStr">
        <is>
          <t>R_0149</t>
        </is>
      </c>
      <c r="B152" s="46" t="inlineStr">
        <is>
          <t>R_S1_SC03_I03</t>
        </is>
      </c>
      <c r="C152" s="46" t="inlineStr">
        <is>
          <t>Strategy 1 – Zero-Shot + Structured Template</t>
        </is>
      </c>
      <c r="D152" s="75" t="inlineStr">
        <is>
          <t>SC03</t>
        </is>
      </c>
      <c r="E152" s="46" t="inlineStr">
        <is>
          <t>Ransomware</t>
        </is>
      </c>
      <c r="F152" s="74" t="n"/>
    </row>
    <row r="153" ht="13.5" customHeight="1" s="38">
      <c r="A153" s="46" t="inlineStr">
        <is>
          <t>R_0150</t>
        </is>
      </c>
      <c r="B153" s="46" t="inlineStr">
        <is>
          <t>S_S0_SC01_I04</t>
        </is>
      </c>
      <c r="C153" s="46" t="inlineStr">
        <is>
          <t>Baseline – Zero-Shot (minimal instruction)</t>
        </is>
      </c>
      <c r="D153" s="75" t="inlineStr">
        <is>
          <t>SC01</t>
        </is>
      </c>
      <c r="E153" s="46" t="inlineStr">
        <is>
          <t>Supply Chain</t>
        </is>
      </c>
      <c r="F153" s="74" t="n"/>
    </row>
    <row r="154" ht="13.5" customHeight="1" s="38">
      <c r="A154" s="46" t="inlineStr">
        <is>
          <t>R_0151</t>
        </is>
      </c>
      <c r="B154" s="46" t="inlineStr">
        <is>
          <t>S_S0_SC02_I04</t>
        </is>
      </c>
      <c r="C154" s="46" t="inlineStr">
        <is>
          <t>Baseline – Zero-Shot (minimal instruction)</t>
        </is>
      </c>
      <c r="D154" s="75" t="inlineStr">
        <is>
          <t>SC02</t>
        </is>
      </c>
      <c r="E154" s="46" t="inlineStr">
        <is>
          <t>Supply Chain</t>
        </is>
      </c>
      <c r="F154" s="74" t="n"/>
    </row>
    <row r="155" ht="13.5" customHeight="1" s="38">
      <c r="A155" s="46" t="inlineStr">
        <is>
          <t>R_0152</t>
        </is>
      </c>
      <c r="B155" s="46" t="inlineStr">
        <is>
          <t>B_S2_SC01_I06</t>
        </is>
      </c>
      <c r="C155" s="46" t="inlineStr">
        <is>
          <t>Strategy 2 – Zero-Shot + Template + BLUF</t>
        </is>
      </c>
      <c r="D155" s="75" t="inlineStr">
        <is>
          <t>SC01</t>
        </is>
      </c>
      <c r="E155" s="46" t="inlineStr">
        <is>
          <t>Business Email Compromise</t>
        </is>
      </c>
      <c r="F155" s="74" t="n"/>
    </row>
    <row r="156" ht="13.5" customHeight="1" s="38">
      <c r="A156" s="46" t="inlineStr">
        <is>
          <t>R_0153</t>
        </is>
      </c>
      <c r="B156" s="46" t="inlineStr">
        <is>
          <t>B_S2_SC01_I10</t>
        </is>
      </c>
      <c r="C156" s="46" t="inlineStr">
        <is>
          <t>Strategy 2 – Zero-Shot + Template + BLUF</t>
        </is>
      </c>
      <c r="D156" s="75" t="inlineStr">
        <is>
          <t>SC01</t>
        </is>
      </c>
      <c r="E156" s="46" t="inlineStr">
        <is>
          <t>Business Email Compromise</t>
        </is>
      </c>
      <c r="F156" s="74" t="n"/>
    </row>
    <row r="157" ht="13.5" customHeight="1" s="38">
      <c r="A157" s="46" t="inlineStr">
        <is>
          <t>R_0154</t>
        </is>
      </c>
      <c r="B157" s="46" t="inlineStr">
        <is>
          <t>S_S2_SC01_I04</t>
        </is>
      </c>
      <c r="C157" s="46" t="inlineStr">
        <is>
          <t>Strategy 2 – Zero-Shot + Template + BLUF</t>
        </is>
      </c>
      <c r="D157" s="75" t="inlineStr">
        <is>
          <t>SC01</t>
        </is>
      </c>
      <c r="E157" s="46" t="inlineStr">
        <is>
          <t>Supply Chain</t>
        </is>
      </c>
      <c r="F157" s="74" t="n"/>
    </row>
    <row r="158" ht="13.5" customHeight="1" s="38">
      <c r="A158" s="46" t="inlineStr">
        <is>
          <t>R_0155</t>
        </is>
      </c>
      <c r="B158" s="46" t="inlineStr">
        <is>
          <t>R_S2_SC04_I04</t>
        </is>
      </c>
      <c r="C158" s="46" t="inlineStr">
        <is>
          <t>Strategy 2 – Zero-Shot + Template + BLUF</t>
        </is>
      </c>
      <c r="D158" s="75" t="inlineStr">
        <is>
          <t>SC04</t>
        </is>
      </c>
      <c r="E158" s="46" t="inlineStr">
        <is>
          <t>Ransomware</t>
        </is>
      </c>
      <c r="F158" s="74" t="n"/>
    </row>
    <row r="159" ht="13.5" customHeight="1" s="38">
      <c r="A159" s="46" t="inlineStr">
        <is>
          <t>R_0156</t>
        </is>
      </c>
      <c r="B159" s="46" t="inlineStr">
        <is>
          <t>R_S2_SC03_I09</t>
        </is>
      </c>
      <c r="C159" s="46" t="inlineStr">
        <is>
          <t>Strategy 2 – Zero-Shot + Template + BLUF</t>
        </is>
      </c>
      <c r="D159" s="75" t="inlineStr">
        <is>
          <t>SC03</t>
        </is>
      </c>
      <c r="E159" s="46" t="inlineStr">
        <is>
          <t>Ransomware</t>
        </is>
      </c>
      <c r="F159" s="74" t="n"/>
    </row>
    <row r="160" ht="13.5" customHeight="1" s="38">
      <c r="A160" s="46" t="inlineStr">
        <is>
          <t>R_0157</t>
        </is>
      </c>
      <c r="B160" s="46" t="inlineStr">
        <is>
          <t>R_S4_SC05_I09</t>
        </is>
      </c>
      <c r="C160" s="46" t="inlineStr">
        <is>
          <t>Strategy 4 – One-Shot + Template + BLUF</t>
        </is>
      </c>
      <c r="D160" s="75" t="inlineStr">
        <is>
          <t>SC05</t>
        </is>
      </c>
      <c r="E160" s="46" t="inlineStr">
        <is>
          <t>Ransomware</t>
        </is>
      </c>
      <c r="F160" s="74" t="n"/>
    </row>
    <row r="161" ht="13.5" customHeight="1" s="38">
      <c r="A161" s="46" t="inlineStr">
        <is>
          <t>R_0158</t>
        </is>
      </c>
      <c r="B161" s="46" t="inlineStr">
        <is>
          <t>B_S0_SC03_I05</t>
        </is>
      </c>
      <c r="C161" s="46" t="inlineStr">
        <is>
          <t>Baseline – Zero-Shot (minimal instruction)</t>
        </is>
      </c>
      <c r="D161" s="75" t="inlineStr">
        <is>
          <t>SC03</t>
        </is>
      </c>
      <c r="E161" s="46" t="inlineStr">
        <is>
          <t>Business Email Compromise</t>
        </is>
      </c>
      <c r="F161" s="74" t="n"/>
    </row>
    <row r="162" ht="13.5" customHeight="1" s="38">
      <c r="A162" s="46" t="inlineStr">
        <is>
          <t>R_0159</t>
        </is>
      </c>
      <c r="B162" s="46" t="inlineStr">
        <is>
          <t>S_S3_SC02_I02</t>
        </is>
      </c>
      <c r="C162" s="46" t="inlineStr">
        <is>
          <t>Strategy 3 – One-Shot + Structured Template</t>
        </is>
      </c>
      <c r="D162" s="75" t="inlineStr">
        <is>
          <t>SC02</t>
        </is>
      </c>
      <c r="E162" s="46" t="inlineStr">
        <is>
          <t>Supply Chain</t>
        </is>
      </c>
      <c r="F162" s="74" t="n"/>
    </row>
    <row r="163" ht="13.5" customHeight="1" s="38">
      <c r="A163" s="46" t="inlineStr">
        <is>
          <t>R_0160</t>
        </is>
      </c>
      <c r="B163" s="46" t="inlineStr">
        <is>
          <t>B_S4_SC02_I09</t>
        </is>
      </c>
      <c r="C163" s="46" t="inlineStr">
        <is>
          <t>Strategy 4 – One-Shot + Template + BLUF</t>
        </is>
      </c>
      <c r="D163" s="75" t="inlineStr">
        <is>
          <t>SC02</t>
        </is>
      </c>
      <c r="E163" s="46" t="inlineStr">
        <is>
          <t>Business Email Compromise</t>
        </is>
      </c>
      <c r="F163" s="74" t="n"/>
    </row>
    <row r="164" ht="13.5" customHeight="1" s="38">
      <c r="A164" s="46" t="inlineStr">
        <is>
          <t>R_0161</t>
        </is>
      </c>
      <c r="B164" s="46" t="inlineStr">
        <is>
          <t>S_S2_SC04_I09</t>
        </is>
      </c>
      <c r="C164" s="46" t="inlineStr">
        <is>
          <t>Strategy 2 – Zero-Shot + Template + BLUF</t>
        </is>
      </c>
      <c r="D164" s="75" t="inlineStr">
        <is>
          <t>SC04</t>
        </is>
      </c>
      <c r="E164" s="46" t="inlineStr">
        <is>
          <t>Supply Chain</t>
        </is>
      </c>
      <c r="F164" s="74" t="n"/>
    </row>
    <row r="165" ht="13.5" customHeight="1" s="38">
      <c r="A165" s="46" t="inlineStr">
        <is>
          <t>R_0162</t>
        </is>
      </c>
      <c r="B165" s="46" t="inlineStr">
        <is>
          <t>R_S4_SC02_I10</t>
        </is>
      </c>
      <c r="C165" s="46" t="inlineStr">
        <is>
          <t>Strategy 4 – One-Shot + Template + BLUF</t>
        </is>
      </c>
      <c r="D165" s="75" t="inlineStr">
        <is>
          <t>SC02</t>
        </is>
      </c>
      <c r="E165" s="46" t="inlineStr">
        <is>
          <t>Ransomware</t>
        </is>
      </c>
      <c r="F165" s="74" t="n"/>
    </row>
    <row r="166" ht="13.5" customHeight="1" s="38">
      <c r="A166" s="46" t="inlineStr">
        <is>
          <t>R_0163</t>
        </is>
      </c>
      <c r="B166" s="46" t="inlineStr">
        <is>
          <t>B_S1_SC01_I04</t>
        </is>
      </c>
      <c r="C166" s="46" t="inlineStr">
        <is>
          <t>Strategy 1 – Zero-Shot + Structured Template</t>
        </is>
      </c>
      <c r="D166" s="75" t="inlineStr">
        <is>
          <t>SC01</t>
        </is>
      </c>
      <c r="E166" s="46" t="inlineStr">
        <is>
          <t>Business Email Compromise</t>
        </is>
      </c>
      <c r="F166" s="74" t="n"/>
    </row>
    <row r="167" ht="13.5" customHeight="1" s="38">
      <c r="A167" s="46" t="inlineStr">
        <is>
          <t>R_0164</t>
        </is>
      </c>
      <c r="B167" s="46" t="inlineStr">
        <is>
          <t>B_S4_SC03_I04</t>
        </is>
      </c>
      <c r="C167" s="46" t="inlineStr">
        <is>
          <t>Strategy 4 – One-Shot + Template + BLUF</t>
        </is>
      </c>
      <c r="D167" s="75" t="inlineStr">
        <is>
          <t>SC03</t>
        </is>
      </c>
      <c r="E167" s="46" t="inlineStr">
        <is>
          <t>Business Email Compromise</t>
        </is>
      </c>
      <c r="F167" s="74" t="n"/>
    </row>
    <row r="168" ht="13.5" customHeight="1" s="38">
      <c r="A168" s="46" t="inlineStr">
        <is>
          <t>R_0165</t>
        </is>
      </c>
      <c r="B168" s="46" t="inlineStr">
        <is>
          <t>R_S2_SC03_I01</t>
        </is>
      </c>
      <c r="C168" s="46" t="inlineStr">
        <is>
          <t>Strategy 2 – Zero-Shot + Template + BLUF</t>
        </is>
      </c>
      <c r="D168" s="75" t="inlineStr">
        <is>
          <t>SC03</t>
        </is>
      </c>
      <c r="E168" s="46" t="inlineStr">
        <is>
          <t>Ransomware</t>
        </is>
      </c>
      <c r="F168" s="74" t="n"/>
    </row>
    <row r="169" ht="13.5" customHeight="1" s="38">
      <c r="A169" s="46" t="inlineStr">
        <is>
          <t>R_0166</t>
        </is>
      </c>
      <c r="B169" s="46" t="inlineStr">
        <is>
          <t>B_S3_SC05_I10</t>
        </is>
      </c>
      <c r="C169" s="46" t="inlineStr">
        <is>
          <t>Strategy 3 – One-Shot + Structured Template</t>
        </is>
      </c>
      <c r="D169" s="75" t="inlineStr">
        <is>
          <t>SC05</t>
        </is>
      </c>
      <c r="E169" s="46" t="inlineStr">
        <is>
          <t>Business Email Compromise</t>
        </is>
      </c>
      <c r="F169" s="74" t="n"/>
    </row>
    <row r="170" ht="13.5" customHeight="1" s="38">
      <c r="A170" s="46" t="inlineStr">
        <is>
          <t>R_0167</t>
        </is>
      </c>
      <c r="B170" s="46" t="inlineStr">
        <is>
          <t>Z_S4_SC02_I09</t>
        </is>
      </c>
      <c r="C170" s="46" t="inlineStr">
        <is>
          <t>Strategy 4 – One-Shot + Template + BLUF</t>
        </is>
      </c>
      <c r="D170" s="75" t="inlineStr">
        <is>
          <t>SC02</t>
        </is>
      </c>
      <c r="E170" s="46" t="inlineStr">
        <is>
          <t>Zero-Day / Edge Device</t>
        </is>
      </c>
      <c r="F170" s="74" t="n"/>
    </row>
    <row r="171" ht="13.5" customHeight="1" s="38">
      <c r="A171" s="46" t="inlineStr">
        <is>
          <t>R_0168</t>
        </is>
      </c>
      <c r="B171" s="46" t="inlineStr">
        <is>
          <t>Z_S4_SC01_I03</t>
        </is>
      </c>
      <c r="C171" s="46" t="inlineStr">
        <is>
          <t>Strategy 4 – One-Shot + Template + BLUF</t>
        </is>
      </c>
      <c r="D171" s="75" t="inlineStr">
        <is>
          <t>SC01</t>
        </is>
      </c>
      <c r="E171" s="46" t="inlineStr">
        <is>
          <t>Zero-Day / Edge Device</t>
        </is>
      </c>
      <c r="F171" s="74" t="n"/>
    </row>
    <row r="172" ht="13.5" customHeight="1" s="38">
      <c r="A172" s="46" t="inlineStr">
        <is>
          <t>R_0169</t>
        </is>
      </c>
      <c r="B172" s="46" t="inlineStr">
        <is>
          <t>S_S3_SC03_I02</t>
        </is>
      </c>
      <c r="C172" s="46" t="inlineStr">
        <is>
          <t>Strategy 3 – One-Shot + Structured Template</t>
        </is>
      </c>
      <c r="D172" s="75" t="inlineStr">
        <is>
          <t>SC03</t>
        </is>
      </c>
      <c r="E172" s="46" t="inlineStr">
        <is>
          <t>Supply Chain</t>
        </is>
      </c>
      <c r="F172" s="74" t="n"/>
    </row>
    <row r="173" ht="13.5" customHeight="1" s="38">
      <c r="A173" s="46" t="inlineStr">
        <is>
          <t>R_0170</t>
        </is>
      </c>
      <c r="B173" s="46" t="inlineStr">
        <is>
          <t>B_S3_SC03_I02</t>
        </is>
      </c>
      <c r="C173" s="46" t="inlineStr">
        <is>
          <t>Strategy 3 – One-Shot + Structured Template</t>
        </is>
      </c>
      <c r="D173" s="75" t="inlineStr">
        <is>
          <t>SC03</t>
        </is>
      </c>
      <c r="E173" s="46" t="inlineStr">
        <is>
          <t>Business Email Compromise</t>
        </is>
      </c>
      <c r="F173" s="74" t="n"/>
    </row>
    <row r="174" ht="13.5" customHeight="1" s="38">
      <c r="A174" s="46" t="inlineStr">
        <is>
          <t>R_0171</t>
        </is>
      </c>
      <c r="B174" s="46" t="inlineStr">
        <is>
          <t>S_S3_SC03_I09</t>
        </is>
      </c>
      <c r="C174" s="46" t="inlineStr">
        <is>
          <t>Strategy 3 – One-Shot + Structured Template</t>
        </is>
      </c>
      <c r="D174" s="75" t="inlineStr">
        <is>
          <t>SC03</t>
        </is>
      </c>
      <c r="E174" s="46" t="inlineStr">
        <is>
          <t>Supply Chain</t>
        </is>
      </c>
      <c r="F174" s="74" t="n"/>
    </row>
    <row r="175" ht="13.5" customHeight="1" s="38">
      <c r="A175" s="46" t="inlineStr">
        <is>
          <t>R_0172</t>
        </is>
      </c>
      <c r="B175" s="46" t="inlineStr">
        <is>
          <t>R_S2_SC01_I02</t>
        </is>
      </c>
      <c r="C175" s="46" t="inlineStr">
        <is>
          <t>Strategy 2 – Zero-Shot + Template + BLUF</t>
        </is>
      </c>
      <c r="D175" s="75" t="inlineStr">
        <is>
          <t>SC01</t>
        </is>
      </c>
      <c r="E175" s="46" t="inlineStr">
        <is>
          <t>Ransomware</t>
        </is>
      </c>
      <c r="F175" s="74" t="n"/>
    </row>
    <row r="176" ht="13.5" customHeight="1" s="38">
      <c r="A176" s="46" t="inlineStr">
        <is>
          <t>R_0173</t>
        </is>
      </c>
      <c r="B176" s="46" t="inlineStr">
        <is>
          <t>S_S1_SC04_I09</t>
        </is>
      </c>
      <c r="C176" s="46" t="inlineStr">
        <is>
          <t>Strategy 1 – Zero-Shot + Structured Template</t>
        </is>
      </c>
      <c r="D176" s="75" t="inlineStr">
        <is>
          <t>SC04</t>
        </is>
      </c>
      <c r="E176" s="46" t="inlineStr">
        <is>
          <t>Supply Chain</t>
        </is>
      </c>
      <c r="F176" s="74" t="n"/>
    </row>
    <row r="177" ht="13.5" customHeight="1" s="38">
      <c r="A177" s="46" t="inlineStr">
        <is>
          <t>R_0174</t>
        </is>
      </c>
      <c r="B177" s="46" t="inlineStr">
        <is>
          <t>R_S1_SC02_I09</t>
        </is>
      </c>
      <c r="C177" s="46" t="inlineStr">
        <is>
          <t>Strategy 1 – Zero-Shot + Structured Template</t>
        </is>
      </c>
      <c r="D177" s="75" t="inlineStr">
        <is>
          <t>SC02</t>
        </is>
      </c>
      <c r="E177" s="46" t="inlineStr">
        <is>
          <t>Ransomware</t>
        </is>
      </c>
      <c r="F177" s="74" t="n"/>
    </row>
    <row r="178" ht="13.5" customHeight="1" s="38">
      <c r="A178" s="46" t="inlineStr">
        <is>
          <t>R_0175</t>
        </is>
      </c>
      <c r="B178" s="46" t="inlineStr">
        <is>
          <t>S_S0_SC03_I05</t>
        </is>
      </c>
      <c r="C178" s="46" t="inlineStr">
        <is>
          <t>Baseline – Zero-Shot (minimal instruction)</t>
        </is>
      </c>
      <c r="D178" s="75" t="inlineStr">
        <is>
          <t>SC03</t>
        </is>
      </c>
      <c r="E178" s="46" t="inlineStr">
        <is>
          <t>Supply Chain</t>
        </is>
      </c>
      <c r="F178" s="74" t="n"/>
    </row>
    <row r="179" ht="13.5" customHeight="1" s="38">
      <c r="A179" s="46" t="inlineStr">
        <is>
          <t>R_0176</t>
        </is>
      </c>
      <c r="B179" s="46" t="inlineStr">
        <is>
          <t>Z_S4_SC01_I07</t>
        </is>
      </c>
      <c r="C179" s="46" t="inlineStr">
        <is>
          <t>Strategy 4 – One-Shot + Template + BLUF</t>
        </is>
      </c>
      <c r="D179" s="75" t="inlineStr">
        <is>
          <t>SC01</t>
        </is>
      </c>
      <c r="E179" s="46" t="inlineStr">
        <is>
          <t>Zero-Day / Edge Device</t>
        </is>
      </c>
      <c r="F179" s="74" t="n"/>
    </row>
    <row r="180" ht="13.5" customHeight="1" s="38">
      <c r="A180" s="46" t="inlineStr">
        <is>
          <t>R_0177</t>
        </is>
      </c>
      <c r="B180" s="46" t="inlineStr">
        <is>
          <t>S_S2_SC05_I02</t>
        </is>
      </c>
      <c r="C180" s="46" t="inlineStr">
        <is>
          <t>Strategy 2 – Zero-Shot + Template + BLUF</t>
        </is>
      </c>
      <c r="D180" s="75" t="inlineStr">
        <is>
          <t>SC05</t>
        </is>
      </c>
      <c r="E180" s="46" t="inlineStr">
        <is>
          <t>Supply Chain</t>
        </is>
      </c>
      <c r="F180" s="74" t="n"/>
    </row>
    <row r="181" ht="13.5" customHeight="1" s="38">
      <c r="A181" s="46" t="inlineStr">
        <is>
          <t>R_0178</t>
        </is>
      </c>
      <c r="B181" s="46" t="inlineStr">
        <is>
          <t>S_S0_SC01_I07</t>
        </is>
      </c>
      <c r="C181" s="46" t="inlineStr">
        <is>
          <t>Baseline – Zero-Shot (minimal instruction)</t>
        </is>
      </c>
      <c r="D181" s="75" t="inlineStr">
        <is>
          <t>SC01</t>
        </is>
      </c>
      <c r="E181" s="46" t="inlineStr">
        <is>
          <t>Supply Chain</t>
        </is>
      </c>
      <c r="F181" s="74" t="n"/>
    </row>
    <row r="182" ht="13.5" customHeight="1" s="38">
      <c r="A182" s="46" t="inlineStr">
        <is>
          <t>R_0179</t>
        </is>
      </c>
      <c r="B182" s="46" t="inlineStr">
        <is>
          <t>R_S1_SC01_I08</t>
        </is>
      </c>
      <c r="C182" s="46" t="inlineStr">
        <is>
          <t>Strategy 1 – Zero-Shot + Structured Template</t>
        </is>
      </c>
      <c r="D182" s="75" t="inlineStr">
        <is>
          <t>SC01</t>
        </is>
      </c>
      <c r="E182" s="46" t="inlineStr">
        <is>
          <t>Ransomware</t>
        </is>
      </c>
      <c r="F182" s="74" t="n"/>
    </row>
    <row r="183" ht="13.5" customHeight="1" s="38">
      <c r="A183" s="46" t="inlineStr">
        <is>
          <t>R_0180</t>
        </is>
      </c>
      <c r="B183" s="46" t="inlineStr">
        <is>
          <t>S_S1_SC01_I09</t>
        </is>
      </c>
      <c r="C183" s="46" t="inlineStr">
        <is>
          <t>Strategy 1 – Zero-Shot + Structured Template</t>
        </is>
      </c>
      <c r="D183" s="75" t="inlineStr">
        <is>
          <t>SC01</t>
        </is>
      </c>
      <c r="E183" s="46" t="inlineStr">
        <is>
          <t>Supply Chain</t>
        </is>
      </c>
      <c r="F183" s="74" t="n"/>
    </row>
    <row r="184" ht="13.5" customHeight="1" s="38">
      <c r="A184" s="46" t="inlineStr">
        <is>
          <t>R_0181</t>
        </is>
      </c>
      <c r="B184" s="46" t="inlineStr">
        <is>
          <t>Z_S1_SC01_I03</t>
        </is>
      </c>
      <c r="C184" s="46" t="inlineStr">
        <is>
          <t>Strategy 1 – Zero-Shot + Structured Template</t>
        </is>
      </c>
      <c r="D184" s="75" t="inlineStr">
        <is>
          <t>SC01</t>
        </is>
      </c>
      <c r="E184" s="46" t="inlineStr">
        <is>
          <t>Zero-Day / Edge Device</t>
        </is>
      </c>
      <c r="F184" s="74" t="n"/>
    </row>
    <row r="185" ht="13.5" customHeight="1" s="38">
      <c r="A185" s="46" t="inlineStr">
        <is>
          <t>R_0182</t>
        </is>
      </c>
      <c r="B185" s="46" t="inlineStr">
        <is>
          <t>Z_S2_SC04_I10</t>
        </is>
      </c>
      <c r="C185" s="46" t="inlineStr">
        <is>
          <t>Strategy 2 – Zero-Shot + Template + BLUF</t>
        </is>
      </c>
      <c r="D185" s="75" t="inlineStr">
        <is>
          <t>SC04</t>
        </is>
      </c>
      <c r="E185" s="46" t="inlineStr">
        <is>
          <t>Zero-Day / Edge Device</t>
        </is>
      </c>
      <c r="F185" s="74" t="n"/>
    </row>
    <row r="186" ht="13.5" customHeight="1" s="38">
      <c r="A186" s="46" t="inlineStr">
        <is>
          <t>R_0183</t>
        </is>
      </c>
      <c r="B186" s="46" t="inlineStr">
        <is>
          <t>R_S4_SC02_I02</t>
        </is>
      </c>
      <c r="C186" s="46" t="inlineStr">
        <is>
          <t>Strategy 4 – One-Shot + Template + BLUF</t>
        </is>
      </c>
      <c r="D186" s="75" t="inlineStr">
        <is>
          <t>SC02</t>
        </is>
      </c>
      <c r="E186" s="46" t="inlineStr">
        <is>
          <t>Ransomware</t>
        </is>
      </c>
      <c r="F186" s="74" t="n"/>
    </row>
    <row r="187" ht="13.5" customHeight="1" s="38">
      <c r="A187" s="46" t="inlineStr">
        <is>
          <t>R_0184</t>
        </is>
      </c>
      <c r="B187" s="46" t="inlineStr">
        <is>
          <t>Z_S2_SC04_I07</t>
        </is>
      </c>
      <c r="C187" s="46" t="inlineStr">
        <is>
          <t>Strategy 2 – Zero-Shot + Template + BLUF</t>
        </is>
      </c>
      <c r="D187" s="75" t="inlineStr">
        <is>
          <t>SC04</t>
        </is>
      </c>
      <c r="E187" s="46" t="inlineStr">
        <is>
          <t>Zero-Day / Edge Device</t>
        </is>
      </c>
      <c r="F187" s="74" t="n"/>
    </row>
    <row r="188" ht="13.5" customHeight="1" s="38">
      <c r="A188" s="46" t="inlineStr">
        <is>
          <t>R_0185</t>
        </is>
      </c>
      <c r="B188" s="46" t="inlineStr">
        <is>
          <t>Z_S0_SC01_I08</t>
        </is>
      </c>
      <c r="C188" s="46" t="inlineStr">
        <is>
          <t>Baseline – Zero-Shot (minimal instruction)</t>
        </is>
      </c>
      <c r="D188" s="75" t="inlineStr">
        <is>
          <t>SC01</t>
        </is>
      </c>
      <c r="E188" s="46" t="inlineStr">
        <is>
          <t>Zero-Day / Edge Device</t>
        </is>
      </c>
      <c r="F188" s="74" t="n"/>
    </row>
    <row r="189" ht="13.5" customHeight="1" s="38">
      <c r="A189" s="46" t="inlineStr">
        <is>
          <t>R_0186</t>
        </is>
      </c>
      <c r="B189" s="46" t="inlineStr">
        <is>
          <t>R_S0_SC03_I09</t>
        </is>
      </c>
      <c r="C189" s="46" t="inlineStr">
        <is>
          <t>Baseline – Zero-Shot (minimal instruction)</t>
        </is>
      </c>
      <c r="D189" s="75" t="inlineStr">
        <is>
          <t>SC03</t>
        </is>
      </c>
      <c r="E189" s="46" t="inlineStr">
        <is>
          <t>Ransomware</t>
        </is>
      </c>
      <c r="F189" s="74" t="n"/>
    </row>
    <row r="190" ht="13.5" customHeight="1" s="38">
      <c r="A190" s="46" t="inlineStr">
        <is>
          <t>R_0187</t>
        </is>
      </c>
      <c r="B190" s="46" t="inlineStr">
        <is>
          <t>S_S2_SC02_I05</t>
        </is>
      </c>
      <c r="C190" s="46" t="inlineStr">
        <is>
          <t>Strategy 2 – Zero-Shot + Template + BLUF</t>
        </is>
      </c>
      <c r="D190" s="75" t="inlineStr">
        <is>
          <t>SC02</t>
        </is>
      </c>
      <c r="E190" s="46" t="inlineStr">
        <is>
          <t>Supply Chain</t>
        </is>
      </c>
      <c r="F190" s="74" t="n"/>
    </row>
    <row r="191" ht="13.5" customHeight="1" s="38">
      <c r="A191" s="46" t="inlineStr">
        <is>
          <t>R_0188</t>
        </is>
      </c>
      <c r="B191" s="46" t="inlineStr">
        <is>
          <t>S_S3_SC05_I03</t>
        </is>
      </c>
      <c r="C191" s="46" t="inlineStr">
        <is>
          <t>Strategy 3 – One-Shot + Structured Template</t>
        </is>
      </c>
      <c r="D191" s="75" t="inlineStr">
        <is>
          <t>SC05</t>
        </is>
      </c>
      <c r="E191" s="46" t="inlineStr">
        <is>
          <t>Supply Chain</t>
        </is>
      </c>
      <c r="F191" s="74" t="n"/>
    </row>
    <row r="192" ht="13.5" customHeight="1" s="38">
      <c r="A192" s="46" t="inlineStr">
        <is>
          <t>R_0189</t>
        </is>
      </c>
      <c r="B192" s="46" t="inlineStr">
        <is>
          <t>S_S0_SC05_I04</t>
        </is>
      </c>
      <c r="C192" s="46" t="inlineStr">
        <is>
          <t>Baseline – Zero-Shot (minimal instruction)</t>
        </is>
      </c>
      <c r="D192" s="75" t="inlineStr">
        <is>
          <t>SC05</t>
        </is>
      </c>
      <c r="E192" s="46" t="inlineStr">
        <is>
          <t>Supply Chain</t>
        </is>
      </c>
      <c r="F192" s="74" t="n"/>
    </row>
    <row r="193" ht="13.5" customHeight="1" s="38">
      <c r="A193" s="46" t="inlineStr">
        <is>
          <t>R_0190</t>
        </is>
      </c>
      <c r="B193" s="46" t="inlineStr">
        <is>
          <t>R_S0_SC05_I10</t>
        </is>
      </c>
      <c r="C193" s="46" t="inlineStr">
        <is>
          <t>Baseline – Zero-Shot (minimal instruction)</t>
        </is>
      </c>
      <c r="D193" s="75" t="inlineStr">
        <is>
          <t>SC05</t>
        </is>
      </c>
      <c r="E193" s="46" t="inlineStr">
        <is>
          <t>Ransomware</t>
        </is>
      </c>
      <c r="F193" s="74" t="n"/>
    </row>
    <row r="194" ht="13.5" customHeight="1" s="38">
      <c r="A194" s="46" t="inlineStr">
        <is>
          <t>R_0191</t>
        </is>
      </c>
      <c r="B194" s="46" t="inlineStr">
        <is>
          <t>R_S3_SC05_I03</t>
        </is>
      </c>
      <c r="C194" s="46" t="inlineStr">
        <is>
          <t>Strategy 3 – One-Shot + Structured Template</t>
        </is>
      </c>
      <c r="D194" s="75" t="inlineStr">
        <is>
          <t>SC05</t>
        </is>
      </c>
      <c r="E194" s="46" t="inlineStr">
        <is>
          <t>Ransomware</t>
        </is>
      </c>
      <c r="F194" s="74" t="n"/>
    </row>
    <row r="195" ht="13.5" customHeight="1" s="38">
      <c r="A195" s="46" t="inlineStr">
        <is>
          <t>R_0192</t>
        </is>
      </c>
      <c r="B195" s="46" t="inlineStr">
        <is>
          <t>R_S1_SC04_I01</t>
        </is>
      </c>
      <c r="C195" s="46" t="inlineStr">
        <is>
          <t>Strategy 1 – Zero-Shot + Structured Template</t>
        </is>
      </c>
      <c r="D195" s="75" t="inlineStr">
        <is>
          <t>SC04</t>
        </is>
      </c>
      <c r="E195" s="46" t="inlineStr">
        <is>
          <t>Ransomware</t>
        </is>
      </c>
      <c r="F195" s="74" t="n"/>
    </row>
    <row r="196" ht="13.5" customHeight="1" s="38">
      <c r="A196" s="46" t="inlineStr">
        <is>
          <t>R_0193</t>
        </is>
      </c>
      <c r="B196" s="46" t="inlineStr">
        <is>
          <t>S_S0_SC02_I08</t>
        </is>
      </c>
      <c r="C196" s="46" t="inlineStr">
        <is>
          <t>Baseline – Zero-Shot (minimal instruction)</t>
        </is>
      </c>
      <c r="D196" s="75" t="inlineStr">
        <is>
          <t>SC02</t>
        </is>
      </c>
      <c r="E196" s="46" t="inlineStr">
        <is>
          <t>Supply Chain</t>
        </is>
      </c>
      <c r="F196" s="74" t="n"/>
    </row>
    <row r="197" ht="13.5" customHeight="1" s="38">
      <c r="A197" s="46" t="inlineStr">
        <is>
          <t>R_0194</t>
        </is>
      </c>
      <c r="B197" s="46" t="inlineStr">
        <is>
          <t>S_S1_SC01_I05</t>
        </is>
      </c>
      <c r="C197" s="46" t="inlineStr">
        <is>
          <t>Strategy 1 – Zero-Shot + Structured Template</t>
        </is>
      </c>
      <c r="D197" s="75" t="inlineStr">
        <is>
          <t>SC01</t>
        </is>
      </c>
      <c r="E197" s="46" t="inlineStr">
        <is>
          <t>Supply Chain</t>
        </is>
      </c>
      <c r="F197" s="74" t="n"/>
    </row>
    <row r="198" ht="13.5" customHeight="1" s="38">
      <c r="A198" s="46" t="inlineStr">
        <is>
          <t>R_0195</t>
        </is>
      </c>
      <c r="B198" s="46" t="inlineStr">
        <is>
          <t>Z_S3_SC02_I08</t>
        </is>
      </c>
      <c r="C198" s="46" t="inlineStr">
        <is>
          <t>Strategy 3 – One-Shot + Structured Template</t>
        </is>
      </c>
      <c r="D198" s="75" t="inlineStr">
        <is>
          <t>SC02</t>
        </is>
      </c>
      <c r="E198" s="46" t="inlineStr">
        <is>
          <t>Zero-Day / Edge Device</t>
        </is>
      </c>
      <c r="F198" s="74" t="n"/>
    </row>
    <row r="199" ht="13.5" customHeight="1" s="38">
      <c r="A199" s="46" t="inlineStr">
        <is>
          <t>R_0196</t>
        </is>
      </c>
      <c r="B199" s="46" t="inlineStr">
        <is>
          <t>Z_S0_SC02_I10</t>
        </is>
      </c>
      <c r="C199" s="46" t="inlineStr">
        <is>
          <t>Baseline – Zero-Shot (minimal instruction)</t>
        </is>
      </c>
      <c r="D199" s="75" t="inlineStr">
        <is>
          <t>SC02</t>
        </is>
      </c>
      <c r="E199" s="46" t="inlineStr">
        <is>
          <t>Zero-Day / Edge Device</t>
        </is>
      </c>
      <c r="F199" s="74" t="n"/>
    </row>
    <row r="200" ht="13.5" customHeight="1" s="38">
      <c r="A200" s="46" t="inlineStr">
        <is>
          <t>R_0197</t>
        </is>
      </c>
      <c r="B200" s="46" t="inlineStr">
        <is>
          <t>Z_S4_SC04_I08</t>
        </is>
      </c>
      <c r="C200" s="46" t="inlineStr">
        <is>
          <t>Strategy 4 – One-Shot + Template + BLUF</t>
        </is>
      </c>
      <c r="D200" s="75" t="inlineStr">
        <is>
          <t>SC04</t>
        </is>
      </c>
      <c r="E200" s="46" t="inlineStr">
        <is>
          <t>Zero-Day / Edge Device</t>
        </is>
      </c>
      <c r="F200" s="74" t="n"/>
    </row>
    <row r="201" ht="13.5" customHeight="1" s="38">
      <c r="A201" s="46" t="inlineStr">
        <is>
          <t>R_0198</t>
        </is>
      </c>
      <c r="B201" s="46" t="inlineStr">
        <is>
          <t>Z_S2_SC02_I09</t>
        </is>
      </c>
      <c r="C201" s="46" t="inlineStr">
        <is>
          <t>Strategy 2 – Zero-Shot + Template + BLUF</t>
        </is>
      </c>
      <c r="D201" s="75" t="inlineStr">
        <is>
          <t>SC02</t>
        </is>
      </c>
      <c r="E201" s="46" t="inlineStr">
        <is>
          <t>Zero-Day / Edge Device</t>
        </is>
      </c>
      <c r="F201" s="74" t="n"/>
    </row>
    <row r="202" ht="13.5" customHeight="1" s="38">
      <c r="A202" s="46" t="inlineStr">
        <is>
          <t>R_0199</t>
        </is>
      </c>
      <c r="B202" s="46" t="inlineStr">
        <is>
          <t>Z_S0_SC01_I01</t>
        </is>
      </c>
      <c r="C202" s="46" t="inlineStr">
        <is>
          <t>Baseline – Zero-Shot (minimal instruction)</t>
        </is>
      </c>
      <c r="D202" s="75" t="inlineStr">
        <is>
          <t>SC01</t>
        </is>
      </c>
      <c r="E202" s="46" t="inlineStr">
        <is>
          <t>Zero-Day / Edge Device</t>
        </is>
      </c>
      <c r="F202" s="74" t="n"/>
    </row>
    <row r="203" ht="13.5" customHeight="1" s="38">
      <c r="A203" s="46" t="inlineStr">
        <is>
          <t>R_0200</t>
        </is>
      </c>
      <c r="B203" s="46" t="inlineStr">
        <is>
          <t>Z_S1_SC01_I10</t>
        </is>
      </c>
      <c r="C203" s="46" t="inlineStr">
        <is>
          <t>Strategy 1 – Zero-Shot + Structured Template</t>
        </is>
      </c>
      <c r="D203" s="75" t="inlineStr">
        <is>
          <t>SC01</t>
        </is>
      </c>
      <c r="E203" s="46" t="inlineStr">
        <is>
          <t>Zero-Day / Edge Device</t>
        </is>
      </c>
      <c r="F203" s="74" t="n"/>
    </row>
    <row r="204" ht="13.5" customHeight="1" s="38">
      <c r="A204" s="46" t="inlineStr">
        <is>
          <t>R_0201</t>
        </is>
      </c>
      <c r="B204" s="46" t="inlineStr">
        <is>
          <t>R_S1_SC01_I01</t>
        </is>
      </c>
      <c r="C204" s="46" t="inlineStr">
        <is>
          <t>Strategy 1 – Zero-Shot + Structured Template</t>
        </is>
      </c>
      <c r="D204" s="75" t="inlineStr">
        <is>
          <t>SC01</t>
        </is>
      </c>
      <c r="E204" s="46" t="inlineStr">
        <is>
          <t>Ransomware</t>
        </is>
      </c>
      <c r="F204" s="74" t="n"/>
    </row>
    <row r="205" ht="13.5" customHeight="1" s="38">
      <c r="A205" s="46" t="inlineStr">
        <is>
          <t>R_0202</t>
        </is>
      </c>
      <c r="B205" s="46" t="inlineStr">
        <is>
          <t>S_S1_SC04_I02</t>
        </is>
      </c>
      <c r="C205" s="46" t="inlineStr">
        <is>
          <t>Strategy 1 – Zero-Shot + Structured Template</t>
        </is>
      </c>
      <c r="D205" s="75" t="inlineStr">
        <is>
          <t>SC04</t>
        </is>
      </c>
      <c r="E205" s="46" t="inlineStr">
        <is>
          <t>Supply Chain</t>
        </is>
      </c>
      <c r="F205" s="74" t="n"/>
    </row>
    <row r="206" ht="13.5" customHeight="1" s="38">
      <c r="A206" s="46" t="inlineStr">
        <is>
          <t>R_0203</t>
        </is>
      </c>
      <c r="B206" s="46" t="inlineStr">
        <is>
          <t>S_S0_SC01_I10</t>
        </is>
      </c>
      <c r="C206" s="46" t="inlineStr">
        <is>
          <t>Baseline – Zero-Shot (minimal instruction)</t>
        </is>
      </c>
      <c r="D206" s="75" t="inlineStr">
        <is>
          <t>SC01</t>
        </is>
      </c>
      <c r="E206" s="46" t="inlineStr">
        <is>
          <t>Supply Chain</t>
        </is>
      </c>
      <c r="F206" s="74" t="n"/>
    </row>
    <row r="207" ht="13.5" customHeight="1" s="38">
      <c r="A207" s="46" t="inlineStr">
        <is>
          <t>R_0204</t>
        </is>
      </c>
      <c r="B207" s="46" t="inlineStr">
        <is>
          <t>B_S4_SC04_I09</t>
        </is>
      </c>
      <c r="C207" s="46" t="inlineStr">
        <is>
          <t>Strategy 4 – One-Shot + Template + BLUF</t>
        </is>
      </c>
      <c r="D207" s="75" t="inlineStr">
        <is>
          <t>SC04</t>
        </is>
      </c>
      <c r="E207" s="46" t="inlineStr">
        <is>
          <t>Business Email Compromise</t>
        </is>
      </c>
      <c r="F207" s="74" t="n"/>
    </row>
    <row r="208" ht="13.5" customHeight="1" s="38">
      <c r="A208" s="46" t="inlineStr">
        <is>
          <t>R_0205</t>
        </is>
      </c>
      <c r="B208" s="46" t="inlineStr">
        <is>
          <t>Z_S2_SC03_I06</t>
        </is>
      </c>
      <c r="C208" s="46" t="inlineStr">
        <is>
          <t>Strategy 2 – Zero-Shot + Template + BLUF</t>
        </is>
      </c>
      <c r="D208" s="75" t="inlineStr">
        <is>
          <t>SC03</t>
        </is>
      </c>
      <c r="E208" s="46" t="inlineStr">
        <is>
          <t>Zero-Day / Edge Device</t>
        </is>
      </c>
      <c r="F208" s="74" t="n"/>
    </row>
    <row r="209" ht="13.5" customHeight="1" s="38">
      <c r="A209" s="46" t="inlineStr">
        <is>
          <t>R_0206</t>
        </is>
      </c>
      <c r="B209" s="46" t="inlineStr">
        <is>
          <t>B_S3_SC02_I03</t>
        </is>
      </c>
      <c r="C209" s="46" t="inlineStr">
        <is>
          <t>Strategy 3 – One-Shot + Structured Template</t>
        </is>
      </c>
      <c r="D209" s="75" t="inlineStr">
        <is>
          <t>SC02</t>
        </is>
      </c>
      <c r="E209" s="46" t="inlineStr">
        <is>
          <t>Business Email Compromise</t>
        </is>
      </c>
      <c r="F209" s="74" t="n"/>
    </row>
    <row r="210" ht="13.5" customHeight="1" s="38">
      <c r="A210" s="46" t="inlineStr">
        <is>
          <t>R_0207</t>
        </is>
      </c>
      <c r="B210" s="46" t="inlineStr">
        <is>
          <t>R_S2_SC05_I08</t>
        </is>
      </c>
      <c r="C210" s="46" t="inlineStr">
        <is>
          <t>Strategy 2 – Zero-Shot + Template + BLUF</t>
        </is>
      </c>
      <c r="D210" s="75" t="inlineStr">
        <is>
          <t>SC05</t>
        </is>
      </c>
      <c r="E210" s="46" t="inlineStr">
        <is>
          <t>Ransomware</t>
        </is>
      </c>
      <c r="F210" s="74" t="n"/>
    </row>
    <row r="211" ht="13.5" customHeight="1" s="38">
      <c r="A211" s="46" t="inlineStr">
        <is>
          <t>R_0208</t>
        </is>
      </c>
      <c r="B211" s="46" t="inlineStr">
        <is>
          <t>R_S2_SC04_I03</t>
        </is>
      </c>
      <c r="C211" s="46" t="inlineStr">
        <is>
          <t>Strategy 2 – Zero-Shot + Template + BLUF</t>
        </is>
      </c>
      <c r="D211" s="75" t="inlineStr">
        <is>
          <t>SC04</t>
        </is>
      </c>
      <c r="E211" s="46" t="inlineStr">
        <is>
          <t>Ransomware</t>
        </is>
      </c>
      <c r="F211" s="74" t="n"/>
    </row>
    <row r="212" ht="13.5" customHeight="1" s="38">
      <c r="A212" s="46" t="inlineStr">
        <is>
          <t>R_0209</t>
        </is>
      </c>
      <c r="B212" s="46" t="inlineStr">
        <is>
          <t>B_S2_SC03_I10</t>
        </is>
      </c>
      <c r="C212" s="46" t="inlineStr">
        <is>
          <t>Strategy 2 – Zero-Shot + Template + BLUF</t>
        </is>
      </c>
      <c r="D212" s="75" t="inlineStr">
        <is>
          <t>SC03</t>
        </is>
      </c>
      <c r="E212" s="46" t="inlineStr">
        <is>
          <t>Business Email Compromise</t>
        </is>
      </c>
      <c r="F212" s="74" t="n"/>
    </row>
    <row r="213" ht="13.5" customHeight="1" s="38">
      <c r="A213" s="46" t="inlineStr">
        <is>
          <t>R_0210</t>
        </is>
      </c>
      <c r="B213" s="46" t="inlineStr">
        <is>
          <t>R_S3_SC03_I04</t>
        </is>
      </c>
      <c r="C213" s="46" t="inlineStr">
        <is>
          <t>Strategy 3 – One-Shot + Structured Template</t>
        </is>
      </c>
      <c r="D213" s="75" t="inlineStr">
        <is>
          <t>SC03</t>
        </is>
      </c>
      <c r="E213" s="46" t="inlineStr">
        <is>
          <t>Ransomware</t>
        </is>
      </c>
      <c r="F213" s="74" t="n"/>
    </row>
    <row r="214" ht="13.5" customHeight="1" s="38">
      <c r="A214" s="46" t="inlineStr">
        <is>
          <t>R_0211</t>
        </is>
      </c>
      <c r="B214" s="46" t="inlineStr">
        <is>
          <t>R_S0_SC05_I08</t>
        </is>
      </c>
      <c r="C214" s="46" t="inlineStr">
        <is>
          <t>Baseline – Zero-Shot (minimal instruction)</t>
        </is>
      </c>
      <c r="D214" s="75" t="inlineStr">
        <is>
          <t>SC05</t>
        </is>
      </c>
      <c r="E214" s="46" t="inlineStr">
        <is>
          <t>Ransomware</t>
        </is>
      </c>
      <c r="F214" s="74" t="n"/>
    </row>
    <row r="215" ht="13.5" customHeight="1" s="38">
      <c r="A215" s="46" t="inlineStr">
        <is>
          <t>R_0212</t>
        </is>
      </c>
      <c r="B215" s="46" t="inlineStr">
        <is>
          <t>B_S0_SC02_I03</t>
        </is>
      </c>
      <c r="C215" s="46" t="inlineStr">
        <is>
          <t>Baseline – Zero-Shot (minimal instruction)</t>
        </is>
      </c>
      <c r="D215" s="75" t="inlineStr">
        <is>
          <t>SC02</t>
        </is>
      </c>
      <c r="E215" s="46" t="inlineStr">
        <is>
          <t>Business Email Compromise</t>
        </is>
      </c>
      <c r="F215" s="74" t="n"/>
    </row>
    <row r="216" ht="13.5" customHeight="1" s="38">
      <c r="A216" s="46" t="inlineStr">
        <is>
          <t>R_0213</t>
        </is>
      </c>
      <c r="B216" s="46" t="inlineStr">
        <is>
          <t>B_S1_SC04_I06</t>
        </is>
      </c>
      <c r="C216" s="46" t="inlineStr">
        <is>
          <t>Strategy 1 – Zero-Shot + Structured Template</t>
        </is>
      </c>
      <c r="D216" s="75" t="inlineStr">
        <is>
          <t>SC04</t>
        </is>
      </c>
      <c r="E216" s="46" t="inlineStr">
        <is>
          <t>Business Email Compromise</t>
        </is>
      </c>
      <c r="F216" s="74" t="n"/>
    </row>
    <row r="217" ht="13.5" customHeight="1" s="38">
      <c r="A217" s="46" t="inlineStr">
        <is>
          <t>R_0214</t>
        </is>
      </c>
      <c r="B217" s="46" t="inlineStr">
        <is>
          <t>R_S0_SC05_I06</t>
        </is>
      </c>
      <c r="C217" s="46" t="inlineStr">
        <is>
          <t>Baseline – Zero-Shot (minimal instruction)</t>
        </is>
      </c>
      <c r="D217" s="75" t="inlineStr">
        <is>
          <t>SC05</t>
        </is>
      </c>
      <c r="E217" s="46" t="inlineStr">
        <is>
          <t>Ransomware</t>
        </is>
      </c>
      <c r="F217" s="74" t="n"/>
    </row>
    <row r="218" ht="13.5" customHeight="1" s="38">
      <c r="A218" s="46" t="inlineStr">
        <is>
          <t>R_0215</t>
        </is>
      </c>
      <c r="B218" s="46" t="inlineStr">
        <is>
          <t>Z_S4_SC02_I06</t>
        </is>
      </c>
      <c r="C218" s="46" t="inlineStr">
        <is>
          <t>Strategy 4 – One-Shot + Template + BLUF</t>
        </is>
      </c>
      <c r="D218" s="75" t="inlineStr">
        <is>
          <t>SC02</t>
        </is>
      </c>
      <c r="E218" s="46" t="inlineStr">
        <is>
          <t>Zero-Day / Edge Device</t>
        </is>
      </c>
      <c r="F218" s="74" t="n"/>
    </row>
    <row r="219" ht="13.5" customHeight="1" s="38">
      <c r="A219" s="46" t="inlineStr">
        <is>
          <t>R_0216</t>
        </is>
      </c>
      <c r="B219" s="46" t="inlineStr">
        <is>
          <t>B_S2_SC04_I02</t>
        </is>
      </c>
      <c r="C219" s="46" t="inlineStr">
        <is>
          <t>Strategy 2 – Zero-Shot + Template + BLUF</t>
        </is>
      </c>
      <c r="D219" s="75" t="inlineStr">
        <is>
          <t>SC04</t>
        </is>
      </c>
      <c r="E219" s="46" t="inlineStr">
        <is>
          <t>Business Email Compromise</t>
        </is>
      </c>
      <c r="F219" s="74" t="n"/>
    </row>
    <row r="220" ht="13.5" customHeight="1" s="38">
      <c r="A220" s="46" t="inlineStr">
        <is>
          <t>R_0217</t>
        </is>
      </c>
      <c r="B220" s="46" t="inlineStr">
        <is>
          <t>S_S4_SC04_I01</t>
        </is>
      </c>
      <c r="C220" s="46" t="inlineStr">
        <is>
          <t>Strategy 4 – One-Shot + Template + BLUF</t>
        </is>
      </c>
      <c r="D220" s="75" t="inlineStr">
        <is>
          <t>SC04</t>
        </is>
      </c>
      <c r="E220" s="46" t="inlineStr">
        <is>
          <t>Supply Chain</t>
        </is>
      </c>
      <c r="F220" s="74" t="n"/>
    </row>
    <row r="221" ht="13.5" customHeight="1" s="38">
      <c r="A221" s="46" t="inlineStr">
        <is>
          <t>R_0218</t>
        </is>
      </c>
      <c r="B221" s="46" t="inlineStr">
        <is>
          <t>S_S4_SC03_I07</t>
        </is>
      </c>
      <c r="C221" s="46" t="inlineStr">
        <is>
          <t>Strategy 4 – One-Shot + Template + BLUF</t>
        </is>
      </c>
      <c r="D221" s="75" t="inlineStr">
        <is>
          <t>SC03</t>
        </is>
      </c>
      <c r="E221" s="46" t="inlineStr">
        <is>
          <t>Supply Chain</t>
        </is>
      </c>
      <c r="F221" s="74" t="n"/>
    </row>
    <row r="222" ht="13.5" customHeight="1" s="38">
      <c r="A222" s="46" t="inlineStr">
        <is>
          <t>R_0219</t>
        </is>
      </c>
      <c r="B222" s="46" t="inlineStr">
        <is>
          <t>S_S3_SC03_I05</t>
        </is>
      </c>
      <c r="C222" s="46" t="inlineStr">
        <is>
          <t>Strategy 3 – One-Shot + Structured Template</t>
        </is>
      </c>
      <c r="D222" s="75" t="inlineStr">
        <is>
          <t>SC03</t>
        </is>
      </c>
      <c r="E222" s="46" t="inlineStr">
        <is>
          <t>Supply Chain</t>
        </is>
      </c>
      <c r="F222" s="74" t="n"/>
    </row>
    <row r="223" ht="13.5" customHeight="1" s="38">
      <c r="A223" s="46" t="inlineStr">
        <is>
          <t>R_0220</t>
        </is>
      </c>
      <c r="B223" s="46" t="inlineStr">
        <is>
          <t>Z_S3_SC03_I07</t>
        </is>
      </c>
      <c r="C223" s="46" t="inlineStr">
        <is>
          <t>Strategy 3 – One-Shot + Structured Template</t>
        </is>
      </c>
      <c r="D223" s="75" t="inlineStr">
        <is>
          <t>SC03</t>
        </is>
      </c>
      <c r="E223" s="46" t="inlineStr">
        <is>
          <t>Zero-Day / Edge Device</t>
        </is>
      </c>
      <c r="F223" s="74" t="n"/>
    </row>
    <row r="224" ht="13.5" customHeight="1" s="38">
      <c r="A224" s="46" t="inlineStr">
        <is>
          <t>R_0221</t>
        </is>
      </c>
      <c r="B224" s="46" t="inlineStr">
        <is>
          <t>B_S4_SC02_I08</t>
        </is>
      </c>
      <c r="C224" s="46" t="inlineStr">
        <is>
          <t>Strategy 4 – One-Shot + Template + BLUF</t>
        </is>
      </c>
      <c r="D224" s="75" t="inlineStr">
        <is>
          <t>SC02</t>
        </is>
      </c>
      <c r="E224" s="46" t="inlineStr">
        <is>
          <t>Business Email Compromise</t>
        </is>
      </c>
      <c r="F224" s="74" t="n"/>
    </row>
    <row r="225" ht="13.5" customHeight="1" s="38">
      <c r="A225" s="46" t="inlineStr">
        <is>
          <t>R_0222</t>
        </is>
      </c>
      <c r="B225" s="46" t="inlineStr">
        <is>
          <t>S_S0_SC03_I07</t>
        </is>
      </c>
      <c r="C225" s="46" t="inlineStr">
        <is>
          <t>Baseline – Zero-Shot (minimal instruction)</t>
        </is>
      </c>
      <c r="D225" s="75" t="inlineStr">
        <is>
          <t>SC03</t>
        </is>
      </c>
      <c r="E225" s="46" t="inlineStr">
        <is>
          <t>Supply Chain</t>
        </is>
      </c>
      <c r="F225" s="74" t="n"/>
    </row>
    <row r="226" ht="13.5" customHeight="1" s="38">
      <c r="A226" s="46" t="inlineStr">
        <is>
          <t>R_0223</t>
        </is>
      </c>
      <c r="B226" s="46" t="inlineStr">
        <is>
          <t>S_S3_SC01_I09</t>
        </is>
      </c>
      <c r="C226" s="46" t="inlineStr">
        <is>
          <t>Strategy 3 – One-Shot + Structured Template</t>
        </is>
      </c>
      <c r="D226" s="75" t="inlineStr">
        <is>
          <t>SC01</t>
        </is>
      </c>
      <c r="E226" s="46" t="inlineStr">
        <is>
          <t>Supply Chain</t>
        </is>
      </c>
      <c r="F226" s="74" t="n"/>
    </row>
    <row r="227" ht="13.5" customHeight="1" s="38">
      <c r="A227" s="46" t="inlineStr">
        <is>
          <t>R_0224</t>
        </is>
      </c>
      <c r="B227" s="46" t="inlineStr">
        <is>
          <t>B_S4_SC05_I05</t>
        </is>
      </c>
      <c r="C227" s="46" t="inlineStr">
        <is>
          <t>Strategy 4 – One-Shot + Template + BLUF</t>
        </is>
      </c>
      <c r="D227" s="75" t="inlineStr">
        <is>
          <t>SC05</t>
        </is>
      </c>
      <c r="E227" s="46" t="inlineStr">
        <is>
          <t>Business Email Compromise</t>
        </is>
      </c>
      <c r="F227" s="74" t="n"/>
    </row>
    <row r="228" ht="13.5" customHeight="1" s="38">
      <c r="A228" s="46" t="inlineStr">
        <is>
          <t>R_0225</t>
        </is>
      </c>
      <c r="B228" s="46" t="inlineStr">
        <is>
          <t>S_S4_SC05_I06</t>
        </is>
      </c>
      <c r="C228" s="46" t="inlineStr">
        <is>
          <t>Strategy 4 – One-Shot + Template + BLUF</t>
        </is>
      </c>
      <c r="D228" s="75" t="inlineStr">
        <is>
          <t>SC05</t>
        </is>
      </c>
      <c r="E228" s="46" t="inlineStr">
        <is>
          <t>Supply Chain</t>
        </is>
      </c>
      <c r="F228" s="74" t="n"/>
    </row>
    <row r="229" ht="13.5" customHeight="1" s="38">
      <c r="A229" s="46" t="inlineStr">
        <is>
          <t>R_0226</t>
        </is>
      </c>
      <c r="B229" s="46" t="inlineStr">
        <is>
          <t>B_S4_SC04_I03</t>
        </is>
      </c>
      <c r="C229" s="46" t="inlineStr">
        <is>
          <t>Strategy 4 – One-Shot + Template + BLUF</t>
        </is>
      </c>
      <c r="D229" s="75" t="inlineStr">
        <is>
          <t>SC04</t>
        </is>
      </c>
      <c r="E229" s="46" t="inlineStr">
        <is>
          <t>Business Email Compromise</t>
        </is>
      </c>
      <c r="F229" s="74" t="n"/>
    </row>
    <row r="230" ht="13.5" customHeight="1" s="38">
      <c r="A230" s="46" t="inlineStr">
        <is>
          <t>R_0227</t>
        </is>
      </c>
      <c r="B230" s="46" t="inlineStr">
        <is>
          <t>R_S2_SC02_I09</t>
        </is>
      </c>
      <c r="C230" s="46" t="inlineStr">
        <is>
          <t>Strategy 2 – Zero-Shot + Template + BLUF</t>
        </is>
      </c>
      <c r="D230" s="75" t="inlineStr">
        <is>
          <t>SC02</t>
        </is>
      </c>
      <c r="E230" s="46" t="inlineStr">
        <is>
          <t>Ransomware</t>
        </is>
      </c>
      <c r="F230" s="74" t="n"/>
    </row>
    <row r="231" ht="13.5" customHeight="1" s="38">
      <c r="A231" s="46" t="inlineStr">
        <is>
          <t>R_0228</t>
        </is>
      </c>
      <c r="B231" s="46" t="inlineStr">
        <is>
          <t>Z_S2_SC03_I07</t>
        </is>
      </c>
      <c r="C231" s="46" t="inlineStr">
        <is>
          <t>Strategy 2 – Zero-Shot + Template + BLUF</t>
        </is>
      </c>
      <c r="D231" s="75" t="inlineStr">
        <is>
          <t>SC03</t>
        </is>
      </c>
      <c r="E231" s="46" t="inlineStr">
        <is>
          <t>Zero-Day / Edge Device</t>
        </is>
      </c>
      <c r="F231" s="74" t="n"/>
    </row>
    <row r="232" ht="13.5" customHeight="1" s="38">
      <c r="A232" s="46" t="inlineStr">
        <is>
          <t>R_0229</t>
        </is>
      </c>
      <c r="B232" s="46" t="inlineStr">
        <is>
          <t>Z_S2_SC03_I01</t>
        </is>
      </c>
      <c r="C232" s="46" t="inlineStr">
        <is>
          <t>Strategy 2 – Zero-Shot + Template + BLUF</t>
        </is>
      </c>
      <c r="D232" s="75" t="inlineStr">
        <is>
          <t>SC03</t>
        </is>
      </c>
      <c r="E232" s="46" t="inlineStr">
        <is>
          <t>Zero-Day / Edge Device</t>
        </is>
      </c>
      <c r="F232" s="74" t="n"/>
    </row>
    <row r="233" ht="13.5" customHeight="1" s="38">
      <c r="A233" s="46" t="inlineStr">
        <is>
          <t>R_0230</t>
        </is>
      </c>
      <c r="B233" s="46" t="inlineStr">
        <is>
          <t>R_S1_SC02_I06</t>
        </is>
      </c>
      <c r="C233" s="46" t="inlineStr">
        <is>
          <t>Strategy 1 – Zero-Shot + Structured Template</t>
        </is>
      </c>
      <c r="D233" s="75" t="inlineStr">
        <is>
          <t>SC02</t>
        </is>
      </c>
      <c r="E233" s="46" t="inlineStr">
        <is>
          <t>Ransomware</t>
        </is>
      </c>
      <c r="F233" s="74" t="n"/>
    </row>
    <row r="234" ht="13.5" customHeight="1" s="38">
      <c r="A234" s="46" t="inlineStr">
        <is>
          <t>R_0231</t>
        </is>
      </c>
      <c r="B234" s="46" t="inlineStr">
        <is>
          <t>B_S3_SC01_I01</t>
        </is>
      </c>
      <c r="C234" s="46" t="inlineStr">
        <is>
          <t>Strategy 3 – One-Shot + Structured Template</t>
        </is>
      </c>
      <c r="D234" s="75" t="inlineStr">
        <is>
          <t>SC01</t>
        </is>
      </c>
      <c r="E234" s="46" t="inlineStr">
        <is>
          <t>Business Email Compromise</t>
        </is>
      </c>
      <c r="F234" s="74" t="n"/>
    </row>
    <row r="235" ht="13.5" customHeight="1" s="38">
      <c r="A235" s="46" t="inlineStr">
        <is>
          <t>R_0232</t>
        </is>
      </c>
      <c r="B235" s="46" t="inlineStr">
        <is>
          <t>R_S0_SC03_I07</t>
        </is>
      </c>
      <c r="C235" s="46" t="inlineStr">
        <is>
          <t>Baseline – Zero-Shot (minimal instruction)</t>
        </is>
      </c>
      <c r="D235" s="75" t="inlineStr">
        <is>
          <t>SC03</t>
        </is>
      </c>
      <c r="E235" s="46" t="inlineStr">
        <is>
          <t>Ransomware</t>
        </is>
      </c>
      <c r="F235" s="74" t="n"/>
    </row>
    <row r="236" ht="13.5" customHeight="1" s="38">
      <c r="A236" s="46" t="inlineStr">
        <is>
          <t>R_0233</t>
        </is>
      </c>
      <c r="B236" s="46" t="inlineStr">
        <is>
          <t>S_S1_SC02_I10</t>
        </is>
      </c>
      <c r="C236" s="46" t="inlineStr">
        <is>
          <t>Strategy 1 – Zero-Shot + Structured Template</t>
        </is>
      </c>
      <c r="D236" s="75" t="inlineStr">
        <is>
          <t>SC02</t>
        </is>
      </c>
      <c r="E236" s="46" t="inlineStr">
        <is>
          <t>Supply Chain</t>
        </is>
      </c>
      <c r="F236" s="74" t="n"/>
    </row>
    <row r="237" ht="13.5" customHeight="1" s="38">
      <c r="A237" s="46" t="inlineStr">
        <is>
          <t>R_0234</t>
        </is>
      </c>
      <c r="B237" s="46" t="inlineStr">
        <is>
          <t>Z_S4_SC04_I03</t>
        </is>
      </c>
      <c r="C237" s="46" t="inlineStr">
        <is>
          <t>Strategy 4 – One-Shot + Template + BLUF</t>
        </is>
      </c>
      <c r="D237" s="75" t="inlineStr">
        <is>
          <t>SC04</t>
        </is>
      </c>
      <c r="E237" s="46" t="inlineStr">
        <is>
          <t>Zero-Day / Edge Device</t>
        </is>
      </c>
      <c r="F237" s="74" t="n"/>
    </row>
    <row r="238" ht="13.5" customHeight="1" s="38">
      <c r="A238" s="46" t="inlineStr">
        <is>
          <t>R_0235</t>
        </is>
      </c>
      <c r="B238" s="46" t="inlineStr">
        <is>
          <t>S_S4_SC04_I09</t>
        </is>
      </c>
      <c r="C238" s="46" t="inlineStr">
        <is>
          <t>Strategy 4 – One-Shot + Template + BLUF</t>
        </is>
      </c>
      <c r="D238" s="75" t="inlineStr">
        <is>
          <t>SC04</t>
        </is>
      </c>
      <c r="E238" s="46" t="inlineStr">
        <is>
          <t>Supply Chain</t>
        </is>
      </c>
      <c r="F238" s="74" t="n"/>
    </row>
    <row r="239" ht="13.5" customHeight="1" s="38">
      <c r="A239" s="46" t="inlineStr">
        <is>
          <t>R_0236</t>
        </is>
      </c>
      <c r="B239" s="46" t="inlineStr">
        <is>
          <t>Z_S3_SC05_I05</t>
        </is>
      </c>
      <c r="C239" s="46" t="inlineStr">
        <is>
          <t>Strategy 3 – One-Shot + Structured Template</t>
        </is>
      </c>
      <c r="D239" s="75" t="inlineStr">
        <is>
          <t>SC05</t>
        </is>
      </c>
      <c r="E239" s="46" t="inlineStr">
        <is>
          <t>Zero-Day / Edge Device</t>
        </is>
      </c>
      <c r="F239" s="74" t="n"/>
    </row>
    <row r="240" ht="13.5" customHeight="1" s="38">
      <c r="A240" s="46" t="inlineStr">
        <is>
          <t>R_0237</t>
        </is>
      </c>
      <c r="B240" s="46" t="inlineStr">
        <is>
          <t>S_S1_SC03_I07</t>
        </is>
      </c>
      <c r="C240" s="46" t="inlineStr">
        <is>
          <t>Strategy 1 – Zero-Shot + Structured Template</t>
        </is>
      </c>
      <c r="D240" s="75" t="inlineStr">
        <is>
          <t>SC03</t>
        </is>
      </c>
      <c r="E240" s="46" t="inlineStr">
        <is>
          <t>Supply Chain</t>
        </is>
      </c>
      <c r="F240" s="74" t="n"/>
    </row>
    <row r="241" ht="13.5" customHeight="1" s="38">
      <c r="A241" s="46" t="inlineStr">
        <is>
          <t>R_0238</t>
        </is>
      </c>
      <c r="B241" s="46" t="inlineStr">
        <is>
          <t>B_S1_SC02_I06</t>
        </is>
      </c>
      <c r="C241" s="46" t="inlineStr">
        <is>
          <t>Strategy 1 – Zero-Shot + Structured Template</t>
        </is>
      </c>
      <c r="D241" s="75" t="inlineStr">
        <is>
          <t>SC02</t>
        </is>
      </c>
      <c r="E241" s="46" t="inlineStr">
        <is>
          <t>Business Email Compromise</t>
        </is>
      </c>
      <c r="F241" s="74" t="n"/>
    </row>
    <row r="242" ht="13.5" customHeight="1" s="38">
      <c r="A242" s="46" t="inlineStr">
        <is>
          <t>R_0239</t>
        </is>
      </c>
      <c r="B242" s="46" t="inlineStr">
        <is>
          <t>B_S4_SC05_I04</t>
        </is>
      </c>
      <c r="C242" s="46" t="inlineStr">
        <is>
          <t>Strategy 4 – One-Shot + Template + BLUF</t>
        </is>
      </c>
      <c r="D242" s="75" t="inlineStr">
        <is>
          <t>SC05</t>
        </is>
      </c>
      <c r="E242" s="46" t="inlineStr">
        <is>
          <t>Business Email Compromise</t>
        </is>
      </c>
      <c r="F242" s="74" t="n"/>
    </row>
    <row r="243" ht="13.5" customHeight="1" s="38">
      <c r="A243" s="46" t="inlineStr">
        <is>
          <t>R_0240</t>
        </is>
      </c>
      <c r="B243" s="46" t="inlineStr">
        <is>
          <t>S_S1_SC04_I06</t>
        </is>
      </c>
      <c r="C243" s="46" t="inlineStr">
        <is>
          <t>Strategy 1 – Zero-Shot + Structured Template</t>
        </is>
      </c>
      <c r="D243" s="75" t="inlineStr">
        <is>
          <t>SC04</t>
        </is>
      </c>
      <c r="E243" s="46" t="inlineStr">
        <is>
          <t>Supply Chain</t>
        </is>
      </c>
      <c r="F243" s="74" t="n"/>
    </row>
    <row r="244" ht="13.5" customHeight="1" s="38">
      <c r="A244" s="46" t="inlineStr">
        <is>
          <t>R_0241</t>
        </is>
      </c>
      <c r="B244" s="46" t="inlineStr">
        <is>
          <t>R_S3_SC04_I09</t>
        </is>
      </c>
      <c r="C244" s="46" t="inlineStr">
        <is>
          <t>Strategy 3 – One-Shot + Structured Template</t>
        </is>
      </c>
      <c r="D244" s="75" t="inlineStr">
        <is>
          <t>SC04</t>
        </is>
      </c>
      <c r="E244" s="46" t="inlineStr">
        <is>
          <t>Ransomware</t>
        </is>
      </c>
      <c r="F244" s="74" t="n"/>
    </row>
    <row r="245" ht="13.5" customHeight="1" s="38">
      <c r="A245" s="46" t="inlineStr">
        <is>
          <t>R_0242</t>
        </is>
      </c>
      <c r="B245" s="46" t="inlineStr">
        <is>
          <t>R_S1_SC03_I09</t>
        </is>
      </c>
      <c r="C245" s="46" t="inlineStr">
        <is>
          <t>Strategy 1 – Zero-Shot + Structured Template</t>
        </is>
      </c>
      <c r="D245" s="75" t="inlineStr">
        <is>
          <t>SC03</t>
        </is>
      </c>
      <c r="E245" s="46" t="inlineStr">
        <is>
          <t>Ransomware</t>
        </is>
      </c>
      <c r="F245" s="74" t="n"/>
    </row>
    <row r="246" ht="13.5" customHeight="1" s="38">
      <c r="A246" s="46" t="inlineStr">
        <is>
          <t>R_0243</t>
        </is>
      </c>
      <c r="B246" s="46" t="inlineStr">
        <is>
          <t>S_S3_SC03_I10</t>
        </is>
      </c>
      <c r="C246" s="46" t="inlineStr">
        <is>
          <t>Strategy 3 – One-Shot + Structured Template</t>
        </is>
      </c>
      <c r="D246" s="75" t="inlineStr">
        <is>
          <t>SC03</t>
        </is>
      </c>
      <c r="E246" s="46" t="inlineStr">
        <is>
          <t>Supply Chain</t>
        </is>
      </c>
      <c r="F246" s="74" t="n"/>
    </row>
    <row r="247" ht="13.5" customHeight="1" s="38">
      <c r="A247" s="46" t="inlineStr">
        <is>
          <t>R_0244</t>
        </is>
      </c>
      <c r="B247" s="46" t="inlineStr">
        <is>
          <t>Z_S3_SC04_I01</t>
        </is>
      </c>
      <c r="C247" s="46" t="inlineStr">
        <is>
          <t>Strategy 3 – One-Shot + Structured Template</t>
        </is>
      </c>
      <c r="D247" s="75" t="inlineStr">
        <is>
          <t>SC04</t>
        </is>
      </c>
      <c r="E247" s="46" t="inlineStr">
        <is>
          <t>Zero-Day / Edge Device</t>
        </is>
      </c>
      <c r="F247" s="74" t="n"/>
    </row>
    <row r="248" ht="13.5" customHeight="1" s="38">
      <c r="A248" s="46" t="inlineStr">
        <is>
          <t>R_0245</t>
        </is>
      </c>
      <c r="B248" s="46" t="inlineStr">
        <is>
          <t>R_S3_SC03_I02</t>
        </is>
      </c>
      <c r="C248" s="46" t="inlineStr">
        <is>
          <t>Strategy 3 – One-Shot + Structured Template</t>
        </is>
      </c>
      <c r="D248" s="75" t="inlineStr">
        <is>
          <t>SC03</t>
        </is>
      </c>
      <c r="E248" s="46" t="inlineStr">
        <is>
          <t>Ransomware</t>
        </is>
      </c>
      <c r="F248" s="74" t="n"/>
    </row>
    <row r="249" ht="13.5" customHeight="1" s="38">
      <c r="A249" s="46" t="inlineStr">
        <is>
          <t>R_0246</t>
        </is>
      </c>
      <c r="B249" s="46" t="inlineStr">
        <is>
          <t>B_S3_SC04_I08</t>
        </is>
      </c>
      <c r="C249" s="46" t="inlineStr">
        <is>
          <t>Strategy 3 – One-Shot + Structured Template</t>
        </is>
      </c>
      <c r="D249" s="75" t="inlineStr">
        <is>
          <t>SC04</t>
        </is>
      </c>
      <c r="E249" s="46" t="inlineStr">
        <is>
          <t>Business Email Compromise</t>
        </is>
      </c>
      <c r="F249" s="74" t="n"/>
    </row>
    <row r="250" ht="13.5" customHeight="1" s="38">
      <c r="A250" s="46" t="inlineStr">
        <is>
          <t>R_0247</t>
        </is>
      </c>
      <c r="B250" s="46" t="inlineStr">
        <is>
          <t>B_S3_SC04_I06</t>
        </is>
      </c>
      <c r="C250" s="46" t="inlineStr">
        <is>
          <t>Strategy 3 – One-Shot + Structured Template</t>
        </is>
      </c>
      <c r="D250" s="75" t="inlineStr">
        <is>
          <t>SC04</t>
        </is>
      </c>
      <c r="E250" s="46" t="inlineStr">
        <is>
          <t>Business Email Compromise</t>
        </is>
      </c>
      <c r="F250" s="74" t="n"/>
    </row>
    <row r="251" ht="13.5" customHeight="1" s="38">
      <c r="A251" s="46" t="inlineStr">
        <is>
          <t>R_0248</t>
        </is>
      </c>
      <c r="B251" s="46" t="inlineStr">
        <is>
          <t>S_S0_SC01_I09</t>
        </is>
      </c>
      <c r="C251" s="46" t="inlineStr">
        <is>
          <t>Baseline – Zero-Shot (minimal instruction)</t>
        </is>
      </c>
      <c r="D251" s="75" t="inlineStr">
        <is>
          <t>SC01</t>
        </is>
      </c>
      <c r="E251" s="46" t="inlineStr">
        <is>
          <t>Supply Chain</t>
        </is>
      </c>
      <c r="F251" s="74" t="n"/>
    </row>
    <row r="252" ht="13.5" customHeight="1" s="38">
      <c r="A252" s="46" t="inlineStr">
        <is>
          <t>R_0249</t>
        </is>
      </c>
      <c r="B252" s="46" t="inlineStr">
        <is>
          <t>Z_S3_SC03_I01</t>
        </is>
      </c>
      <c r="C252" s="46" t="inlineStr">
        <is>
          <t>Strategy 3 – One-Shot + Structured Template</t>
        </is>
      </c>
      <c r="D252" s="75" t="inlineStr">
        <is>
          <t>SC03</t>
        </is>
      </c>
      <c r="E252" s="46" t="inlineStr">
        <is>
          <t>Zero-Day / Edge Device</t>
        </is>
      </c>
      <c r="F252" s="74" t="n"/>
    </row>
    <row r="253" ht="13.5" customHeight="1" s="38">
      <c r="A253" s="46" t="inlineStr">
        <is>
          <t>R_0250</t>
        </is>
      </c>
      <c r="B253" s="46" t="inlineStr">
        <is>
          <t>S_S1_SC05_I06</t>
        </is>
      </c>
      <c r="C253" s="46" t="inlineStr">
        <is>
          <t>Strategy 1 – Zero-Shot + Structured Template</t>
        </is>
      </c>
      <c r="D253" s="75" t="inlineStr">
        <is>
          <t>SC05</t>
        </is>
      </c>
      <c r="E253" s="46" t="inlineStr">
        <is>
          <t>Supply Chain</t>
        </is>
      </c>
      <c r="F253" s="74" t="n"/>
    </row>
    <row r="254" ht="13.5" customHeight="1" s="38">
      <c r="A254" s="46" t="inlineStr">
        <is>
          <t>R_0251</t>
        </is>
      </c>
      <c r="B254" s="46" t="inlineStr">
        <is>
          <t>Z_S4_SC01_I04</t>
        </is>
      </c>
      <c r="C254" s="46" t="inlineStr">
        <is>
          <t>Strategy 4 – One-Shot + Template + BLUF</t>
        </is>
      </c>
      <c r="D254" s="75" t="inlineStr">
        <is>
          <t>SC01</t>
        </is>
      </c>
      <c r="E254" s="46" t="inlineStr">
        <is>
          <t>Zero-Day / Edge Device</t>
        </is>
      </c>
      <c r="F254" s="74" t="n"/>
    </row>
    <row r="255" ht="13.5" customHeight="1" s="38">
      <c r="A255" s="46" t="inlineStr">
        <is>
          <t>R_0252</t>
        </is>
      </c>
      <c r="B255" s="46" t="inlineStr">
        <is>
          <t>R_S0_SC03_I04</t>
        </is>
      </c>
      <c r="C255" s="46" t="inlineStr">
        <is>
          <t>Baseline – Zero-Shot (minimal instruction)</t>
        </is>
      </c>
      <c r="D255" s="75" t="inlineStr">
        <is>
          <t>SC03</t>
        </is>
      </c>
      <c r="E255" s="46" t="inlineStr">
        <is>
          <t>Ransomware</t>
        </is>
      </c>
      <c r="F255" s="74" t="n"/>
    </row>
    <row r="256" ht="13.5" customHeight="1" s="38">
      <c r="A256" s="46" t="inlineStr">
        <is>
          <t>R_0253</t>
        </is>
      </c>
      <c r="B256" s="46" t="inlineStr">
        <is>
          <t>S_S4_SC02_I08</t>
        </is>
      </c>
      <c r="C256" s="46" t="inlineStr">
        <is>
          <t>Strategy 4 – One-Shot + Template + BLUF</t>
        </is>
      </c>
      <c r="D256" s="75" t="inlineStr">
        <is>
          <t>SC02</t>
        </is>
      </c>
      <c r="E256" s="46" t="inlineStr">
        <is>
          <t>Supply Chain</t>
        </is>
      </c>
      <c r="F256" s="74" t="n"/>
    </row>
    <row r="257" ht="13.5" customHeight="1" s="38">
      <c r="A257" s="46" t="inlineStr">
        <is>
          <t>R_0254</t>
        </is>
      </c>
      <c r="B257" s="46" t="inlineStr">
        <is>
          <t>B_S3_SC01_I02</t>
        </is>
      </c>
      <c r="C257" s="46" t="inlineStr">
        <is>
          <t>Strategy 3 – One-Shot + Structured Template</t>
        </is>
      </c>
      <c r="D257" s="75" t="inlineStr">
        <is>
          <t>SC01</t>
        </is>
      </c>
      <c r="E257" s="46" t="inlineStr">
        <is>
          <t>Business Email Compromise</t>
        </is>
      </c>
      <c r="F257" s="74" t="n"/>
    </row>
    <row r="258" ht="13.5" customHeight="1" s="38">
      <c r="A258" s="46" t="inlineStr">
        <is>
          <t>R_0255</t>
        </is>
      </c>
      <c r="B258" s="46" t="inlineStr">
        <is>
          <t>S_S3_SC05_I10</t>
        </is>
      </c>
      <c r="C258" s="46" t="inlineStr">
        <is>
          <t>Strategy 3 – One-Shot + Structured Template</t>
        </is>
      </c>
      <c r="D258" s="75" t="inlineStr">
        <is>
          <t>SC05</t>
        </is>
      </c>
      <c r="E258" s="46" t="inlineStr">
        <is>
          <t>Supply Chain</t>
        </is>
      </c>
      <c r="F258" s="74" t="n"/>
    </row>
    <row r="259" ht="13.5" customHeight="1" s="38">
      <c r="A259" s="46" t="inlineStr">
        <is>
          <t>R_0256</t>
        </is>
      </c>
      <c r="B259" s="46" t="inlineStr">
        <is>
          <t>S_S3_SC04_I10</t>
        </is>
      </c>
      <c r="C259" s="46" t="inlineStr">
        <is>
          <t>Strategy 3 – One-Shot + Structured Template</t>
        </is>
      </c>
      <c r="D259" s="75" t="inlineStr">
        <is>
          <t>SC04</t>
        </is>
      </c>
      <c r="E259" s="46" t="inlineStr">
        <is>
          <t>Supply Chain</t>
        </is>
      </c>
      <c r="F259" s="74" t="n"/>
    </row>
    <row r="260" ht="13.5" customHeight="1" s="38">
      <c r="A260" s="46" t="inlineStr">
        <is>
          <t>R_0257</t>
        </is>
      </c>
      <c r="B260" s="46" t="inlineStr">
        <is>
          <t>S_S0_SC05_I05</t>
        </is>
      </c>
      <c r="C260" s="46" t="inlineStr">
        <is>
          <t>Baseline – Zero-Shot (minimal instruction)</t>
        </is>
      </c>
      <c r="D260" s="75" t="inlineStr">
        <is>
          <t>SC05</t>
        </is>
      </c>
      <c r="E260" s="46" t="inlineStr">
        <is>
          <t>Supply Chain</t>
        </is>
      </c>
      <c r="F260" s="74" t="n"/>
    </row>
    <row r="261" ht="13.5" customHeight="1" s="38">
      <c r="A261" s="46" t="inlineStr">
        <is>
          <t>R_0258</t>
        </is>
      </c>
      <c r="B261" s="46" t="inlineStr">
        <is>
          <t>R_S4_SC04_I06</t>
        </is>
      </c>
      <c r="C261" s="46" t="inlineStr">
        <is>
          <t>Strategy 4 – One-Shot + Template + BLUF</t>
        </is>
      </c>
      <c r="D261" s="75" t="inlineStr">
        <is>
          <t>SC04</t>
        </is>
      </c>
      <c r="E261" s="46" t="inlineStr">
        <is>
          <t>Ransomware</t>
        </is>
      </c>
      <c r="F261" s="74" t="n"/>
    </row>
    <row r="262" ht="13.5" customHeight="1" s="38">
      <c r="A262" s="46" t="inlineStr">
        <is>
          <t>R_0259</t>
        </is>
      </c>
      <c r="B262" s="46" t="inlineStr">
        <is>
          <t>B_S1_SC01_I01</t>
        </is>
      </c>
      <c r="C262" s="46" t="inlineStr">
        <is>
          <t>Strategy 1 – Zero-Shot + Structured Template</t>
        </is>
      </c>
      <c r="D262" s="75" t="inlineStr">
        <is>
          <t>SC01</t>
        </is>
      </c>
      <c r="E262" s="46" t="inlineStr">
        <is>
          <t>Business Email Compromise</t>
        </is>
      </c>
      <c r="F262" s="74" t="n"/>
    </row>
    <row r="263" ht="13.5" customHeight="1" s="38">
      <c r="A263" s="46" t="inlineStr">
        <is>
          <t>R_0260</t>
        </is>
      </c>
      <c r="B263" s="46" t="inlineStr">
        <is>
          <t>S_S2_SC01_I03</t>
        </is>
      </c>
      <c r="C263" s="46" t="inlineStr">
        <is>
          <t>Strategy 2 – Zero-Shot + Template + BLUF</t>
        </is>
      </c>
      <c r="D263" s="75" t="inlineStr">
        <is>
          <t>SC01</t>
        </is>
      </c>
      <c r="E263" s="46" t="inlineStr">
        <is>
          <t>Supply Chain</t>
        </is>
      </c>
      <c r="F263" s="74" t="n"/>
    </row>
    <row r="264" ht="13.5" customHeight="1" s="38">
      <c r="A264" s="46" t="inlineStr">
        <is>
          <t>R_0261</t>
        </is>
      </c>
      <c r="B264" s="46" t="inlineStr">
        <is>
          <t>R_S0_SC05_I09</t>
        </is>
      </c>
      <c r="C264" s="46" t="inlineStr">
        <is>
          <t>Baseline – Zero-Shot (minimal instruction)</t>
        </is>
      </c>
      <c r="D264" s="75" t="inlineStr">
        <is>
          <t>SC05</t>
        </is>
      </c>
      <c r="E264" s="46" t="inlineStr">
        <is>
          <t>Ransomware</t>
        </is>
      </c>
      <c r="F264" s="74" t="n"/>
    </row>
    <row r="265" ht="13.5" customHeight="1" s="38">
      <c r="A265" s="46" t="inlineStr">
        <is>
          <t>R_0262</t>
        </is>
      </c>
      <c r="B265" s="46" t="inlineStr">
        <is>
          <t>S_S2_SC04_I06</t>
        </is>
      </c>
      <c r="C265" s="46" t="inlineStr">
        <is>
          <t>Strategy 2 – Zero-Shot + Template + BLUF</t>
        </is>
      </c>
      <c r="D265" s="75" t="inlineStr">
        <is>
          <t>SC04</t>
        </is>
      </c>
      <c r="E265" s="46" t="inlineStr">
        <is>
          <t>Supply Chain</t>
        </is>
      </c>
      <c r="F265" s="74" t="n"/>
    </row>
    <row r="266" ht="13.5" customHeight="1" s="38">
      <c r="A266" s="46" t="inlineStr">
        <is>
          <t>R_0263</t>
        </is>
      </c>
      <c r="B266" s="46" t="inlineStr">
        <is>
          <t>R_S1_SC03_I06</t>
        </is>
      </c>
      <c r="C266" s="46" t="inlineStr">
        <is>
          <t>Strategy 1 – Zero-Shot + Structured Template</t>
        </is>
      </c>
      <c r="D266" s="75" t="inlineStr">
        <is>
          <t>SC03</t>
        </is>
      </c>
      <c r="E266" s="46" t="inlineStr">
        <is>
          <t>Ransomware</t>
        </is>
      </c>
      <c r="F266" s="74" t="n"/>
    </row>
    <row r="267" ht="13.5" customHeight="1" s="38">
      <c r="A267" s="46" t="inlineStr">
        <is>
          <t>R_0264</t>
        </is>
      </c>
      <c r="B267" s="46" t="inlineStr">
        <is>
          <t>R_S2_SC01_I06</t>
        </is>
      </c>
      <c r="C267" s="46" t="inlineStr">
        <is>
          <t>Strategy 2 – Zero-Shot + Template + BLUF</t>
        </is>
      </c>
      <c r="D267" s="75" t="inlineStr">
        <is>
          <t>SC01</t>
        </is>
      </c>
      <c r="E267" s="46" t="inlineStr">
        <is>
          <t>Ransomware</t>
        </is>
      </c>
      <c r="F267" s="74" t="n"/>
    </row>
    <row r="268" ht="13.5" customHeight="1" s="38">
      <c r="A268" s="46" t="inlineStr">
        <is>
          <t>R_0265</t>
        </is>
      </c>
      <c r="B268" s="46" t="inlineStr">
        <is>
          <t>Z_S0_SC03_I09</t>
        </is>
      </c>
      <c r="C268" s="46" t="inlineStr">
        <is>
          <t>Baseline – Zero-Shot (minimal instruction)</t>
        </is>
      </c>
      <c r="D268" s="75" t="inlineStr">
        <is>
          <t>SC03</t>
        </is>
      </c>
      <c r="E268" s="46" t="inlineStr">
        <is>
          <t>Zero-Day / Edge Device</t>
        </is>
      </c>
      <c r="F268" s="74" t="n"/>
    </row>
    <row r="269" ht="13.5" customHeight="1" s="38">
      <c r="A269" s="46" t="inlineStr">
        <is>
          <t>R_0266</t>
        </is>
      </c>
      <c r="B269" s="46" t="inlineStr">
        <is>
          <t>B_S1_SC02_I07</t>
        </is>
      </c>
      <c r="C269" s="46" t="inlineStr">
        <is>
          <t>Strategy 1 – Zero-Shot + Structured Template</t>
        </is>
      </c>
      <c r="D269" s="75" t="inlineStr">
        <is>
          <t>SC02</t>
        </is>
      </c>
      <c r="E269" s="46" t="inlineStr">
        <is>
          <t>Business Email Compromise</t>
        </is>
      </c>
      <c r="F269" s="74" t="n"/>
    </row>
    <row r="270" ht="13.5" customHeight="1" s="38">
      <c r="A270" s="46" t="inlineStr">
        <is>
          <t>R_0267</t>
        </is>
      </c>
      <c r="B270" s="46" t="inlineStr">
        <is>
          <t>S_S2_SC03_I05</t>
        </is>
      </c>
      <c r="C270" s="46" t="inlineStr">
        <is>
          <t>Strategy 2 – Zero-Shot + Template + BLUF</t>
        </is>
      </c>
      <c r="D270" s="75" t="inlineStr">
        <is>
          <t>SC03</t>
        </is>
      </c>
      <c r="E270" s="46" t="inlineStr">
        <is>
          <t>Supply Chain</t>
        </is>
      </c>
      <c r="F270" s="74" t="n"/>
    </row>
    <row r="271" ht="13.5" customHeight="1" s="38">
      <c r="A271" s="46" t="inlineStr">
        <is>
          <t>R_0268</t>
        </is>
      </c>
      <c r="B271" s="46" t="inlineStr">
        <is>
          <t>R_S3_SC03_I05</t>
        </is>
      </c>
      <c r="C271" s="46" t="inlineStr">
        <is>
          <t>Strategy 3 – One-Shot + Structured Template</t>
        </is>
      </c>
      <c r="D271" s="75" t="inlineStr">
        <is>
          <t>SC03</t>
        </is>
      </c>
      <c r="E271" s="46" t="inlineStr">
        <is>
          <t>Ransomware</t>
        </is>
      </c>
      <c r="F271" s="74" t="n"/>
    </row>
    <row r="272" ht="13.5" customHeight="1" s="38">
      <c r="A272" s="46" t="inlineStr">
        <is>
          <t>R_0269</t>
        </is>
      </c>
      <c r="B272" s="46" t="inlineStr">
        <is>
          <t>B_S2_SC02_I07</t>
        </is>
      </c>
      <c r="C272" s="46" t="inlineStr">
        <is>
          <t>Strategy 2 – Zero-Shot + Template + BLUF</t>
        </is>
      </c>
      <c r="D272" s="75" t="inlineStr">
        <is>
          <t>SC02</t>
        </is>
      </c>
      <c r="E272" s="46" t="inlineStr">
        <is>
          <t>Business Email Compromise</t>
        </is>
      </c>
      <c r="F272" s="74" t="n"/>
    </row>
    <row r="273" ht="13.5" customHeight="1" s="38">
      <c r="A273" s="46" t="inlineStr">
        <is>
          <t>R_0270</t>
        </is>
      </c>
      <c r="B273" s="46" t="inlineStr">
        <is>
          <t>S_S4_SC02_I04</t>
        </is>
      </c>
      <c r="C273" s="46" t="inlineStr">
        <is>
          <t>Strategy 4 – One-Shot + Template + BLUF</t>
        </is>
      </c>
      <c r="D273" s="75" t="inlineStr">
        <is>
          <t>SC02</t>
        </is>
      </c>
      <c r="E273" s="46" t="inlineStr">
        <is>
          <t>Supply Chain</t>
        </is>
      </c>
      <c r="F273" s="74" t="n"/>
    </row>
    <row r="274" ht="13.5" customHeight="1" s="38">
      <c r="A274" s="46" t="inlineStr">
        <is>
          <t>R_0271</t>
        </is>
      </c>
      <c r="B274" s="46" t="inlineStr">
        <is>
          <t>B_S4_SC01_I07</t>
        </is>
      </c>
      <c r="C274" s="46" t="inlineStr">
        <is>
          <t>Strategy 4 – One-Shot + Template + BLUF</t>
        </is>
      </c>
      <c r="D274" s="75" t="inlineStr">
        <is>
          <t>SC01</t>
        </is>
      </c>
      <c r="E274" s="46" t="inlineStr">
        <is>
          <t>Business Email Compromise</t>
        </is>
      </c>
      <c r="F274" s="74" t="n"/>
    </row>
    <row r="275" ht="13.5" customHeight="1" s="38">
      <c r="A275" s="46" t="inlineStr">
        <is>
          <t>R_0272</t>
        </is>
      </c>
      <c r="B275" s="46" t="inlineStr">
        <is>
          <t>S_S4_SC02_I10</t>
        </is>
      </c>
      <c r="C275" s="46" t="inlineStr">
        <is>
          <t>Strategy 4 – One-Shot + Template + BLUF</t>
        </is>
      </c>
      <c r="D275" s="75" t="inlineStr">
        <is>
          <t>SC02</t>
        </is>
      </c>
      <c r="E275" s="46" t="inlineStr">
        <is>
          <t>Supply Chain</t>
        </is>
      </c>
      <c r="F275" s="74" t="n"/>
    </row>
    <row r="276" ht="13.5" customHeight="1" s="38">
      <c r="A276" s="46" t="inlineStr">
        <is>
          <t>R_0273</t>
        </is>
      </c>
      <c r="B276" s="46" t="inlineStr">
        <is>
          <t>S_S1_SC02_I07</t>
        </is>
      </c>
      <c r="C276" s="46" t="inlineStr">
        <is>
          <t>Strategy 1 – Zero-Shot + Structured Template</t>
        </is>
      </c>
      <c r="D276" s="75" t="inlineStr">
        <is>
          <t>SC02</t>
        </is>
      </c>
      <c r="E276" s="46" t="inlineStr">
        <is>
          <t>Supply Chain</t>
        </is>
      </c>
      <c r="F276" s="74" t="n"/>
    </row>
    <row r="277" ht="13.5" customHeight="1" s="38">
      <c r="A277" s="46" t="inlineStr">
        <is>
          <t>R_0274</t>
        </is>
      </c>
      <c r="B277" s="46" t="inlineStr">
        <is>
          <t>Z_S4_SC02_I04</t>
        </is>
      </c>
      <c r="C277" s="46" t="inlineStr">
        <is>
          <t>Strategy 4 – One-Shot + Template + BLUF</t>
        </is>
      </c>
      <c r="D277" s="75" t="inlineStr">
        <is>
          <t>SC02</t>
        </is>
      </c>
      <c r="E277" s="46" t="inlineStr">
        <is>
          <t>Zero-Day / Edge Device</t>
        </is>
      </c>
      <c r="F277" s="74" t="n"/>
    </row>
    <row r="278" ht="13.5" customHeight="1" s="38">
      <c r="A278" s="46" t="inlineStr">
        <is>
          <t>R_0275</t>
        </is>
      </c>
      <c r="B278" s="46" t="inlineStr">
        <is>
          <t>S_S4_SC04_I03</t>
        </is>
      </c>
      <c r="C278" s="46" t="inlineStr">
        <is>
          <t>Strategy 4 – One-Shot + Template + BLUF</t>
        </is>
      </c>
      <c r="D278" s="75" t="inlineStr">
        <is>
          <t>SC04</t>
        </is>
      </c>
      <c r="E278" s="46" t="inlineStr">
        <is>
          <t>Supply Chain</t>
        </is>
      </c>
      <c r="F278" s="74" t="n"/>
    </row>
    <row r="279" ht="13.5" customHeight="1" s="38">
      <c r="A279" s="46" t="inlineStr">
        <is>
          <t>R_0276</t>
        </is>
      </c>
      <c r="B279" s="46" t="inlineStr">
        <is>
          <t>S_S2_SC03_I02</t>
        </is>
      </c>
      <c r="C279" s="46" t="inlineStr">
        <is>
          <t>Strategy 2 – Zero-Shot + Template + BLUF</t>
        </is>
      </c>
      <c r="D279" s="75" t="inlineStr">
        <is>
          <t>SC03</t>
        </is>
      </c>
      <c r="E279" s="46" t="inlineStr">
        <is>
          <t>Supply Chain</t>
        </is>
      </c>
      <c r="F279" s="74" t="n"/>
    </row>
    <row r="280" ht="13.5" customHeight="1" s="38">
      <c r="A280" s="46" t="inlineStr">
        <is>
          <t>R_0277</t>
        </is>
      </c>
      <c r="B280" s="46" t="inlineStr">
        <is>
          <t>S_S4_SC05_I10</t>
        </is>
      </c>
      <c r="C280" s="46" t="inlineStr">
        <is>
          <t>Strategy 4 – One-Shot + Template + BLUF</t>
        </is>
      </c>
      <c r="D280" s="75" t="inlineStr">
        <is>
          <t>SC05</t>
        </is>
      </c>
      <c r="E280" s="46" t="inlineStr">
        <is>
          <t>Supply Chain</t>
        </is>
      </c>
      <c r="F280" s="74" t="n"/>
    </row>
    <row r="281" ht="13.5" customHeight="1" s="38">
      <c r="A281" s="46" t="inlineStr">
        <is>
          <t>R_0278</t>
        </is>
      </c>
      <c r="B281" s="46" t="inlineStr">
        <is>
          <t>Z_S1_SC02_I06</t>
        </is>
      </c>
      <c r="C281" s="46" t="inlineStr">
        <is>
          <t>Strategy 1 – Zero-Shot + Structured Template</t>
        </is>
      </c>
      <c r="D281" s="75" t="inlineStr">
        <is>
          <t>SC02</t>
        </is>
      </c>
      <c r="E281" s="46" t="inlineStr">
        <is>
          <t>Zero-Day / Edge Device</t>
        </is>
      </c>
      <c r="F281" s="74" t="n"/>
    </row>
    <row r="282" ht="13.5" customHeight="1" s="38">
      <c r="A282" s="46" t="inlineStr">
        <is>
          <t>R_0279</t>
        </is>
      </c>
      <c r="B282" s="46" t="inlineStr">
        <is>
          <t>B_S2_SC04_I04</t>
        </is>
      </c>
      <c r="C282" s="46" t="inlineStr">
        <is>
          <t>Strategy 2 – Zero-Shot + Template + BLUF</t>
        </is>
      </c>
      <c r="D282" s="75" t="inlineStr">
        <is>
          <t>SC04</t>
        </is>
      </c>
      <c r="E282" s="46" t="inlineStr">
        <is>
          <t>Business Email Compromise</t>
        </is>
      </c>
      <c r="F282" s="74" t="n"/>
    </row>
    <row r="283" ht="13.5" customHeight="1" s="38">
      <c r="A283" s="46" t="inlineStr">
        <is>
          <t>R_0280</t>
        </is>
      </c>
      <c r="B283" s="46" t="inlineStr">
        <is>
          <t>S_S1_SC05_I08</t>
        </is>
      </c>
      <c r="C283" s="46" t="inlineStr">
        <is>
          <t>Strategy 1 – Zero-Shot + Structured Template</t>
        </is>
      </c>
      <c r="D283" s="75" t="inlineStr">
        <is>
          <t>SC05</t>
        </is>
      </c>
      <c r="E283" s="46" t="inlineStr">
        <is>
          <t>Supply Chain</t>
        </is>
      </c>
      <c r="F283" s="74" t="n"/>
    </row>
    <row r="284" ht="13.5" customHeight="1" s="38">
      <c r="A284" s="46" t="inlineStr">
        <is>
          <t>R_0281</t>
        </is>
      </c>
      <c r="B284" s="46" t="inlineStr">
        <is>
          <t>R_S2_SC04_I02</t>
        </is>
      </c>
      <c r="C284" s="46" t="inlineStr">
        <is>
          <t>Strategy 2 – Zero-Shot + Template + BLUF</t>
        </is>
      </c>
      <c r="D284" s="75" t="inlineStr">
        <is>
          <t>SC04</t>
        </is>
      </c>
      <c r="E284" s="46" t="inlineStr">
        <is>
          <t>Ransomware</t>
        </is>
      </c>
      <c r="F284" s="74" t="n"/>
    </row>
    <row r="285" ht="13.5" customHeight="1" s="38">
      <c r="A285" s="46" t="inlineStr">
        <is>
          <t>R_0282</t>
        </is>
      </c>
      <c r="B285" s="46" t="inlineStr">
        <is>
          <t>R_S0_SC02_I10</t>
        </is>
      </c>
      <c r="C285" s="46" t="inlineStr">
        <is>
          <t>Baseline – Zero-Shot (minimal instruction)</t>
        </is>
      </c>
      <c r="D285" s="75" t="inlineStr">
        <is>
          <t>SC02</t>
        </is>
      </c>
      <c r="E285" s="46" t="inlineStr">
        <is>
          <t>Ransomware</t>
        </is>
      </c>
      <c r="F285" s="74" t="n"/>
    </row>
    <row r="286" ht="13.5" customHeight="1" s="38">
      <c r="A286" s="46" t="inlineStr">
        <is>
          <t>R_0283</t>
        </is>
      </c>
      <c r="B286" s="46" t="inlineStr">
        <is>
          <t>S_S1_SC04_I01</t>
        </is>
      </c>
      <c r="C286" s="46" t="inlineStr">
        <is>
          <t>Strategy 1 – Zero-Shot + Structured Template</t>
        </is>
      </c>
      <c r="D286" s="75" t="inlineStr">
        <is>
          <t>SC04</t>
        </is>
      </c>
      <c r="E286" s="46" t="inlineStr">
        <is>
          <t>Supply Chain</t>
        </is>
      </c>
      <c r="F286" s="74" t="n"/>
    </row>
    <row r="287" ht="13.5" customHeight="1" s="38">
      <c r="A287" s="46" t="inlineStr">
        <is>
          <t>R_0284</t>
        </is>
      </c>
      <c r="B287" s="46" t="inlineStr">
        <is>
          <t>B_S2_SC03_I02</t>
        </is>
      </c>
      <c r="C287" s="46" t="inlineStr">
        <is>
          <t>Strategy 2 – Zero-Shot + Template + BLUF</t>
        </is>
      </c>
      <c r="D287" s="75" t="inlineStr">
        <is>
          <t>SC03</t>
        </is>
      </c>
      <c r="E287" s="46" t="inlineStr">
        <is>
          <t>Business Email Compromise</t>
        </is>
      </c>
      <c r="F287" s="74" t="n"/>
    </row>
    <row r="288" ht="13.5" customHeight="1" s="38">
      <c r="A288" s="46" t="inlineStr">
        <is>
          <t>R_0285</t>
        </is>
      </c>
      <c r="B288" s="46" t="inlineStr">
        <is>
          <t>B_S4_SC03_I10</t>
        </is>
      </c>
      <c r="C288" s="46" t="inlineStr">
        <is>
          <t>Strategy 4 – One-Shot + Template + BLUF</t>
        </is>
      </c>
      <c r="D288" s="75" t="inlineStr">
        <is>
          <t>SC03</t>
        </is>
      </c>
      <c r="E288" s="46" t="inlineStr">
        <is>
          <t>Business Email Compromise</t>
        </is>
      </c>
      <c r="F288" s="74" t="n"/>
    </row>
    <row r="289" ht="13.5" customHeight="1" s="38">
      <c r="A289" s="46" t="inlineStr">
        <is>
          <t>R_0286</t>
        </is>
      </c>
      <c r="B289" s="46" t="inlineStr">
        <is>
          <t>Z_S3_SC03_I10</t>
        </is>
      </c>
      <c r="C289" s="46" t="inlineStr">
        <is>
          <t>Strategy 3 – One-Shot + Structured Template</t>
        </is>
      </c>
      <c r="D289" s="75" t="inlineStr">
        <is>
          <t>SC03</t>
        </is>
      </c>
      <c r="E289" s="46" t="inlineStr">
        <is>
          <t>Zero-Day / Edge Device</t>
        </is>
      </c>
      <c r="F289" s="74" t="n"/>
    </row>
    <row r="290" ht="13.5" customHeight="1" s="38">
      <c r="A290" s="46" t="inlineStr">
        <is>
          <t>R_0287</t>
        </is>
      </c>
      <c r="B290" s="46" t="inlineStr">
        <is>
          <t>B_S1_SC01_I06</t>
        </is>
      </c>
      <c r="C290" s="46" t="inlineStr">
        <is>
          <t>Strategy 1 – Zero-Shot + Structured Template</t>
        </is>
      </c>
      <c r="D290" s="75" t="inlineStr">
        <is>
          <t>SC01</t>
        </is>
      </c>
      <c r="E290" s="46" t="inlineStr">
        <is>
          <t>Business Email Compromise</t>
        </is>
      </c>
      <c r="F290" s="74" t="n"/>
    </row>
    <row r="291" ht="13.5" customHeight="1" s="38">
      <c r="A291" s="46" t="inlineStr">
        <is>
          <t>R_0288</t>
        </is>
      </c>
      <c r="B291" s="46" t="inlineStr">
        <is>
          <t>Z_S0_SC02_I06</t>
        </is>
      </c>
      <c r="C291" s="46" t="inlineStr">
        <is>
          <t>Baseline – Zero-Shot (minimal instruction)</t>
        </is>
      </c>
      <c r="D291" s="75" t="inlineStr">
        <is>
          <t>SC02</t>
        </is>
      </c>
      <c r="E291" s="46" t="inlineStr">
        <is>
          <t>Zero-Day / Edge Device</t>
        </is>
      </c>
      <c r="F291" s="74" t="n"/>
    </row>
    <row r="292" ht="13.5" customHeight="1" s="38">
      <c r="A292" s="46" t="inlineStr">
        <is>
          <t>R_0289</t>
        </is>
      </c>
      <c r="B292" s="46" t="inlineStr">
        <is>
          <t>B_S2_SC04_I03</t>
        </is>
      </c>
      <c r="C292" s="46" t="inlineStr">
        <is>
          <t>Strategy 2 – Zero-Shot + Template + BLUF</t>
        </is>
      </c>
      <c r="D292" s="75" t="inlineStr">
        <is>
          <t>SC04</t>
        </is>
      </c>
      <c r="E292" s="46" t="inlineStr">
        <is>
          <t>Business Email Compromise</t>
        </is>
      </c>
      <c r="F292" s="74" t="n"/>
    </row>
    <row r="293" ht="13.5" customHeight="1" s="38">
      <c r="A293" s="46" t="inlineStr">
        <is>
          <t>R_0290</t>
        </is>
      </c>
      <c r="B293" s="46" t="inlineStr">
        <is>
          <t>R_S1_SC03_I08</t>
        </is>
      </c>
      <c r="C293" s="46" t="inlineStr">
        <is>
          <t>Strategy 1 – Zero-Shot + Structured Template</t>
        </is>
      </c>
      <c r="D293" s="75" t="inlineStr">
        <is>
          <t>SC03</t>
        </is>
      </c>
      <c r="E293" s="46" t="inlineStr">
        <is>
          <t>Ransomware</t>
        </is>
      </c>
      <c r="F293" s="74" t="n"/>
    </row>
    <row r="294" ht="13.5" customHeight="1" s="38">
      <c r="A294" s="46" t="inlineStr">
        <is>
          <t>R_0291</t>
        </is>
      </c>
      <c r="B294" s="46" t="inlineStr">
        <is>
          <t>R_S0_SC04_I08</t>
        </is>
      </c>
      <c r="C294" s="46" t="inlineStr">
        <is>
          <t>Baseline – Zero-Shot (minimal instruction)</t>
        </is>
      </c>
      <c r="D294" s="75" t="inlineStr">
        <is>
          <t>SC04</t>
        </is>
      </c>
      <c r="E294" s="46" t="inlineStr">
        <is>
          <t>Ransomware</t>
        </is>
      </c>
      <c r="F294" s="74" t="n"/>
    </row>
    <row r="295" ht="13.5" customHeight="1" s="38">
      <c r="A295" s="46" t="inlineStr">
        <is>
          <t>R_0292</t>
        </is>
      </c>
      <c r="B295" s="46" t="inlineStr">
        <is>
          <t>B_S2_SC05_I10</t>
        </is>
      </c>
      <c r="C295" s="46" t="inlineStr">
        <is>
          <t>Strategy 2 – Zero-Shot + Template + BLUF</t>
        </is>
      </c>
      <c r="D295" s="75" t="inlineStr">
        <is>
          <t>SC05</t>
        </is>
      </c>
      <c r="E295" s="46" t="inlineStr">
        <is>
          <t>Business Email Compromise</t>
        </is>
      </c>
      <c r="F295" s="74" t="n"/>
    </row>
    <row r="296" ht="13.5" customHeight="1" s="38">
      <c r="A296" s="46" t="inlineStr">
        <is>
          <t>R_0293</t>
        </is>
      </c>
      <c r="B296" s="46" t="inlineStr">
        <is>
          <t>S_S3_SC02_I06</t>
        </is>
      </c>
      <c r="C296" s="46" t="inlineStr">
        <is>
          <t>Strategy 3 – One-Shot + Structured Template</t>
        </is>
      </c>
      <c r="D296" s="75" t="inlineStr">
        <is>
          <t>SC02</t>
        </is>
      </c>
      <c r="E296" s="46" t="inlineStr">
        <is>
          <t>Supply Chain</t>
        </is>
      </c>
      <c r="F296" s="74" t="n"/>
    </row>
    <row r="297" ht="13.5" customHeight="1" s="38">
      <c r="A297" s="46" t="inlineStr">
        <is>
          <t>R_0294</t>
        </is>
      </c>
      <c r="B297" s="46" t="inlineStr">
        <is>
          <t>R_S0_SC05_I04</t>
        </is>
      </c>
      <c r="C297" s="46" t="inlineStr">
        <is>
          <t>Baseline – Zero-Shot (minimal instruction)</t>
        </is>
      </c>
      <c r="D297" s="75" t="inlineStr">
        <is>
          <t>SC05</t>
        </is>
      </c>
      <c r="E297" s="46" t="inlineStr">
        <is>
          <t>Ransomware</t>
        </is>
      </c>
      <c r="F297" s="74" t="n"/>
    </row>
    <row r="298" ht="13.5" customHeight="1" s="38">
      <c r="A298" s="46" t="inlineStr">
        <is>
          <t>R_0295</t>
        </is>
      </c>
      <c r="B298" s="46" t="inlineStr">
        <is>
          <t>B_S1_SC04_I04</t>
        </is>
      </c>
      <c r="C298" s="46" t="inlineStr">
        <is>
          <t>Strategy 1 – Zero-Shot + Structured Template</t>
        </is>
      </c>
      <c r="D298" s="75" t="inlineStr">
        <is>
          <t>SC04</t>
        </is>
      </c>
      <c r="E298" s="46" t="inlineStr">
        <is>
          <t>Business Email Compromise</t>
        </is>
      </c>
      <c r="F298" s="74" t="n"/>
    </row>
    <row r="299" ht="13.5" customHeight="1" s="38">
      <c r="A299" s="46" t="inlineStr">
        <is>
          <t>R_0296</t>
        </is>
      </c>
      <c r="B299" s="46" t="inlineStr">
        <is>
          <t>S_S2_SC04_I02</t>
        </is>
      </c>
      <c r="C299" s="46" t="inlineStr">
        <is>
          <t>Strategy 2 – Zero-Shot + Template + BLUF</t>
        </is>
      </c>
      <c r="D299" s="75" t="inlineStr">
        <is>
          <t>SC04</t>
        </is>
      </c>
      <c r="E299" s="46" t="inlineStr">
        <is>
          <t>Supply Chain</t>
        </is>
      </c>
      <c r="F299" s="74" t="n"/>
    </row>
    <row r="300" ht="13.5" customHeight="1" s="38">
      <c r="A300" s="46" t="inlineStr">
        <is>
          <t>R_0297</t>
        </is>
      </c>
      <c r="B300" s="46" t="inlineStr">
        <is>
          <t>Z_S4_SC04_I01</t>
        </is>
      </c>
      <c r="C300" s="46" t="inlineStr">
        <is>
          <t>Strategy 4 – One-Shot + Template + BLUF</t>
        </is>
      </c>
      <c r="D300" s="75" t="inlineStr">
        <is>
          <t>SC04</t>
        </is>
      </c>
      <c r="E300" s="46" t="inlineStr">
        <is>
          <t>Zero-Day / Edge Device</t>
        </is>
      </c>
      <c r="F300" s="74" t="n"/>
    </row>
    <row r="301" ht="13.5" customHeight="1" s="38">
      <c r="A301" s="46" t="inlineStr">
        <is>
          <t>R_0298</t>
        </is>
      </c>
      <c r="B301" s="46" t="inlineStr">
        <is>
          <t>S_S2_SC05_I09</t>
        </is>
      </c>
      <c r="C301" s="46" t="inlineStr">
        <is>
          <t>Strategy 2 – Zero-Shot + Template + BLUF</t>
        </is>
      </c>
      <c r="D301" s="75" t="inlineStr">
        <is>
          <t>SC05</t>
        </is>
      </c>
      <c r="E301" s="46" t="inlineStr">
        <is>
          <t>Supply Chain</t>
        </is>
      </c>
      <c r="F301" s="74" t="n"/>
    </row>
    <row r="302" ht="13.5" customHeight="1" s="38">
      <c r="A302" s="46" t="inlineStr">
        <is>
          <t>R_0299</t>
        </is>
      </c>
      <c r="B302" s="46" t="inlineStr">
        <is>
          <t>R_S0_SC03_I08</t>
        </is>
      </c>
      <c r="C302" s="46" t="inlineStr">
        <is>
          <t>Baseline – Zero-Shot (minimal instruction)</t>
        </is>
      </c>
      <c r="D302" s="75" t="inlineStr">
        <is>
          <t>SC03</t>
        </is>
      </c>
      <c r="E302" s="46" t="inlineStr">
        <is>
          <t>Ransomware</t>
        </is>
      </c>
      <c r="F302" s="74" t="n"/>
    </row>
    <row r="303" ht="13.5" customHeight="1" s="38">
      <c r="A303" s="46" t="inlineStr">
        <is>
          <t>R_0300</t>
        </is>
      </c>
      <c r="B303" s="46" t="inlineStr">
        <is>
          <t>Z_S1_SC01_I09</t>
        </is>
      </c>
      <c r="C303" s="46" t="inlineStr">
        <is>
          <t>Strategy 1 – Zero-Shot + Structured Template</t>
        </is>
      </c>
      <c r="D303" s="75" t="inlineStr">
        <is>
          <t>SC01</t>
        </is>
      </c>
      <c r="E303" s="46" t="inlineStr">
        <is>
          <t>Zero-Day / Edge Device</t>
        </is>
      </c>
      <c r="F303" s="74" t="n"/>
    </row>
    <row r="304" ht="13.5" customHeight="1" s="38">
      <c r="A304" s="46" t="inlineStr">
        <is>
          <t>R_0301</t>
        </is>
      </c>
      <c r="B304" s="46" t="inlineStr">
        <is>
          <t>Z_S4_SC05_I06</t>
        </is>
      </c>
      <c r="C304" s="46" t="inlineStr">
        <is>
          <t>Strategy 4 – One-Shot + Template + BLUF</t>
        </is>
      </c>
      <c r="D304" s="75" t="inlineStr">
        <is>
          <t>SC05</t>
        </is>
      </c>
      <c r="E304" s="46" t="inlineStr">
        <is>
          <t>Zero-Day / Edge Device</t>
        </is>
      </c>
      <c r="F304" s="74" t="n"/>
    </row>
    <row r="305" ht="13.5" customHeight="1" s="38">
      <c r="A305" s="46" t="inlineStr">
        <is>
          <t>R_0302</t>
        </is>
      </c>
      <c r="B305" s="46" t="inlineStr">
        <is>
          <t>R_S0_SC04_I01</t>
        </is>
      </c>
      <c r="C305" s="46" t="inlineStr">
        <is>
          <t>Baseline – Zero-Shot (minimal instruction)</t>
        </is>
      </c>
      <c r="D305" s="75" t="inlineStr">
        <is>
          <t>SC04</t>
        </is>
      </c>
      <c r="E305" s="46" t="inlineStr">
        <is>
          <t>Ransomware</t>
        </is>
      </c>
      <c r="F305" s="74" t="n"/>
    </row>
    <row r="306" ht="13.5" customHeight="1" s="38">
      <c r="A306" s="46" t="inlineStr">
        <is>
          <t>R_0303</t>
        </is>
      </c>
      <c r="B306" s="46" t="inlineStr">
        <is>
          <t>Z_S0_SC02_I02</t>
        </is>
      </c>
      <c r="C306" s="46" t="inlineStr">
        <is>
          <t>Baseline – Zero-Shot (minimal instruction)</t>
        </is>
      </c>
      <c r="D306" s="75" t="inlineStr">
        <is>
          <t>SC02</t>
        </is>
      </c>
      <c r="E306" s="46" t="inlineStr">
        <is>
          <t>Zero-Day / Edge Device</t>
        </is>
      </c>
      <c r="F306" s="74" t="n"/>
    </row>
    <row r="307" ht="13.5" customHeight="1" s="38">
      <c r="A307" s="46" t="inlineStr">
        <is>
          <t>R_0304</t>
        </is>
      </c>
      <c r="B307" s="46" t="inlineStr">
        <is>
          <t>S_S3_SC01_I10</t>
        </is>
      </c>
      <c r="C307" s="46" t="inlineStr">
        <is>
          <t>Strategy 3 – One-Shot + Structured Template</t>
        </is>
      </c>
      <c r="D307" s="75" t="inlineStr">
        <is>
          <t>SC01</t>
        </is>
      </c>
      <c r="E307" s="46" t="inlineStr">
        <is>
          <t>Supply Chain</t>
        </is>
      </c>
      <c r="F307" s="74" t="n"/>
    </row>
    <row r="308" ht="13.5" customHeight="1" s="38">
      <c r="A308" s="46" t="inlineStr">
        <is>
          <t>R_0305</t>
        </is>
      </c>
      <c r="B308" s="46" t="inlineStr">
        <is>
          <t>B_S1_SC01_I05</t>
        </is>
      </c>
      <c r="C308" s="46" t="inlineStr">
        <is>
          <t>Strategy 1 – Zero-Shot + Structured Template</t>
        </is>
      </c>
      <c r="D308" s="75" t="inlineStr">
        <is>
          <t>SC01</t>
        </is>
      </c>
      <c r="E308" s="46" t="inlineStr">
        <is>
          <t>Business Email Compromise</t>
        </is>
      </c>
      <c r="F308" s="74" t="n"/>
    </row>
    <row r="309" ht="13.5" customHeight="1" s="38">
      <c r="A309" s="46" t="inlineStr">
        <is>
          <t>R_0306</t>
        </is>
      </c>
      <c r="B309" s="46" t="inlineStr">
        <is>
          <t>R_S4_SC01_I08</t>
        </is>
      </c>
      <c r="C309" s="46" t="inlineStr">
        <is>
          <t>Strategy 4 – One-Shot + Template + BLUF</t>
        </is>
      </c>
      <c r="D309" s="75" t="inlineStr">
        <is>
          <t>SC01</t>
        </is>
      </c>
      <c r="E309" s="46" t="inlineStr">
        <is>
          <t>Ransomware</t>
        </is>
      </c>
      <c r="F309" s="74" t="n"/>
    </row>
    <row r="310" ht="13.5" customHeight="1" s="38">
      <c r="A310" s="46" t="inlineStr">
        <is>
          <t>R_0307</t>
        </is>
      </c>
      <c r="B310" s="46" t="inlineStr">
        <is>
          <t>B_S2_SC05_I02</t>
        </is>
      </c>
      <c r="C310" s="46" t="inlineStr">
        <is>
          <t>Strategy 2 – Zero-Shot + Template + BLUF</t>
        </is>
      </c>
      <c r="D310" s="75" t="inlineStr">
        <is>
          <t>SC05</t>
        </is>
      </c>
      <c r="E310" s="46" t="inlineStr">
        <is>
          <t>Business Email Compromise</t>
        </is>
      </c>
      <c r="F310" s="74" t="n"/>
    </row>
    <row r="311" ht="13.5" customHeight="1" s="38">
      <c r="A311" s="46" t="inlineStr">
        <is>
          <t>R_0308</t>
        </is>
      </c>
      <c r="B311" s="46" t="inlineStr">
        <is>
          <t>R_S3_SC02_I08</t>
        </is>
      </c>
      <c r="C311" s="46" t="inlineStr">
        <is>
          <t>Strategy 3 – One-Shot + Structured Template</t>
        </is>
      </c>
      <c r="D311" s="75" t="inlineStr">
        <is>
          <t>SC02</t>
        </is>
      </c>
      <c r="E311" s="46" t="inlineStr">
        <is>
          <t>Ransomware</t>
        </is>
      </c>
      <c r="F311" s="74" t="n"/>
    </row>
    <row r="312" ht="13.5" customHeight="1" s="38">
      <c r="A312" s="46" t="inlineStr">
        <is>
          <t>R_0309</t>
        </is>
      </c>
      <c r="B312" s="46" t="inlineStr">
        <is>
          <t>R_S1_SC05_I10</t>
        </is>
      </c>
      <c r="C312" s="46" t="inlineStr">
        <is>
          <t>Strategy 1 – Zero-Shot + Structured Template</t>
        </is>
      </c>
      <c r="D312" s="75" t="inlineStr">
        <is>
          <t>SC05</t>
        </is>
      </c>
      <c r="E312" s="46" t="inlineStr">
        <is>
          <t>Ransomware</t>
        </is>
      </c>
      <c r="F312" s="74" t="n"/>
    </row>
    <row r="313" ht="13.5" customHeight="1" s="38">
      <c r="A313" s="46" t="inlineStr">
        <is>
          <t>R_0310</t>
        </is>
      </c>
      <c r="B313" s="46" t="inlineStr">
        <is>
          <t>B_S2_SC05_I06</t>
        </is>
      </c>
      <c r="C313" s="46" t="inlineStr">
        <is>
          <t>Strategy 2 – Zero-Shot + Template + BLUF</t>
        </is>
      </c>
      <c r="D313" s="75" t="inlineStr">
        <is>
          <t>SC05</t>
        </is>
      </c>
      <c r="E313" s="46" t="inlineStr">
        <is>
          <t>Business Email Compromise</t>
        </is>
      </c>
      <c r="F313" s="74" t="n"/>
    </row>
    <row r="314" ht="13.5" customHeight="1" s="38">
      <c r="A314" s="46" t="inlineStr">
        <is>
          <t>R_0311</t>
        </is>
      </c>
      <c r="B314" s="46" t="inlineStr">
        <is>
          <t>S_S2_SC04_I07</t>
        </is>
      </c>
      <c r="C314" s="46" t="inlineStr">
        <is>
          <t>Strategy 2 – Zero-Shot + Template + BLUF</t>
        </is>
      </c>
      <c r="D314" s="75" t="inlineStr">
        <is>
          <t>SC04</t>
        </is>
      </c>
      <c r="E314" s="46" t="inlineStr">
        <is>
          <t>Supply Chain</t>
        </is>
      </c>
      <c r="F314" s="74" t="n"/>
    </row>
    <row r="315" ht="13.5" customHeight="1" s="38">
      <c r="A315" s="46" t="inlineStr">
        <is>
          <t>R_0312</t>
        </is>
      </c>
      <c r="B315" s="46" t="inlineStr">
        <is>
          <t>S_S0_SC01_I02</t>
        </is>
      </c>
      <c r="C315" s="46" t="inlineStr">
        <is>
          <t>Baseline – Zero-Shot (minimal instruction)</t>
        </is>
      </c>
      <c r="D315" s="75" t="inlineStr">
        <is>
          <t>SC01</t>
        </is>
      </c>
      <c r="E315" s="46" t="inlineStr">
        <is>
          <t>Supply Chain</t>
        </is>
      </c>
      <c r="F315" s="74" t="n"/>
    </row>
    <row r="316" ht="13.5" customHeight="1" s="38">
      <c r="A316" s="46" t="inlineStr">
        <is>
          <t>R_0313</t>
        </is>
      </c>
      <c r="B316" s="46" t="inlineStr">
        <is>
          <t>Z_S2_SC03_I03</t>
        </is>
      </c>
      <c r="C316" s="46" t="inlineStr">
        <is>
          <t>Strategy 2 – Zero-Shot + Template + BLUF</t>
        </is>
      </c>
      <c r="D316" s="75" t="inlineStr">
        <is>
          <t>SC03</t>
        </is>
      </c>
      <c r="E316" s="46" t="inlineStr">
        <is>
          <t>Zero-Day / Edge Device</t>
        </is>
      </c>
      <c r="F316" s="74" t="n"/>
    </row>
    <row r="317" ht="13.5" customHeight="1" s="38">
      <c r="A317" s="46" t="inlineStr">
        <is>
          <t>R_0314</t>
        </is>
      </c>
      <c r="B317" s="46" t="inlineStr">
        <is>
          <t>B_S1_SC01_I02</t>
        </is>
      </c>
      <c r="C317" s="46" t="inlineStr">
        <is>
          <t>Strategy 1 – Zero-Shot + Structured Template</t>
        </is>
      </c>
      <c r="D317" s="75" t="inlineStr">
        <is>
          <t>SC01</t>
        </is>
      </c>
      <c r="E317" s="46" t="inlineStr">
        <is>
          <t>Business Email Compromise</t>
        </is>
      </c>
      <c r="F317" s="74" t="n"/>
    </row>
    <row r="318" ht="13.5" customHeight="1" s="38">
      <c r="A318" s="46" t="inlineStr">
        <is>
          <t>R_0315</t>
        </is>
      </c>
      <c r="B318" s="46" t="inlineStr">
        <is>
          <t>B_S3_SC04_I09</t>
        </is>
      </c>
      <c r="C318" s="46" t="inlineStr">
        <is>
          <t>Strategy 3 – One-Shot + Structured Template</t>
        </is>
      </c>
      <c r="D318" s="75" t="inlineStr">
        <is>
          <t>SC04</t>
        </is>
      </c>
      <c r="E318" s="46" t="inlineStr">
        <is>
          <t>Business Email Compromise</t>
        </is>
      </c>
      <c r="F318" s="74" t="n"/>
    </row>
    <row r="319" ht="13.5" customHeight="1" s="38">
      <c r="A319" s="46" t="inlineStr">
        <is>
          <t>R_0316</t>
        </is>
      </c>
      <c r="B319" s="46" t="inlineStr">
        <is>
          <t>B_S2_SC01_I02</t>
        </is>
      </c>
      <c r="C319" s="46" t="inlineStr">
        <is>
          <t>Strategy 2 – Zero-Shot + Template + BLUF</t>
        </is>
      </c>
      <c r="D319" s="75" t="inlineStr">
        <is>
          <t>SC01</t>
        </is>
      </c>
      <c r="E319" s="46" t="inlineStr">
        <is>
          <t>Business Email Compromise</t>
        </is>
      </c>
      <c r="F319" s="74" t="n"/>
    </row>
    <row r="320" ht="13.5" customHeight="1" s="38">
      <c r="A320" s="46" t="inlineStr">
        <is>
          <t>R_0317</t>
        </is>
      </c>
      <c r="B320" s="46" t="inlineStr">
        <is>
          <t>B_S0_SC05_I06</t>
        </is>
      </c>
      <c r="C320" s="46" t="inlineStr">
        <is>
          <t>Baseline – Zero-Shot (minimal instruction)</t>
        </is>
      </c>
      <c r="D320" s="75" t="inlineStr">
        <is>
          <t>SC05</t>
        </is>
      </c>
      <c r="E320" s="46" t="inlineStr">
        <is>
          <t>Business Email Compromise</t>
        </is>
      </c>
      <c r="F320" s="74" t="n"/>
    </row>
    <row r="321" ht="13.5" customHeight="1" s="38">
      <c r="A321" s="46" t="inlineStr">
        <is>
          <t>R_0318</t>
        </is>
      </c>
      <c r="B321" s="46" t="inlineStr">
        <is>
          <t>R_S2_SC01_I03</t>
        </is>
      </c>
      <c r="C321" s="46" t="inlineStr">
        <is>
          <t>Strategy 2 – Zero-Shot + Template + BLUF</t>
        </is>
      </c>
      <c r="D321" s="75" t="inlineStr">
        <is>
          <t>SC01</t>
        </is>
      </c>
      <c r="E321" s="46" t="inlineStr">
        <is>
          <t>Ransomware</t>
        </is>
      </c>
      <c r="F321" s="74" t="n"/>
    </row>
    <row r="322" ht="13.5" customHeight="1" s="38">
      <c r="A322" s="46" t="inlineStr">
        <is>
          <t>R_0319</t>
        </is>
      </c>
      <c r="B322" s="46" t="inlineStr">
        <is>
          <t>Z_S1_SC02_I04</t>
        </is>
      </c>
      <c r="C322" s="46" t="inlineStr">
        <is>
          <t>Strategy 1 – Zero-Shot + Structured Template</t>
        </is>
      </c>
      <c r="D322" s="75" t="inlineStr">
        <is>
          <t>SC02</t>
        </is>
      </c>
      <c r="E322" s="46" t="inlineStr">
        <is>
          <t>Zero-Day / Edge Device</t>
        </is>
      </c>
      <c r="F322" s="74" t="n"/>
    </row>
    <row r="323" ht="13.5" customHeight="1" s="38">
      <c r="A323" s="46" t="inlineStr">
        <is>
          <t>R_0320</t>
        </is>
      </c>
      <c r="B323" s="46" t="inlineStr">
        <is>
          <t>B_S3_SC02_I01</t>
        </is>
      </c>
      <c r="C323" s="46" t="inlineStr">
        <is>
          <t>Strategy 3 – One-Shot + Structured Template</t>
        </is>
      </c>
      <c r="D323" s="75" t="inlineStr">
        <is>
          <t>SC02</t>
        </is>
      </c>
      <c r="E323" s="46" t="inlineStr">
        <is>
          <t>Business Email Compromise</t>
        </is>
      </c>
      <c r="F323" s="74" t="n"/>
    </row>
    <row r="324" ht="13.5" customHeight="1" s="38">
      <c r="A324" s="46" t="inlineStr">
        <is>
          <t>R_0321</t>
        </is>
      </c>
      <c r="B324" s="46" t="inlineStr">
        <is>
          <t>Z_S1_SC04_I08</t>
        </is>
      </c>
      <c r="C324" s="46" t="inlineStr">
        <is>
          <t>Strategy 1 – Zero-Shot + Structured Template</t>
        </is>
      </c>
      <c r="D324" s="75" t="inlineStr">
        <is>
          <t>SC04</t>
        </is>
      </c>
      <c r="E324" s="46" t="inlineStr">
        <is>
          <t>Zero-Day / Edge Device</t>
        </is>
      </c>
      <c r="F324" s="74" t="n"/>
    </row>
    <row r="325" ht="13.5" customHeight="1" s="38">
      <c r="A325" s="46" t="inlineStr">
        <is>
          <t>R_0322</t>
        </is>
      </c>
      <c r="B325" s="46" t="inlineStr">
        <is>
          <t>S_S3_SC01_I04</t>
        </is>
      </c>
      <c r="C325" s="46" t="inlineStr">
        <is>
          <t>Strategy 3 – One-Shot + Structured Template</t>
        </is>
      </c>
      <c r="D325" s="75" t="inlineStr">
        <is>
          <t>SC01</t>
        </is>
      </c>
      <c r="E325" s="46" t="inlineStr">
        <is>
          <t>Supply Chain</t>
        </is>
      </c>
      <c r="F325" s="74" t="n"/>
    </row>
    <row r="326" ht="13.5" customHeight="1" s="38">
      <c r="A326" s="46" t="inlineStr">
        <is>
          <t>R_0323</t>
        </is>
      </c>
      <c r="B326" s="46" t="inlineStr">
        <is>
          <t>S_S4_SC03_I08</t>
        </is>
      </c>
      <c r="C326" s="46" t="inlineStr">
        <is>
          <t>Strategy 4 – One-Shot + Template + BLUF</t>
        </is>
      </c>
      <c r="D326" s="75" t="inlineStr">
        <is>
          <t>SC03</t>
        </is>
      </c>
      <c r="E326" s="46" t="inlineStr">
        <is>
          <t>Supply Chain</t>
        </is>
      </c>
      <c r="F326" s="74" t="n"/>
    </row>
    <row r="327" ht="13.5" customHeight="1" s="38">
      <c r="A327" s="46" t="inlineStr">
        <is>
          <t>R_0324</t>
        </is>
      </c>
      <c r="B327" s="46" t="inlineStr">
        <is>
          <t>S_S4_SC04_I05</t>
        </is>
      </c>
      <c r="C327" s="46" t="inlineStr">
        <is>
          <t>Strategy 4 – One-Shot + Template + BLUF</t>
        </is>
      </c>
      <c r="D327" s="75" t="inlineStr">
        <is>
          <t>SC04</t>
        </is>
      </c>
      <c r="E327" s="46" t="inlineStr">
        <is>
          <t>Supply Chain</t>
        </is>
      </c>
      <c r="F327" s="74" t="n"/>
    </row>
    <row r="328" ht="13.5" customHeight="1" s="38">
      <c r="A328" s="46" t="inlineStr">
        <is>
          <t>R_0325</t>
        </is>
      </c>
      <c r="B328" s="46" t="inlineStr">
        <is>
          <t>R_S2_SC01_I04</t>
        </is>
      </c>
      <c r="C328" s="46" t="inlineStr">
        <is>
          <t>Strategy 2 – Zero-Shot + Template + BLUF</t>
        </is>
      </c>
      <c r="D328" s="75" t="inlineStr">
        <is>
          <t>SC01</t>
        </is>
      </c>
      <c r="E328" s="46" t="inlineStr">
        <is>
          <t>Ransomware</t>
        </is>
      </c>
      <c r="F328" s="74" t="n"/>
    </row>
    <row r="329" ht="13.5" customHeight="1" s="38">
      <c r="A329" s="46" t="inlineStr">
        <is>
          <t>R_0326</t>
        </is>
      </c>
      <c r="B329" s="46" t="inlineStr">
        <is>
          <t>Z_S0_SC05_I07</t>
        </is>
      </c>
      <c r="C329" s="46" t="inlineStr">
        <is>
          <t>Baseline – Zero-Shot (minimal instruction)</t>
        </is>
      </c>
      <c r="D329" s="75" t="inlineStr">
        <is>
          <t>SC05</t>
        </is>
      </c>
      <c r="E329" s="46" t="inlineStr">
        <is>
          <t>Zero-Day / Edge Device</t>
        </is>
      </c>
      <c r="F329" s="74" t="n"/>
    </row>
    <row r="330" ht="13.5" customHeight="1" s="38">
      <c r="A330" s="46" t="inlineStr">
        <is>
          <t>R_0327</t>
        </is>
      </c>
      <c r="B330" s="46" t="inlineStr">
        <is>
          <t>Z_S1_SC05_I02</t>
        </is>
      </c>
      <c r="C330" s="46" t="inlineStr">
        <is>
          <t>Strategy 1 – Zero-Shot + Structured Template</t>
        </is>
      </c>
      <c r="D330" s="75" t="inlineStr">
        <is>
          <t>SC05</t>
        </is>
      </c>
      <c r="E330" s="46" t="inlineStr">
        <is>
          <t>Zero-Day / Edge Device</t>
        </is>
      </c>
      <c r="F330" s="74" t="n"/>
    </row>
    <row r="331" ht="13.5" customHeight="1" s="38">
      <c r="A331" s="46" t="inlineStr">
        <is>
          <t>R_0328</t>
        </is>
      </c>
      <c r="B331" s="46" t="inlineStr">
        <is>
          <t>S_S0_SC01_I01</t>
        </is>
      </c>
      <c r="C331" s="46" t="inlineStr">
        <is>
          <t>Baseline – Zero-Shot (minimal instruction)</t>
        </is>
      </c>
      <c r="D331" s="75" t="inlineStr">
        <is>
          <t>SC01</t>
        </is>
      </c>
      <c r="E331" s="46" t="inlineStr">
        <is>
          <t>Supply Chain</t>
        </is>
      </c>
      <c r="F331" s="74" t="n"/>
    </row>
    <row r="332" ht="13.5" customHeight="1" s="38">
      <c r="A332" s="46" t="inlineStr">
        <is>
          <t>R_0329</t>
        </is>
      </c>
      <c r="B332" s="46" t="inlineStr">
        <is>
          <t>R_S0_SC04_I03</t>
        </is>
      </c>
      <c r="C332" s="46" t="inlineStr">
        <is>
          <t>Baseline – Zero-Shot (minimal instruction)</t>
        </is>
      </c>
      <c r="D332" s="75" t="inlineStr">
        <is>
          <t>SC04</t>
        </is>
      </c>
      <c r="E332" s="46" t="inlineStr">
        <is>
          <t>Ransomware</t>
        </is>
      </c>
      <c r="F332" s="74" t="n"/>
    </row>
    <row r="333" ht="13.5" customHeight="1" s="38">
      <c r="A333" s="46" t="inlineStr">
        <is>
          <t>R_0330</t>
        </is>
      </c>
      <c r="B333" s="46" t="inlineStr">
        <is>
          <t>R_S1_SC05_I03</t>
        </is>
      </c>
      <c r="C333" s="46" t="inlineStr">
        <is>
          <t>Strategy 1 – Zero-Shot + Structured Template</t>
        </is>
      </c>
      <c r="D333" s="75" t="inlineStr">
        <is>
          <t>SC05</t>
        </is>
      </c>
      <c r="E333" s="46" t="inlineStr">
        <is>
          <t>Ransomware</t>
        </is>
      </c>
      <c r="F333" s="74" t="n"/>
    </row>
    <row r="334" ht="13.5" customHeight="1" s="38">
      <c r="A334" s="46" t="inlineStr">
        <is>
          <t>R_0331</t>
        </is>
      </c>
      <c r="B334" s="46" t="inlineStr">
        <is>
          <t>S_S1_SC05_I04</t>
        </is>
      </c>
      <c r="C334" s="46" t="inlineStr">
        <is>
          <t>Strategy 1 – Zero-Shot + Structured Template</t>
        </is>
      </c>
      <c r="D334" s="75" t="inlineStr">
        <is>
          <t>SC05</t>
        </is>
      </c>
      <c r="E334" s="46" t="inlineStr">
        <is>
          <t>Supply Chain</t>
        </is>
      </c>
      <c r="F334" s="74" t="n"/>
    </row>
    <row r="335" ht="13.5" customHeight="1" s="38">
      <c r="A335" s="46" t="inlineStr">
        <is>
          <t>R_0332</t>
        </is>
      </c>
      <c r="B335" s="46" t="inlineStr">
        <is>
          <t>B_S3_SC05_I04</t>
        </is>
      </c>
      <c r="C335" s="46" t="inlineStr">
        <is>
          <t>Strategy 3 – One-Shot + Structured Template</t>
        </is>
      </c>
      <c r="D335" s="75" t="inlineStr">
        <is>
          <t>SC05</t>
        </is>
      </c>
      <c r="E335" s="46" t="inlineStr">
        <is>
          <t>Business Email Compromise</t>
        </is>
      </c>
      <c r="F335" s="74" t="n"/>
    </row>
    <row r="336" ht="13.5" customHeight="1" s="38">
      <c r="A336" s="46" t="inlineStr">
        <is>
          <t>R_0333</t>
        </is>
      </c>
      <c r="B336" s="46" t="inlineStr">
        <is>
          <t>S_S4_SC05_I04</t>
        </is>
      </c>
      <c r="C336" s="46" t="inlineStr">
        <is>
          <t>Strategy 4 – One-Shot + Template + BLUF</t>
        </is>
      </c>
      <c r="D336" s="75" t="inlineStr">
        <is>
          <t>SC05</t>
        </is>
      </c>
      <c r="E336" s="46" t="inlineStr">
        <is>
          <t>Supply Chain</t>
        </is>
      </c>
      <c r="F336" s="74" t="n"/>
    </row>
    <row r="337" ht="13.5" customHeight="1" s="38">
      <c r="A337" s="46" t="inlineStr">
        <is>
          <t>R_0334</t>
        </is>
      </c>
      <c r="B337" s="46" t="inlineStr">
        <is>
          <t>R_S1_SC05_I07</t>
        </is>
      </c>
      <c r="C337" s="46" t="inlineStr">
        <is>
          <t>Strategy 1 – Zero-Shot + Structured Template</t>
        </is>
      </c>
      <c r="D337" s="75" t="inlineStr">
        <is>
          <t>SC05</t>
        </is>
      </c>
      <c r="E337" s="46" t="inlineStr">
        <is>
          <t>Ransomware</t>
        </is>
      </c>
      <c r="F337" s="74" t="n"/>
    </row>
    <row r="338" ht="13.5" customHeight="1" s="38">
      <c r="A338" s="46" t="inlineStr">
        <is>
          <t>R_0335</t>
        </is>
      </c>
      <c r="B338" s="46" t="inlineStr">
        <is>
          <t>R_S0_SC01_I04</t>
        </is>
      </c>
      <c r="C338" s="46" t="inlineStr">
        <is>
          <t>Baseline – Zero-Shot (minimal instruction)</t>
        </is>
      </c>
      <c r="D338" s="75" t="inlineStr">
        <is>
          <t>SC01</t>
        </is>
      </c>
      <c r="E338" s="46" t="inlineStr">
        <is>
          <t>Ransomware</t>
        </is>
      </c>
      <c r="F338" s="74" t="n"/>
    </row>
    <row r="339" ht="13.5" customHeight="1" s="38">
      <c r="A339" s="46" t="inlineStr">
        <is>
          <t>R_0336</t>
        </is>
      </c>
      <c r="B339" s="46" t="inlineStr">
        <is>
          <t>R_S2_SC03_I02</t>
        </is>
      </c>
      <c r="C339" s="46" t="inlineStr">
        <is>
          <t>Strategy 2 – Zero-Shot + Template + BLUF</t>
        </is>
      </c>
      <c r="D339" s="75" t="inlineStr">
        <is>
          <t>SC03</t>
        </is>
      </c>
      <c r="E339" s="46" t="inlineStr">
        <is>
          <t>Ransomware</t>
        </is>
      </c>
      <c r="F339" s="74" t="n"/>
    </row>
    <row r="340" ht="13.5" customHeight="1" s="38">
      <c r="A340" s="46" t="inlineStr">
        <is>
          <t>R_0337</t>
        </is>
      </c>
      <c r="B340" s="46" t="inlineStr">
        <is>
          <t>Z_S2_SC02_I07</t>
        </is>
      </c>
      <c r="C340" s="46" t="inlineStr">
        <is>
          <t>Strategy 2 – Zero-Shot + Template + BLUF</t>
        </is>
      </c>
      <c r="D340" s="75" t="inlineStr">
        <is>
          <t>SC02</t>
        </is>
      </c>
      <c r="E340" s="46" t="inlineStr">
        <is>
          <t>Zero-Day / Edge Device</t>
        </is>
      </c>
      <c r="F340" s="74" t="n"/>
    </row>
    <row r="341" ht="13.5" customHeight="1" s="38">
      <c r="A341" s="46" t="inlineStr">
        <is>
          <t>R_0338</t>
        </is>
      </c>
      <c r="B341" s="46" t="inlineStr">
        <is>
          <t>R_S2_SC01_I09</t>
        </is>
      </c>
      <c r="C341" s="46" t="inlineStr">
        <is>
          <t>Strategy 2 – Zero-Shot + Template + BLUF</t>
        </is>
      </c>
      <c r="D341" s="75" t="inlineStr">
        <is>
          <t>SC01</t>
        </is>
      </c>
      <c r="E341" s="46" t="inlineStr">
        <is>
          <t>Ransomware</t>
        </is>
      </c>
      <c r="F341" s="74" t="n"/>
    </row>
    <row r="342" ht="13.5" customHeight="1" s="38">
      <c r="A342" s="46" t="inlineStr">
        <is>
          <t>R_0339</t>
        </is>
      </c>
      <c r="B342" s="46" t="inlineStr">
        <is>
          <t>Z_S3_SC04_I04</t>
        </is>
      </c>
      <c r="C342" s="46" t="inlineStr">
        <is>
          <t>Strategy 3 – One-Shot + Structured Template</t>
        </is>
      </c>
      <c r="D342" s="75" t="inlineStr">
        <is>
          <t>SC04</t>
        </is>
      </c>
      <c r="E342" s="46" t="inlineStr">
        <is>
          <t>Zero-Day / Edge Device</t>
        </is>
      </c>
      <c r="F342" s="74" t="n"/>
    </row>
    <row r="343" ht="13.5" customHeight="1" s="38">
      <c r="A343" s="46" t="inlineStr">
        <is>
          <t>R_0340</t>
        </is>
      </c>
      <c r="B343" s="46" t="inlineStr">
        <is>
          <t>S_S2_SC01_I08</t>
        </is>
      </c>
      <c r="C343" s="46" t="inlineStr">
        <is>
          <t>Strategy 2 – Zero-Shot + Template + BLUF</t>
        </is>
      </c>
      <c r="D343" s="75" t="inlineStr">
        <is>
          <t>SC01</t>
        </is>
      </c>
      <c r="E343" s="46" t="inlineStr">
        <is>
          <t>Supply Chain</t>
        </is>
      </c>
      <c r="F343" s="74" t="n"/>
    </row>
    <row r="344" ht="13.5" customHeight="1" s="38">
      <c r="A344" s="46" t="inlineStr">
        <is>
          <t>R_0341</t>
        </is>
      </c>
      <c r="B344" s="46" t="inlineStr">
        <is>
          <t>Z_S2_SC04_I06</t>
        </is>
      </c>
      <c r="C344" s="46" t="inlineStr">
        <is>
          <t>Strategy 2 – Zero-Shot + Template + BLUF</t>
        </is>
      </c>
      <c r="D344" s="75" t="inlineStr">
        <is>
          <t>SC04</t>
        </is>
      </c>
      <c r="E344" s="46" t="inlineStr">
        <is>
          <t>Zero-Day / Edge Device</t>
        </is>
      </c>
      <c r="F344" s="74" t="n"/>
    </row>
    <row r="345" ht="13.5" customHeight="1" s="38">
      <c r="A345" s="46" t="inlineStr">
        <is>
          <t>R_0342</t>
        </is>
      </c>
      <c r="B345" s="46" t="inlineStr">
        <is>
          <t>B_S2_SC02_I09</t>
        </is>
      </c>
      <c r="C345" s="46" t="inlineStr">
        <is>
          <t>Strategy 2 – Zero-Shot + Template + BLUF</t>
        </is>
      </c>
      <c r="D345" s="75" t="inlineStr">
        <is>
          <t>SC02</t>
        </is>
      </c>
      <c r="E345" s="46" t="inlineStr">
        <is>
          <t>Business Email Compromise</t>
        </is>
      </c>
      <c r="F345" s="74" t="n"/>
    </row>
    <row r="346" ht="13.5" customHeight="1" s="38">
      <c r="A346" s="46" t="inlineStr">
        <is>
          <t>R_0343</t>
        </is>
      </c>
      <c r="B346" s="46" t="inlineStr">
        <is>
          <t>B_S0_SC01_I06</t>
        </is>
      </c>
      <c r="C346" s="46" t="inlineStr">
        <is>
          <t>Baseline – Zero-Shot (minimal instruction)</t>
        </is>
      </c>
      <c r="D346" s="75" t="inlineStr">
        <is>
          <t>SC01</t>
        </is>
      </c>
      <c r="E346" s="46" t="inlineStr">
        <is>
          <t>Business Email Compromise</t>
        </is>
      </c>
      <c r="F346" s="74" t="n"/>
    </row>
    <row r="347" ht="13.5" customHeight="1" s="38">
      <c r="A347" s="46" t="inlineStr">
        <is>
          <t>R_0344</t>
        </is>
      </c>
      <c r="B347" s="46" t="inlineStr">
        <is>
          <t>S_S2_SC02_I07</t>
        </is>
      </c>
      <c r="C347" s="46" t="inlineStr">
        <is>
          <t>Strategy 2 – Zero-Shot + Template + BLUF</t>
        </is>
      </c>
      <c r="D347" s="75" t="inlineStr">
        <is>
          <t>SC02</t>
        </is>
      </c>
      <c r="E347" s="46" t="inlineStr">
        <is>
          <t>Supply Chain</t>
        </is>
      </c>
      <c r="F347" s="74" t="n"/>
    </row>
    <row r="348" ht="13.5" customHeight="1" s="38">
      <c r="A348" s="46" t="inlineStr">
        <is>
          <t>R_0345</t>
        </is>
      </c>
      <c r="B348" s="46" t="inlineStr">
        <is>
          <t>B_S4_SC02_I06</t>
        </is>
      </c>
      <c r="C348" s="46" t="inlineStr">
        <is>
          <t>Strategy 4 – One-Shot + Template + BLUF</t>
        </is>
      </c>
      <c r="D348" s="75" t="inlineStr">
        <is>
          <t>SC02</t>
        </is>
      </c>
      <c r="E348" s="46" t="inlineStr">
        <is>
          <t>Business Email Compromise</t>
        </is>
      </c>
      <c r="F348" s="74" t="n"/>
    </row>
    <row r="349" ht="13.5" customHeight="1" s="38">
      <c r="A349" s="46" t="inlineStr">
        <is>
          <t>R_0346</t>
        </is>
      </c>
      <c r="B349" s="46" t="inlineStr">
        <is>
          <t>R_S2_SC02_I07</t>
        </is>
      </c>
      <c r="C349" s="46" t="inlineStr">
        <is>
          <t>Strategy 2 – Zero-Shot + Template + BLUF</t>
        </is>
      </c>
      <c r="D349" s="75" t="inlineStr">
        <is>
          <t>SC02</t>
        </is>
      </c>
      <c r="E349" s="46" t="inlineStr">
        <is>
          <t>Ransomware</t>
        </is>
      </c>
      <c r="F349" s="74" t="n"/>
    </row>
    <row r="350" ht="13.5" customHeight="1" s="38">
      <c r="A350" s="46" t="inlineStr">
        <is>
          <t>R_0347</t>
        </is>
      </c>
      <c r="B350" s="46" t="inlineStr">
        <is>
          <t>Z_S3_SC05_I09</t>
        </is>
      </c>
      <c r="C350" s="46" t="inlineStr">
        <is>
          <t>Strategy 3 – One-Shot + Structured Template</t>
        </is>
      </c>
      <c r="D350" s="75" t="inlineStr">
        <is>
          <t>SC05</t>
        </is>
      </c>
      <c r="E350" s="46" t="inlineStr">
        <is>
          <t>Zero-Day / Edge Device</t>
        </is>
      </c>
      <c r="F350" s="74" t="n"/>
    </row>
    <row r="351" ht="13.5" customHeight="1" s="38">
      <c r="A351" s="46" t="inlineStr">
        <is>
          <t>R_0348</t>
        </is>
      </c>
      <c r="B351" s="46" t="inlineStr">
        <is>
          <t>Z_S3_SC01_I02</t>
        </is>
      </c>
      <c r="C351" s="46" t="inlineStr">
        <is>
          <t>Strategy 3 – One-Shot + Structured Template</t>
        </is>
      </c>
      <c r="D351" s="75" t="inlineStr">
        <is>
          <t>SC01</t>
        </is>
      </c>
      <c r="E351" s="46" t="inlineStr">
        <is>
          <t>Zero-Day / Edge Device</t>
        </is>
      </c>
      <c r="F351" s="74" t="n"/>
    </row>
    <row r="352" ht="13.5" customHeight="1" s="38">
      <c r="A352" s="46" t="inlineStr">
        <is>
          <t>R_0349</t>
        </is>
      </c>
      <c r="B352" s="46" t="inlineStr">
        <is>
          <t>B_S4_SC03_I01</t>
        </is>
      </c>
      <c r="C352" s="46" t="inlineStr">
        <is>
          <t>Strategy 4 – One-Shot + Template + BLUF</t>
        </is>
      </c>
      <c r="D352" s="75" t="inlineStr">
        <is>
          <t>SC03</t>
        </is>
      </c>
      <c r="E352" s="46" t="inlineStr">
        <is>
          <t>Business Email Compromise</t>
        </is>
      </c>
      <c r="F352" s="74" t="n"/>
    </row>
    <row r="353" ht="13.5" customHeight="1" s="38">
      <c r="A353" s="46" t="inlineStr">
        <is>
          <t>R_0350</t>
        </is>
      </c>
      <c r="B353" s="46" t="inlineStr">
        <is>
          <t>S_S0_SC05_I06</t>
        </is>
      </c>
      <c r="C353" s="46" t="inlineStr">
        <is>
          <t>Baseline – Zero-Shot (minimal instruction)</t>
        </is>
      </c>
      <c r="D353" s="75" t="inlineStr">
        <is>
          <t>SC05</t>
        </is>
      </c>
      <c r="E353" s="46" t="inlineStr">
        <is>
          <t>Supply Chain</t>
        </is>
      </c>
      <c r="F353" s="74" t="n"/>
    </row>
    <row r="354" ht="13.5" customHeight="1" s="38">
      <c r="A354" s="46" t="inlineStr">
        <is>
          <t>R_0351</t>
        </is>
      </c>
      <c r="B354" s="46" t="inlineStr">
        <is>
          <t>R_S1_SC04_I08</t>
        </is>
      </c>
      <c r="C354" s="46" t="inlineStr">
        <is>
          <t>Strategy 1 – Zero-Shot + Structured Template</t>
        </is>
      </c>
      <c r="D354" s="75" t="inlineStr">
        <is>
          <t>SC04</t>
        </is>
      </c>
      <c r="E354" s="46" t="inlineStr">
        <is>
          <t>Ransomware</t>
        </is>
      </c>
      <c r="F354" s="74" t="n"/>
    </row>
    <row r="355" ht="13.5" customHeight="1" s="38">
      <c r="A355" s="46" t="inlineStr">
        <is>
          <t>R_0352</t>
        </is>
      </c>
      <c r="B355" s="46" t="inlineStr">
        <is>
          <t>B_S2_SC04_I01</t>
        </is>
      </c>
      <c r="C355" s="46" t="inlineStr">
        <is>
          <t>Strategy 2 – Zero-Shot + Template + BLUF</t>
        </is>
      </c>
      <c r="D355" s="75" t="inlineStr">
        <is>
          <t>SC04</t>
        </is>
      </c>
      <c r="E355" s="46" t="inlineStr">
        <is>
          <t>Business Email Compromise</t>
        </is>
      </c>
      <c r="F355" s="74" t="n"/>
    </row>
    <row r="356" ht="13.5" customHeight="1" s="38">
      <c r="A356" s="46" t="inlineStr">
        <is>
          <t>R_0353</t>
        </is>
      </c>
      <c r="B356" s="46" t="inlineStr">
        <is>
          <t>B_S4_SC01_I09</t>
        </is>
      </c>
      <c r="C356" s="46" t="inlineStr">
        <is>
          <t>Strategy 4 – One-Shot + Template + BLUF</t>
        </is>
      </c>
      <c r="D356" s="75" t="inlineStr">
        <is>
          <t>SC01</t>
        </is>
      </c>
      <c r="E356" s="46" t="inlineStr">
        <is>
          <t>Business Email Compromise</t>
        </is>
      </c>
      <c r="F356" s="74" t="n"/>
    </row>
    <row r="357" ht="13.5" customHeight="1" s="38">
      <c r="A357" s="46" t="inlineStr">
        <is>
          <t>R_0354</t>
        </is>
      </c>
      <c r="B357" s="46" t="inlineStr">
        <is>
          <t>B_S0_SC04_I04</t>
        </is>
      </c>
      <c r="C357" s="46" t="inlineStr">
        <is>
          <t>Baseline – Zero-Shot (minimal instruction)</t>
        </is>
      </c>
      <c r="D357" s="75" t="inlineStr">
        <is>
          <t>SC04</t>
        </is>
      </c>
      <c r="E357" s="46" t="inlineStr">
        <is>
          <t>Business Email Compromise</t>
        </is>
      </c>
      <c r="F357" s="74" t="n"/>
    </row>
    <row r="358" ht="13.5" customHeight="1" s="38">
      <c r="A358" s="46" t="inlineStr">
        <is>
          <t>R_0355</t>
        </is>
      </c>
      <c r="B358" s="46" t="inlineStr">
        <is>
          <t>Z_S0_SC02_I01</t>
        </is>
      </c>
      <c r="C358" s="46" t="inlineStr">
        <is>
          <t>Baseline – Zero-Shot (minimal instruction)</t>
        </is>
      </c>
      <c r="D358" s="75" t="inlineStr">
        <is>
          <t>SC02</t>
        </is>
      </c>
      <c r="E358" s="46" t="inlineStr">
        <is>
          <t>Zero-Day / Edge Device</t>
        </is>
      </c>
      <c r="F358" s="74" t="n"/>
    </row>
    <row r="359" ht="13.5" customHeight="1" s="38">
      <c r="A359" s="46" t="inlineStr">
        <is>
          <t>R_0356</t>
        </is>
      </c>
      <c r="B359" s="46" t="inlineStr">
        <is>
          <t>Z_S0_SC03_I07</t>
        </is>
      </c>
      <c r="C359" s="46" t="inlineStr">
        <is>
          <t>Baseline – Zero-Shot (minimal instruction)</t>
        </is>
      </c>
      <c r="D359" s="75" t="inlineStr">
        <is>
          <t>SC03</t>
        </is>
      </c>
      <c r="E359" s="46" t="inlineStr">
        <is>
          <t>Zero-Day / Edge Device</t>
        </is>
      </c>
      <c r="F359" s="74" t="n"/>
    </row>
    <row r="360" ht="13.5" customHeight="1" s="38">
      <c r="A360" s="46" t="inlineStr">
        <is>
          <t>R_0357</t>
        </is>
      </c>
      <c r="B360" s="46" t="inlineStr">
        <is>
          <t>R_S2_SC05_I07</t>
        </is>
      </c>
      <c r="C360" s="46" t="inlineStr">
        <is>
          <t>Strategy 2 – Zero-Shot + Template + BLUF</t>
        </is>
      </c>
      <c r="D360" s="75" t="inlineStr">
        <is>
          <t>SC05</t>
        </is>
      </c>
      <c r="E360" s="46" t="inlineStr">
        <is>
          <t>Ransomware</t>
        </is>
      </c>
      <c r="F360" s="74" t="n"/>
    </row>
    <row r="361" ht="13.5" customHeight="1" s="38">
      <c r="A361" s="46" t="inlineStr">
        <is>
          <t>R_0358</t>
        </is>
      </c>
      <c r="B361" s="46" t="inlineStr">
        <is>
          <t>R_S3_SC01_I04</t>
        </is>
      </c>
      <c r="C361" s="46" t="inlineStr">
        <is>
          <t>Strategy 3 – One-Shot + Structured Template</t>
        </is>
      </c>
      <c r="D361" s="75" t="inlineStr">
        <is>
          <t>SC01</t>
        </is>
      </c>
      <c r="E361" s="46" t="inlineStr">
        <is>
          <t>Ransomware</t>
        </is>
      </c>
      <c r="F361" s="74" t="n"/>
    </row>
    <row r="362" ht="13.5" customHeight="1" s="38">
      <c r="A362" s="46" t="inlineStr">
        <is>
          <t>R_0359</t>
        </is>
      </c>
      <c r="B362" s="46" t="inlineStr">
        <is>
          <t>Z_S2_SC03_I04</t>
        </is>
      </c>
      <c r="C362" s="46" t="inlineStr">
        <is>
          <t>Strategy 2 – Zero-Shot + Template + BLUF</t>
        </is>
      </c>
      <c r="D362" s="75" t="inlineStr">
        <is>
          <t>SC03</t>
        </is>
      </c>
      <c r="E362" s="46" t="inlineStr">
        <is>
          <t>Zero-Day / Edge Device</t>
        </is>
      </c>
      <c r="F362" s="74" t="n"/>
    </row>
    <row r="363" ht="13.5" customHeight="1" s="38">
      <c r="A363" s="46" t="inlineStr">
        <is>
          <t>R_0360</t>
        </is>
      </c>
      <c r="B363" s="46" t="inlineStr">
        <is>
          <t>Z_S2_SC02_I03</t>
        </is>
      </c>
      <c r="C363" s="46" t="inlineStr">
        <is>
          <t>Strategy 2 – Zero-Shot + Template + BLUF</t>
        </is>
      </c>
      <c r="D363" s="75" t="inlineStr">
        <is>
          <t>SC02</t>
        </is>
      </c>
      <c r="E363" s="46" t="inlineStr">
        <is>
          <t>Zero-Day / Edge Device</t>
        </is>
      </c>
      <c r="F363" s="74" t="n"/>
    </row>
    <row r="364" ht="13.5" customHeight="1" s="38">
      <c r="A364" s="46" t="inlineStr">
        <is>
          <t>R_0361</t>
        </is>
      </c>
      <c r="B364" s="46" t="inlineStr">
        <is>
          <t>Z_S0_SC02_I07</t>
        </is>
      </c>
      <c r="C364" s="46" t="inlineStr">
        <is>
          <t>Baseline – Zero-Shot (minimal instruction)</t>
        </is>
      </c>
      <c r="D364" s="75" t="inlineStr">
        <is>
          <t>SC02</t>
        </is>
      </c>
      <c r="E364" s="46" t="inlineStr">
        <is>
          <t>Zero-Day / Edge Device</t>
        </is>
      </c>
      <c r="F364" s="74" t="n"/>
    </row>
    <row r="365" ht="13.5" customHeight="1" s="38">
      <c r="A365" s="46" t="inlineStr">
        <is>
          <t>R_0362</t>
        </is>
      </c>
      <c r="B365" s="46" t="inlineStr">
        <is>
          <t>R_S1_SC01_I10</t>
        </is>
      </c>
      <c r="C365" s="46" t="inlineStr">
        <is>
          <t>Strategy 1 – Zero-Shot + Structured Template</t>
        </is>
      </c>
      <c r="D365" s="75" t="inlineStr">
        <is>
          <t>SC01</t>
        </is>
      </c>
      <c r="E365" s="46" t="inlineStr">
        <is>
          <t>Ransomware</t>
        </is>
      </c>
      <c r="F365" s="74" t="n"/>
    </row>
    <row r="366" ht="13.5" customHeight="1" s="38">
      <c r="A366" s="46" t="inlineStr">
        <is>
          <t>R_0363</t>
        </is>
      </c>
      <c r="B366" s="46" t="inlineStr">
        <is>
          <t>Z_S3_SC02_I03</t>
        </is>
      </c>
      <c r="C366" s="46" t="inlineStr">
        <is>
          <t>Strategy 3 – One-Shot + Structured Template</t>
        </is>
      </c>
      <c r="D366" s="75" t="inlineStr">
        <is>
          <t>SC02</t>
        </is>
      </c>
      <c r="E366" s="46" t="inlineStr">
        <is>
          <t>Zero-Day / Edge Device</t>
        </is>
      </c>
      <c r="F366" s="74" t="n"/>
    </row>
    <row r="367" ht="13.5" customHeight="1" s="38">
      <c r="A367" s="46" t="inlineStr">
        <is>
          <t>R_0364</t>
        </is>
      </c>
      <c r="B367" s="46" t="inlineStr">
        <is>
          <t>Z_S4_SC02_I07</t>
        </is>
      </c>
      <c r="C367" s="46" t="inlineStr">
        <is>
          <t>Strategy 4 – One-Shot + Template + BLUF</t>
        </is>
      </c>
      <c r="D367" s="75" t="inlineStr">
        <is>
          <t>SC02</t>
        </is>
      </c>
      <c r="E367" s="46" t="inlineStr">
        <is>
          <t>Zero-Day / Edge Device</t>
        </is>
      </c>
      <c r="F367" s="74" t="n"/>
    </row>
    <row r="368" ht="13.5" customHeight="1" s="38">
      <c r="A368" s="46" t="inlineStr">
        <is>
          <t>R_0365</t>
        </is>
      </c>
      <c r="B368" s="46" t="inlineStr">
        <is>
          <t>S_S1_SC03_I05</t>
        </is>
      </c>
      <c r="C368" s="46" t="inlineStr">
        <is>
          <t>Strategy 1 – Zero-Shot + Structured Template</t>
        </is>
      </c>
      <c r="D368" s="75" t="inlineStr">
        <is>
          <t>SC03</t>
        </is>
      </c>
      <c r="E368" s="46" t="inlineStr">
        <is>
          <t>Supply Chain</t>
        </is>
      </c>
      <c r="F368" s="74" t="n"/>
    </row>
    <row r="369" ht="13.5" customHeight="1" s="38">
      <c r="A369" s="46" t="inlineStr">
        <is>
          <t>R_0366</t>
        </is>
      </c>
      <c r="B369" s="46" t="inlineStr">
        <is>
          <t>B_S1_SC01_I09</t>
        </is>
      </c>
      <c r="C369" s="46" t="inlineStr">
        <is>
          <t>Strategy 1 – Zero-Shot + Structured Template</t>
        </is>
      </c>
      <c r="D369" s="75" t="inlineStr">
        <is>
          <t>SC01</t>
        </is>
      </c>
      <c r="E369" s="46" t="inlineStr">
        <is>
          <t>Business Email Compromise</t>
        </is>
      </c>
      <c r="F369" s="74" t="n"/>
    </row>
    <row r="370" ht="13.5" customHeight="1" s="38">
      <c r="A370" s="46" t="inlineStr">
        <is>
          <t>R_0367</t>
        </is>
      </c>
      <c r="B370" s="46" t="inlineStr">
        <is>
          <t>Z_S2_SC05_I09</t>
        </is>
      </c>
      <c r="C370" s="46" t="inlineStr">
        <is>
          <t>Strategy 2 – Zero-Shot + Template + BLUF</t>
        </is>
      </c>
      <c r="D370" s="75" t="inlineStr">
        <is>
          <t>SC05</t>
        </is>
      </c>
      <c r="E370" s="46" t="inlineStr">
        <is>
          <t>Zero-Day / Edge Device</t>
        </is>
      </c>
      <c r="F370" s="74" t="n"/>
    </row>
    <row r="371" ht="13.5" customHeight="1" s="38">
      <c r="A371" s="46" t="inlineStr">
        <is>
          <t>R_0368</t>
        </is>
      </c>
      <c r="B371" s="46" t="inlineStr">
        <is>
          <t>B_S4_SC02_I01</t>
        </is>
      </c>
      <c r="C371" s="46" t="inlineStr">
        <is>
          <t>Strategy 4 – One-Shot + Template + BLUF</t>
        </is>
      </c>
      <c r="D371" s="75" t="inlineStr">
        <is>
          <t>SC02</t>
        </is>
      </c>
      <c r="E371" s="46" t="inlineStr">
        <is>
          <t>Business Email Compromise</t>
        </is>
      </c>
      <c r="F371" s="74" t="n"/>
    </row>
    <row r="372" ht="13.5" customHeight="1" s="38">
      <c r="A372" s="46" t="inlineStr">
        <is>
          <t>R_0369</t>
        </is>
      </c>
      <c r="B372" s="46" t="inlineStr">
        <is>
          <t>S_S2_SC02_I10</t>
        </is>
      </c>
      <c r="C372" s="46" t="inlineStr">
        <is>
          <t>Strategy 2 – Zero-Shot + Template + BLUF</t>
        </is>
      </c>
      <c r="D372" s="75" t="inlineStr">
        <is>
          <t>SC02</t>
        </is>
      </c>
      <c r="E372" s="46" t="inlineStr">
        <is>
          <t>Supply Chain</t>
        </is>
      </c>
      <c r="F372" s="74" t="n"/>
    </row>
    <row r="373" ht="13.5" customHeight="1" s="38">
      <c r="A373" s="46" t="inlineStr">
        <is>
          <t>R_0370</t>
        </is>
      </c>
      <c r="B373" s="46" t="inlineStr">
        <is>
          <t>S_S1_SC05_I07</t>
        </is>
      </c>
      <c r="C373" s="46" t="inlineStr">
        <is>
          <t>Strategy 1 – Zero-Shot + Structured Template</t>
        </is>
      </c>
      <c r="D373" s="75" t="inlineStr">
        <is>
          <t>SC05</t>
        </is>
      </c>
      <c r="E373" s="46" t="inlineStr">
        <is>
          <t>Supply Chain</t>
        </is>
      </c>
      <c r="F373" s="74" t="n"/>
    </row>
    <row r="374" ht="13.5" customHeight="1" s="38">
      <c r="A374" s="46" t="inlineStr">
        <is>
          <t>R_0371</t>
        </is>
      </c>
      <c r="B374" s="46" t="inlineStr">
        <is>
          <t>Z_S4_SC04_I10</t>
        </is>
      </c>
      <c r="C374" s="46" t="inlineStr">
        <is>
          <t>Strategy 4 – One-Shot + Template + BLUF</t>
        </is>
      </c>
      <c r="D374" s="75" t="inlineStr">
        <is>
          <t>SC04</t>
        </is>
      </c>
      <c r="E374" s="46" t="inlineStr">
        <is>
          <t>Zero-Day / Edge Device</t>
        </is>
      </c>
      <c r="F374" s="74" t="n"/>
    </row>
    <row r="375" ht="13.5" customHeight="1" s="38">
      <c r="A375" s="46" t="inlineStr">
        <is>
          <t>R_0372</t>
        </is>
      </c>
      <c r="B375" s="46" t="inlineStr">
        <is>
          <t>B_S3_SC04_I10</t>
        </is>
      </c>
      <c r="C375" s="46" t="inlineStr">
        <is>
          <t>Strategy 3 – One-Shot + Structured Template</t>
        </is>
      </c>
      <c r="D375" s="75" t="inlineStr">
        <is>
          <t>SC04</t>
        </is>
      </c>
      <c r="E375" s="46" t="inlineStr">
        <is>
          <t>Business Email Compromise</t>
        </is>
      </c>
      <c r="F375" s="74" t="n"/>
    </row>
    <row r="376" ht="13.5" customHeight="1" s="38">
      <c r="A376" s="46" t="inlineStr">
        <is>
          <t>R_0373</t>
        </is>
      </c>
      <c r="B376" s="46" t="inlineStr">
        <is>
          <t>Z_S0_SC05_I05</t>
        </is>
      </c>
      <c r="C376" s="46" t="inlineStr">
        <is>
          <t>Baseline – Zero-Shot (minimal instruction)</t>
        </is>
      </c>
      <c r="D376" s="75" t="inlineStr">
        <is>
          <t>SC05</t>
        </is>
      </c>
      <c r="E376" s="46" t="inlineStr">
        <is>
          <t>Zero-Day / Edge Device</t>
        </is>
      </c>
      <c r="F376" s="74" t="n"/>
    </row>
    <row r="377" ht="13.5" customHeight="1" s="38">
      <c r="A377" s="46" t="inlineStr">
        <is>
          <t>R_0374</t>
        </is>
      </c>
      <c r="B377" s="46" t="inlineStr">
        <is>
          <t>Z_S4_SC02_I10</t>
        </is>
      </c>
      <c r="C377" s="46" t="inlineStr">
        <is>
          <t>Strategy 4 – One-Shot + Template + BLUF</t>
        </is>
      </c>
      <c r="D377" s="75" t="inlineStr">
        <is>
          <t>SC02</t>
        </is>
      </c>
      <c r="E377" s="46" t="inlineStr">
        <is>
          <t>Zero-Day / Edge Device</t>
        </is>
      </c>
      <c r="F377" s="74" t="n"/>
    </row>
    <row r="378" ht="13.5" customHeight="1" s="38">
      <c r="A378" s="46" t="inlineStr">
        <is>
          <t>R_0375</t>
        </is>
      </c>
      <c r="B378" s="46" t="inlineStr">
        <is>
          <t>Z_S0_SC04_I08</t>
        </is>
      </c>
      <c r="C378" s="46" t="inlineStr">
        <is>
          <t>Baseline – Zero-Shot (minimal instruction)</t>
        </is>
      </c>
      <c r="D378" s="75" t="inlineStr">
        <is>
          <t>SC04</t>
        </is>
      </c>
      <c r="E378" s="46" t="inlineStr">
        <is>
          <t>Zero-Day / Edge Device</t>
        </is>
      </c>
      <c r="F378" s="74" t="n"/>
    </row>
    <row r="379" ht="13.5" customHeight="1" s="38">
      <c r="A379" s="46" t="inlineStr">
        <is>
          <t>R_0376</t>
        </is>
      </c>
      <c r="B379" s="46" t="inlineStr">
        <is>
          <t>Z_S0_SC04_I02</t>
        </is>
      </c>
      <c r="C379" s="46" t="inlineStr">
        <is>
          <t>Baseline – Zero-Shot (minimal instruction)</t>
        </is>
      </c>
      <c r="D379" s="75" t="inlineStr">
        <is>
          <t>SC04</t>
        </is>
      </c>
      <c r="E379" s="46" t="inlineStr">
        <is>
          <t>Zero-Day / Edge Device</t>
        </is>
      </c>
      <c r="F379" s="74" t="n"/>
    </row>
    <row r="380" ht="13.5" customHeight="1" s="38">
      <c r="A380" s="46" t="inlineStr">
        <is>
          <t>R_0377</t>
        </is>
      </c>
      <c r="B380" s="46" t="inlineStr">
        <is>
          <t>R_S2_SC02_I01</t>
        </is>
      </c>
      <c r="C380" s="46" t="inlineStr">
        <is>
          <t>Strategy 2 – Zero-Shot + Template + BLUF</t>
        </is>
      </c>
      <c r="D380" s="75" t="inlineStr">
        <is>
          <t>SC02</t>
        </is>
      </c>
      <c r="E380" s="46" t="inlineStr">
        <is>
          <t>Ransomware</t>
        </is>
      </c>
      <c r="F380" s="74" t="n"/>
    </row>
    <row r="381" ht="13.5" customHeight="1" s="38">
      <c r="A381" s="46" t="inlineStr">
        <is>
          <t>R_0378</t>
        </is>
      </c>
      <c r="B381" s="46" t="inlineStr">
        <is>
          <t>S_S2_SC02_I08</t>
        </is>
      </c>
      <c r="C381" s="46" t="inlineStr">
        <is>
          <t>Strategy 2 – Zero-Shot + Template + BLUF</t>
        </is>
      </c>
      <c r="D381" s="75" t="inlineStr">
        <is>
          <t>SC02</t>
        </is>
      </c>
      <c r="E381" s="46" t="inlineStr">
        <is>
          <t>Supply Chain</t>
        </is>
      </c>
      <c r="F381" s="74" t="n"/>
    </row>
    <row r="382" ht="13.5" customHeight="1" s="38">
      <c r="A382" s="46" t="inlineStr">
        <is>
          <t>R_0379</t>
        </is>
      </c>
      <c r="B382" s="46" t="inlineStr">
        <is>
          <t>R_S3_SC01_I01</t>
        </is>
      </c>
      <c r="C382" s="46" t="inlineStr">
        <is>
          <t>Strategy 3 – One-Shot + Structured Template</t>
        </is>
      </c>
      <c r="D382" s="75" t="inlineStr">
        <is>
          <t>SC01</t>
        </is>
      </c>
      <c r="E382" s="46" t="inlineStr">
        <is>
          <t>Ransomware</t>
        </is>
      </c>
      <c r="F382" s="74" t="n"/>
    </row>
    <row r="383" ht="13.5" customHeight="1" s="38">
      <c r="A383" s="46" t="inlineStr">
        <is>
          <t>R_0380</t>
        </is>
      </c>
      <c r="B383" s="46" t="inlineStr">
        <is>
          <t>Z_S4_SC02_I08</t>
        </is>
      </c>
      <c r="C383" s="46" t="inlineStr">
        <is>
          <t>Strategy 4 – One-Shot + Template + BLUF</t>
        </is>
      </c>
      <c r="D383" s="75" t="inlineStr">
        <is>
          <t>SC02</t>
        </is>
      </c>
      <c r="E383" s="46" t="inlineStr">
        <is>
          <t>Zero-Day / Edge Device</t>
        </is>
      </c>
      <c r="F383" s="74" t="n"/>
    </row>
    <row r="384" ht="13.5" customHeight="1" s="38">
      <c r="A384" s="46" t="inlineStr">
        <is>
          <t>R_0381</t>
        </is>
      </c>
      <c r="B384" s="46" t="inlineStr">
        <is>
          <t>B_S1_SC02_I08</t>
        </is>
      </c>
      <c r="C384" s="46" t="inlineStr">
        <is>
          <t>Strategy 1 – Zero-Shot + Structured Template</t>
        </is>
      </c>
      <c r="D384" s="75" t="inlineStr">
        <is>
          <t>SC02</t>
        </is>
      </c>
      <c r="E384" s="46" t="inlineStr">
        <is>
          <t>Business Email Compromise</t>
        </is>
      </c>
      <c r="F384" s="74" t="n"/>
    </row>
    <row r="385" ht="13.5" customHeight="1" s="38">
      <c r="A385" s="46" t="inlineStr">
        <is>
          <t>R_0382</t>
        </is>
      </c>
      <c r="B385" s="46" t="inlineStr">
        <is>
          <t>S_S1_SC02_I09</t>
        </is>
      </c>
      <c r="C385" s="46" t="inlineStr">
        <is>
          <t>Strategy 1 – Zero-Shot + Structured Template</t>
        </is>
      </c>
      <c r="D385" s="75" t="inlineStr">
        <is>
          <t>SC02</t>
        </is>
      </c>
      <c r="E385" s="46" t="inlineStr">
        <is>
          <t>Supply Chain</t>
        </is>
      </c>
      <c r="F385" s="74" t="n"/>
    </row>
    <row r="386" ht="13.5" customHeight="1" s="38">
      <c r="A386" s="46" t="inlineStr">
        <is>
          <t>R_0383</t>
        </is>
      </c>
      <c r="B386" s="46" t="inlineStr">
        <is>
          <t>R_S4_SC01_I02</t>
        </is>
      </c>
      <c r="C386" s="46" t="inlineStr">
        <is>
          <t>Strategy 4 – One-Shot + Template + BLUF</t>
        </is>
      </c>
      <c r="D386" s="75" t="inlineStr">
        <is>
          <t>SC01</t>
        </is>
      </c>
      <c r="E386" s="46" t="inlineStr">
        <is>
          <t>Ransomware</t>
        </is>
      </c>
      <c r="F386" s="74" t="n"/>
    </row>
    <row r="387" ht="13.5" customHeight="1" s="38">
      <c r="A387" s="46" t="inlineStr">
        <is>
          <t>R_0384</t>
        </is>
      </c>
      <c r="B387" s="46" t="inlineStr">
        <is>
          <t>R_S2_SC04_I08</t>
        </is>
      </c>
      <c r="C387" s="46" t="inlineStr">
        <is>
          <t>Strategy 2 – Zero-Shot + Template + BLUF</t>
        </is>
      </c>
      <c r="D387" s="75" t="inlineStr">
        <is>
          <t>SC04</t>
        </is>
      </c>
      <c r="E387" s="46" t="inlineStr">
        <is>
          <t>Ransomware</t>
        </is>
      </c>
      <c r="F387" s="74" t="n"/>
    </row>
    <row r="388" ht="13.5" customHeight="1" s="38">
      <c r="A388" s="46" t="inlineStr">
        <is>
          <t>R_0385</t>
        </is>
      </c>
      <c r="B388" s="46" t="inlineStr">
        <is>
          <t>B_S1_SC05_I10</t>
        </is>
      </c>
      <c r="C388" s="46" t="inlineStr">
        <is>
          <t>Strategy 1 – Zero-Shot + Structured Template</t>
        </is>
      </c>
      <c r="D388" s="75" t="inlineStr">
        <is>
          <t>SC05</t>
        </is>
      </c>
      <c r="E388" s="46" t="inlineStr">
        <is>
          <t>Business Email Compromise</t>
        </is>
      </c>
      <c r="F388" s="74" t="n"/>
    </row>
    <row r="389" ht="13.5" customHeight="1" s="38">
      <c r="A389" s="46" t="inlineStr">
        <is>
          <t>R_0386</t>
        </is>
      </c>
      <c r="B389" s="46" t="inlineStr">
        <is>
          <t>Z_S1_SC02_I09</t>
        </is>
      </c>
      <c r="C389" s="46" t="inlineStr">
        <is>
          <t>Strategy 1 – Zero-Shot + Structured Template</t>
        </is>
      </c>
      <c r="D389" s="75" t="inlineStr">
        <is>
          <t>SC02</t>
        </is>
      </c>
      <c r="E389" s="46" t="inlineStr">
        <is>
          <t>Zero-Day / Edge Device</t>
        </is>
      </c>
      <c r="F389" s="74" t="n"/>
    </row>
    <row r="390" ht="13.5" customHeight="1" s="38">
      <c r="A390" s="46" t="inlineStr">
        <is>
          <t>R_0387</t>
        </is>
      </c>
      <c r="B390" s="46" t="inlineStr">
        <is>
          <t>B_S1_SC02_I01</t>
        </is>
      </c>
      <c r="C390" s="46" t="inlineStr">
        <is>
          <t>Strategy 1 – Zero-Shot + Structured Template</t>
        </is>
      </c>
      <c r="D390" s="75" t="inlineStr">
        <is>
          <t>SC02</t>
        </is>
      </c>
      <c r="E390" s="46" t="inlineStr">
        <is>
          <t>Business Email Compromise</t>
        </is>
      </c>
      <c r="F390" s="74" t="n"/>
    </row>
    <row r="391" ht="13.5" customHeight="1" s="38">
      <c r="A391" s="46" t="inlineStr">
        <is>
          <t>R_0388</t>
        </is>
      </c>
      <c r="B391" s="46" t="inlineStr">
        <is>
          <t>Z_S4_SC05_I09</t>
        </is>
      </c>
      <c r="C391" s="46" t="inlineStr">
        <is>
          <t>Strategy 4 – One-Shot + Template + BLUF</t>
        </is>
      </c>
      <c r="D391" s="75" t="inlineStr">
        <is>
          <t>SC05</t>
        </is>
      </c>
      <c r="E391" s="46" t="inlineStr">
        <is>
          <t>Zero-Day / Edge Device</t>
        </is>
      </c>
      <c r="F391" s="74" t="n"/>
    </row>
    <row r="392" ht="13.5" customHeight="1" s="38">
      <c r="A392" s="46" t="inlineStr">
        <is>
          <t>R_0389</t>
        </is>
      </c>
      <c r="B392" s="46" t="inlineStr">
        <is>
          <t>Z_S4_SC01_I01</t>
        </is>
      </c>
      <c r="C392" s="46" t="inlineStr">
        <is>
          <t>Strategy 4 – One-Shot + Template + BLUF</t>
        </is>
      </c>
      <c r="D392" s="75" t="inlineStr">
        <is>
          <t>SC01</t>
        </is>
      </c>
      <c r="E392" s="46" t="inlineStr">
        <is>
          <t>Zero-Day / Edge Device</t>
        </is>
      </c>
      <c r="F392" s="74" t="n"/>
    </row>
    <row r="393" ht="13.5" customHeight="1" s="38">
      <c r="A393" s="46" t="inlineStr">
        <is>
          <t>R_0390</t>
        </is>
      </c>
      <c r="B393" s="46" t="inlineStr">
        <is>
          <t>B_S4_SC02_I03</t>
        </is>
      </c>
      <c r="C393" s="46" t="inlineStr">
        <is>
          <t>Strategy 4 – One-Shot + Template + BLUF</t>
        </is>
      </c>
      <c r="D393" s="75" t="inlineStr">
        <is>
          <t>SC02</t>
        </is>
      </c>
      <c r="E393" s="46" t="inlineStr">
        <is>
          <t>Business Email Compromise</t>
        </is>
      </c>
      <c r="F393" s="74" t="n"/>
    </row>
    <row r="394" ht="13.5" customHeight="1" s="38">
      <c r="A394" s="46" t="inlineStr">
        <is>
          <t>R_0391</t>
        </is>
      </c>
      <c r="B394" s="46" t="inlineStr">
        <is>
          <t>R_S4_SC04_I10</t>
        </is>
      </c>
      <c r="C394" s="46" t="inlineStr">
        <is>
          <t>Strategy 4 – One-Shot + Template + BLUF</t>
        </is>
      </c>
      <c r="D394" s="75" t="inlineStr">
        <is>
          <t>SC04</t>
        </is>
      </c>
      <c r="E394" s="46" t="inlineStr">
        <is>
          <t>Ransomware</t>
        </is>
      </c>
      <c r="F394" s="74" t="n"/>
    </row>
    <row r="395" ht="13.5" customHeight="1" s="38">
      <c r="A395" s="46" t="inlineStr">
        <is>
          <t>R_0392</t>
        </is>
      </c>
      <c r="B395" s="46" t="inlineStr">
        <is>
          <t>Z_S2_SC03_I10</t>
        </is>
      </c>
      <c r="C395" s="46" t="inlineStr">
        <is>
          <t>Strategy 2 – Zero-Shot + Template + BLUF</t>
        </is>
      </c>
      <c r="D395" s="75" t="inlineStr">
        <is>
          <t>SC03</t>
        </is>
      </c>
      <c r="E395" s="46" t="inlineStr">
        <is>
          <t>Zero-Day / Edge Device</t>
        </is>
      </c>
      <c r="F395" s="74" t="n"/>
    </row>
    <row r="396" ht="13.5" customHeight="1" s="38">
      <c r="A396" s="46" t="inlineStr">
        <is>
          <t>R_0393</t>
        </is>
      </c>
      <c r="B396" s="46" t="inlineStr">
        <is>
          <t>S_S0_SC04_I09</t>
        </is>
      </c>
      <c r="C396" s="46" t="inlineStr">
        <is>
          <t>Baseline – Zero-Shot (minimal instruction)</t>
        </is>
      </c>
      <c r="D396" s="75" t="inlineStr">
        <is>
          <t>SC04</t>
        </is>
      </c>
      <c r="E396" s="46" t="inlineStr">
        <is>
          <t>Supply Chain</t>
        </is>
      </c>
      <c r="F396" s="74" t="n"/>
    </row>
    <row r="397" ht="13.5" customHeight="1" s="38">
      <c r="A397" s="46" t="inlineStr">
        <is>
          <t>R_0394</t>
        </is>
      </c>
      <c r="B397" s="46" t="inlineStr">
        <is>
          <t>B_S1_SC03_I06</t>
        </is>
      </c>
      <c r="C397" s="46" t="inlineStr">
        <is>
          <t>Strategy 1 – Zero-Shot + Structured Template</t>
        </is>
      </c>
      <c r="D397" s="75" t="inlineStr">
        <is>
          <t>SC03</t>
        </is>
      </c>
      <c r="E397" s="46" t="inlineStr">
        <is>
          <t>Business Email Compromise</t>
        </is>
      </c>
      <c r="F397" s="74" t="n"/>
    </row>
    <row r="398" ht="13.5" customHeight="1" s="38">
      <c r="A398" s="46" t="inlineStr">
        <is>
          <t>R_0395</t>
        </is>
      </c>
      <c r="B398" s="46" t="inlineStr">
        <is>
          <t>R_S4_SC05_I01</t>
        </is>
      </c>
      <c r="C398" s="46" t="inlineStr">
        <is>
          <t>Strategy 4 – One-Shot + Template + BLUF</t>
        </is>
      </c>
      <c r="D398" s="75" t="inlineStr">
        <is>
          <t>SC05</t>
        </is>
      </c>
      <c r="E398" s="46" t="inlineStr">
        <is>
          <t>Ransomware</t>
        </is>
      </c>
      <c r="F398" s="74" t="n"/>
    </row>
    <row r="399" ht="13.5" customHeight="1" s="38">
      <c r="A399" s="46" t="inlineStr">
        <is>
          <t>R_0396</t>
        </is>
      </c>
      <c r="B399" s="46" t="inlineStr">
        <is>
          <t>B_S0_SC02_I04</t>
        </is>
      </c>
      <c r="C399" s="46" t="inlineStr">
        <is>
          <t>Baseline – Zero-Shot (minimal instruction)</t>
        </is>
      </c>
      <c r="D399" s="75" t="inlineStr">
        <is>
          <t>SC02</t>
        </is>
      </c>
      <c r="E399" s="46" t="inlineStr">
        <is>
          <t>Business Email Compromise</t>
        </is>
      </c>
      <c r="F399" s="74" t="n"/>
    </row>
    <row r="400" ht="13.5" customHeight="1" s="38">
      <c r="A400" s="46" t="inlineStr">
        <is>
          <t>R_0397</t>
        </is>
      </c>
      <c r="B400" s="46" t="inlineStr">
        <is>
          <t>Z_S0_SC01_I02</t>
        </is>
      </c>
      <c r="C400" s="46" t="inlineStr">
        <is>
          <t>Baseline – Zero-Shot (minimal instruction)</t>
        </is>
      </c>
      <c r="D400" s="75" t="inlineStr">
        <is>
          <t>SC01</t>
        </is>
      </c>
      <c r="E400" s="46" t="inlineStr">
        <is>
          <t>Zero-Day / Edge Device</t>
        </is>
      </c>
      <c r="F400" s="74" t="n"/>
    </row>
    <row r="401" ht="13.5" customHeight="1" s="38">
      <c r="A401" s="46" t="inlineStr">
        <is>
          <t>R_0398</t>
        </is>
      </c>
      <c r="B401" s="46" t="inlineStr">
        <is>
          <t>S_S0_SC04_I04</t>
        </is>
      </c>
      <c r="C401" s="46" t="inlineStr">
        <is>
          <t>Baseline – Zero-Shot (minimal instruction)</t>
        </is>
      </c>
      <c r="D401" s="75" t="inlineStr">
        <is>
          <t>SC04</t>
        </is>
      </c>
      <c r="E401" s="46" t="inlineStr">
        <is>
          <t>Supply Chain</t>
        </is>
      </c>
      <c r="F401" s="74" t="n"/>
    </row>
    <row r="402" ht="13.5" customHeight="1" s="38">
      <c r="A402" s="46" t="inlineStr">
        <is>
          <t>R_0399</t>
        </is>
      </c>
      <c r="B402" s="46" t="inlineStr">
        <is>
          <t>Z_S1_SC04_I02</t>
        </is>
      </c>
      <c r="C402" s="46" t="inlineStr">
        <is>
          <t>Strategy 1 – Zero-Shot + Structured Template</t>
        </is>
      </c>
      <c r="D402" s="75" t="inlineStr">
        <is>
          <t>SC04</t>
        </is>
      </c>
      <c r="E402" s="46" t="inlineStr">
        <is>
          <t>Zero-Day / Edge Device</t>
        </is>
      </c>
      <c r="F402" s="74" t="n"/>
    </row>
    <row r="403" ht="13.5" customHeight="1" s="38">
      <c r="A403" s="46" t="inlineStr">
        <is>
          <t>R_0400</t>
        </is>
      </c>
      <c r="B403" s="46" t="inlineStr">
        <is>
          <t>S_S3_SC02_I09</t>
        </is>
      </c>
      <c r="C403" s="46" t="inlineStr">
        <is>
          <t>Strategy 3 – One-Shot + Structured Template</t>
        </is>
      </c>
      <c r="D403" s="75" t="inlineStr">
        <is>
          <t>SC02</t>
        </is>
      </c>
      <c r="E403" s="46" t="inlineStr">
        <is>
          <t>Supply Chain</t>
        </is>
      </c>
      <c r="F403" s="74" t="n"/>
    </row>
    <row r="404" ht="13.5" customHeight="1" s="38">
      <c r="A404" s="46" t="inlineStr">
        <is>
          <t>R_0401</t>
        </is>
      </c>
      <c r="B404" s="46" t="inlineStr">
        <is>
          <t>Z_S0_SC03_I05</t>
        </is>
      </c>
      <c r="C404" s="46" t="inlineStr">
        <is>
          <t>Baseline – Zero-Shot (minimal instruction)</t>
        </is>
      </c>
      <c r="D404" s="75" t="inlineStr">
        <is>
          <t>SC03</t>
        </is>
      </c>
      <c r="E404" s="46" t="inlineStr">
        <is>
          <t>Zero-Day / Edge Device</t>
        </is>
      </c>
      <c r="F404" s="74" t="n"/>
    </row>
    <row r="405" ht="13.5" customHeight="1" s="38">
      <c r="A405" s="46" t="inlineStr">
        <is>
          <t>R_0402</t>
        </is>
      </c>
      <c r="B405" s="46" t="inlineStr">
        <is>
          <t>Z_S1_SC03_I10</t>
        </is>
      </c>
      <c r="C405" s="46" t="inlineStr">
        <is>
          <t>Strategy 1 – Zero-Shot + Structured Template</t>
        </is>
      </c>
      <c r="D405" s="75" t="inlineStr">
        <is>
          <t>SC03</t>
        </is>
      </c>
      <c r="E405" s="46" t="inlineStr">
        <is>
          <t>Zero-Day / Edge Device</t>
        </is>
      </c>
      <c r="F405" s="74" t="n"/>
    </row>
    <row r="406" ht="13.5" customHeight="1" s="38">
      <c r="A406" s="46" t="inlineStr">
        <is>
          <t>R_0403</t>
        </is>
      </c>
      <c r="B406" s="46" t="inlineStr">
        <is>
          <t>S_S2_SC04_I10</t>
        </is>
      </c>
      <c r="C406" s="46" t="inlineStr">
        <is>
          <t>Strategy 2 – Zero-Shot + Template + BLUF</t>
        </is>
      </c>
      <c r="D406" s="75" t="inlineStr">
        <is>
          <t>SC04</t>
        </is>
      </c>
      <c r="E406" s="46" t="inlineStr">
        <is>
          <t>Supply Chain</t>
        </is>
      </c>
      <c r="F406" s="74" t="n"/>
    </row>
    <row r="407" ht="13.5" customHeight="1" s="38">
      <c r="A407" s="46" t="inlineStr">
        <is>
          <t>R_0404</t>
        </is>
      </c>
      <c r="B407" s="46" t="inlineStr">
        <is>
          <t>R_S1_SC01_I06</t>
        </is>
      </c>
      <c r="C407" s="46" t="inlineStr">
        <is>
          <t>Strategy 1 – Zero-Shot + Structured Template</t>
        </is>
      </c>
      <c r="D407" s="75" t="inlineStr">
        <is>
          <t>SC01</t>
        </is>
      </c>
      <c r="E407" s="46" t="inlineStr">
        <is>
          <t>Ransomware</t>
        </is>
      </c>
      <c r="F407" s="74" t="n"/>
    </row>
    <row r="408" ht="13.5" customHeight="1" s="38">
      <c r="A408" s="46" t="inlineStr">
        <is>
          <t>R_0405</t>
        </is>
      </c>
      <c r="B408" s="46" t="inlineStr">
        <is>
          <t>S_S0_SC05_I07</t>
        </is>
      </c>
      <c r="C408" s="46" t="inlineStr">
        <is>
          <t>Baseline – Zero-Shot (minimal instruction)</t>
        </is>
      </c>
      <c r="D408" s="75" t="inlineStr">
        <is>
          <t>SC05</t>
        </is>
      </c>
      <c r="E408" s="46" t="inlineStr">
        <is>
          <t>Supply Chain</t>
        </is>
      </c>
      <c r="F408" s="74" t="n"/>
    </row>
    <row r="409" ht="13.5" customHeight="1" s="38">
      <c r="A409" s="46" t="inlineStr">
        <is>
          <t>R_0406</t>
        </is>
      </c>
      <c r="B409" s="46" t="inlineStr">
        <is>
          <t>S_S4_SC03_I04</t>
        </is>
      </c>
      <c r="C409" s="46" t="inlineStr">
        <is>
          <t>Strategy 4 – One-Shot + Template + BLUF</t>
        </is>
      </c>
      <c r="D409" s="75" t="inlineStr">
        <is>
          <t>SC03</t>
        </is>
      </c>
      <c r="E409" s="46" t="inlineStr">
        <is>
          <t>Supply Chain</t>
        </is>
      </c>
      <c r="F409" s="74" t="n"/>
    </row>
    <row r="410" ht="13.5" customHeight="1" s="38">
      <c r="A410" s="46" t="inlineStr">
        <is>
          <t>R_0407</t>
        </is>
      </c>
      <c r="B410" s="46" t="inlineStr">
        <is>
          <t>R_S2_SC02_I03</t>
        </is>
      </c>
      <c r="C410" s="46" t="inlineStr">
        <is>
          <t>Strategy 2 – Zero-Shot + Template + BLUF</t>
        </is>
      </c>
      <c r="D410" s="75" t="inlineStr">
        <is>
          <t>SC02</t>
        </is>
      </c>
      <c r="E410" s="46" t="inlineStr">
        <is>
          <t>Ransomware</t>
        </is>
      </c>
      <c r="F410" s="74" t="n"/>
    </row>
    <row r="411" ht="13.5" customHeight="1" s="38">
      <c r="A411" s="46" t="inlineStr">
        <is>
          <t>R_0408</t>
        </is>
      </c>
      <c r="B411" s="46" t="inlineStr">
        <is>
          <t>R_S2_SC02_I02</t>
        </is>
      </c>
      <c r="C411" s="46" t="inlineStr">
        <is>
          <t>Strategy 2 – Zero-Shot + Template + BLUF</t>
        </is>
      </c>
      <c r="D411" s="75" t="inlineStr">
        <is>
          <t>SC02</t>
        </is>
      </c>
      <c r="E411" s="46" t="inlineStr">
        <is>
          <t>Ransomware</t>
        </is>
      </c>
      <c r="F411" s="74" t="n"/>
    </row>
    <row r="412" ht="13.5" customHeight="1" s="38">
      <c r="A412" s="46" t="inlineStr">
        <is>
          <t>R_0409</t>
        </is>
      </c>
      <c r="B412" s="46" t="inlineStr">
        <is>
          <t>S_S4_SC01_I09</t>
        </is>
      </c>
      <c r="C412" s="46" t="inlineStr">
        <is>
          <t>Strategy 4 – One-Shot + Template + BLUF</t>
        </is>
      </c>
      <c r="D412" s="75" t="inlineStr">
        <is>
          <t>SC01</t>
        </is>
      </c>
      <c r="E412" s="46" t="inlineStr">
        <is>
          <t>Supply Chain</t>
        </is>
      </c>
      <c r="F412" s="74" t="n"/>
    </row>
    <row r="413" ht="13.5" customHeight="1" s="38">
      <c r="A413" s="46" t="inlineStr">
        <is>
          <t>R_0410</t>
        </is>
      </c>
      <c r="B413" s="46" t="inlineStr">
        <is>
          <t>Z_S2_SC02_I02</t>
        </is>
      </c>
      <c r="C413" s="46" t="inlineStr">
        <is>
          <t>Strategy 2 – Zero-Shot + Template + BLUF</t>
        </is>
      </c>
      <c r="D413" s="75" t="inlineStr">
        <is>
          <t>SC02</t>
        </is>
      </c>
      <c r="E413" s="46" t="inlineStr">
        <is>
          <t>Zero-Day / Edge Device</t>
        </is>
      </c>
      <c r="F413" s="74" t="n"/>
    </row>
    <row r="414" ht="13.5" customHeight="1" s="38">
      <c r="A414" s="46" t="inlineStr">
        <is>
          <t>R_0411</t>
        </is>
      </c>
      <c r="B414" s="46" t="inlineStr">
        <is>
          <t>S_S4_SC04_I04</t>
        </is>
      </c>
      <c r="C414" s="46" t="inlineStr">
        <is>
          <t>Strategy 4 – One-Shot + Template + BLUF</t>
        </is>
      </c>
      <c r="D414" s="75" t="inlineStr">
        <is>
          <t>SC04</t>
        </is>
      </c>
      <c r="E414" s="46" t="inlineStr">
        <is>
          <t>Supply Chain</t>
        </is>
      </c>
      <c r="F414" s="74" t="n"/>
    </row>
    <row r="415" ht="13.5" customHeight="1" s="38">
      <c r="A415" s="46" t="inlineStr">
        <is>
          <t>R_0412</t>
        </is>
      </c>
      <c r="B415" s="46" t="inlineStr">
        <is>
          <t>S_S0_SC02_I06</t>
        </is>
      </c>
      <c r="C415" s="46" t="inlineStr">
        <is>
          <t>Baseline – Zero-Shot (minimal instruction)</t>
        </is>
      </c>
      <c r="D415" s="75" t="inlineStr">
        <is>
          <t>SC02</t>
        </is>
      </c>
      <c r="E415" s="46" t="inlineStr">
        <is>
          <t>Supply Chain</t>
        </is>
      </c>
      <c r="F415" s="74" t="n"/>
    </row>
    <row r="416" ht="13.5" customHeight="1" s="38">
      <c r="A416" s="46" t="inlineStr">
        <is>
          <t>R_0413</t>
        </is>
      </c>
      <c r="B416" s="46" t="inlineStr">
        <is>
          <t>Z_S3_SC01_I03</t>
        </is>
      </c>
      <c r="C416" s="46" t="inlineStr">
        <is>
          <t>Strategy 3 – One-Shot + Structured Template</t>
        </is>
      </c>
      <c r="D416" s="75" t="inlineStr">
        <is>
          <t>SC01</t>
        </is>
      </c>
      <c r="E416" s="46" t="inlineStr">
        <is>
          <t>Zero-Day / Edge Device</t>
        </is>
      </c>
      <c r="F416" s="74" t="n"/>
    </row>
    <row r="417" ht="13.5" customHeight="1" s="38">
      <c r="A417" s="46" t="inlineStr">
        <is>
          <t>R_0414</t>
        </is>
      </c>
      <c r="B417" s="46" t="inlineStr">
        <is>
          <t>R_S3_SC04_I08</t>
        </is>
      </c>
      <c r="C417" s="46" t="inlineStr">
        <is>
          <t>Strategy 3 – One-Shot + Structured Template</t>
        </is>
      </c>
      <c r="D417" s="75" t="inlineStr">
        <is>
          <t>SC04</t>
        </is>
      </c>
      <c r="E417" s="46" t="inlineStr">
        <is>
          <t>Ransomware</t>
        </is>
      </c>
      <c r="F417" s="74" t="n"/>
    </row>
    <row r="418" ht="13.5" customHeight="1" s="38">
      <c r="A418" s="46" t="inlineStr">
        <is>
          <t>R_0415</t>
        </is>
      </c>
      <c r="B418" s="46" t="inlineStr">
        <is>
          <t>R_S1_SC01_I02</t>
        </is>
      </c>
      <c r="C418" s="46" t="inlineStr">
        <is>
          <t>Strategy 1 – Zero-Shot + Structured Template</t>
        </is>
      </c>
      <c r="D418" s="75" t="inlineStr">
        <is>
          <t>SC01</t>
        </is>
      </c>
      <c r="E418" s="46" t="inlineStr">
        <is>
          <t>Ransomware</t>
        </is>
      </c>
      <c r="F418" s="74" t="n"/>
    </row>
    <row r="419" ht="13.5" customHeight="1" s="38">
      <c r="A419" s="46" t="inlineStr">
        <is>
          <t>R_0416</t>
        </is>
      </c>
      <c r="B419" s="46" t="inlineStr">
        <is>
          <t>Z_S1_SC03_I01</t>
        </is>
      </c>
      <c r="C419" s="46" t="inlineStr">
        <is>
          <t>Strategy 1 – Zero-Shot + Structured Template</t>
        </is>
      </c>
      <c r="D419" s="75" t="inlineStr">
        <is>
          <t>SC03</t>
        </is>
      </c>
      <c r="E419" s="46" t="inlineStr">
        <is>
          <t>Zero-Day / Edge Device</t>
        </is>
      </c>
      <c r="F419" s="74" t="n"/>
    </row>
    <row r="420" ht="13.5" customHeight="1" s="38">
      <c r="A420" s="46" t="inlineStr">
        <is>
          <t>R_0417</t>
        </is>
      </c>
      <c r="B420" s="46" t="inlineStr">
        <is>
          <t>Z_S3_SC02_I09</t>
        </is>
      </c>
      <c r="C420" s="46" t="inlineStr">
        <is>
          <t>Strategy 3 – One-Shot + Structured Template</t>
        </is>
      </c>
      <c r="D420" s="75" t="inlineStr">
        <is>
          <t>SC02</t>
        </is>
      </c>
      <c r="E420" s="46" t="inlineStr">
        <is>
          <t>Zero-Day / Edge Device</t>
        </is>
      </c>
      <c r="F420" s="74" t="n"/>
    </row>
    <row r="421" ht="13.5" customHeight="1" s="38">
      <c r="A421" s="46" t="inlineStr">
        <is>
          <t>R_0418</t>
        </is>
      </c>
      <c r="B421" s="46" t="inlineStr">
        <is>
          <t>B_S1_SC01_I03</t>
        </is>
      </c>
      <c r="C421" s="46" t="inlineStr">
        <is>
          <t>Strategy 1 – Zero-Shot + Structured Template</t>
        </is>
      </c>
      <c r="D421" s="75" t="inlineStr">
        <is>
          <t>SC01</t>
        </is>
      </c>
      <c r="E421" s="46" t="inlineStr">
        <is>
          <t>Business Email Compromise</t>
        </is>
      </c>
      <c r="F421" s="74" t="n"/>
    </row>
    <row r="422" ht="13.5" customHeight="1" s="38">
      <c r="A422" s="46" t="inlineStr">
        <is>
          <t>R_0419</t>
        </is>
      </c>
      <c r="B422" s="46" t="inlineStr">
        <is>
          <t>R_S2_SC02_I08</t>
        </is>
      </c>
      <c r="C422" s="46" t="inlineStr">
        <is>
          <t>Strategy 2 – Zero-Shot + Template + BLUF</t>
        </is>
      </c>
      <c r="D422" s="75" t="inlineStr">
        <is>
          <t>SC02</t>
        </is>
      </c>
      <c r="E422" s="46" t="inlineStr">
        <is>
          <t>Ransomware</t>
        </is>
      </c>
      <c r="F422" s="74" t="n"/>
    </row>
    <row r="423" ht="13.5" customHeight="1" s="38">
      <c r="A423" s="46" t="inlineStr">
        <is>
          <t>R_0420</t>
        </is>
      </c>
      <c r="B423" s="46" t="inlineStr">
        <is>
          <t>Z_S1_SC02_I05</t>
        </is>
      </c>
      <c r="C423" s="46" t="inlineStr">
        <is>
          <t>Strategy 1 – Zero-Shot + Structured Template</t>
        </is>
      </c>
      <c r="D423" s="75" t="inlineStr">
        <is>
          <t>SC02</t>
        </is>
      </c>
      <c r="E423" s="46" t="inlineStr">
        <is>
          <t>Zero-Day / Edge Device</t>
        </is>
      </c>
      <c r="F423" s="74" t="n"/>
    </row>
    <row r="424" ht="13.5" customHeight="1" s="38">
      <c r="A424" s="46" t="inlineStr">
        <is>
          <t>R_0421</t>
        </is>
      </c>
      <c r="B424" s="46" t="inlineStr">
        <is>
          <t>Z_S3_SC02_I01</t>
        </is>
      </c>
      <c r="C424" s="46" t="inlineStr">
        <is>
          <t>Strategy 3 – One-Shot + Structured Template</t>
        </is>
      </c>
      <c r="D424" s="75" t="inlineStr">
        <is>
          <t>SC02</t>
        </is>
      </c>
      <c r="E424" s="46" t="inlineStr">
        <is>
          <t>Zero-Day / Edge Device</t>
        </is>
      </c>
      <c r="F424" s="74" t="n"/>
    </row>
    <row r="425" ht="13.5" customHeight="1" s="38">
      <c r="A425" s="46" t="inlineStr">
        <is>
          <t>R_0422</t>
        </is>
      </c>
      <c r="B425" s="46" t="inlineStr">
        <is>
          <t>Z_S2_SC04_I05</t>
        </is>
      </c>
      <c r="C425" s="46" t="inlineStr">
        <is>
          <t>Strategy 2 – Zero-Shot + Template + BLUF</t>
        </is>
      </c>
      <c r="D425" s="75" t="inlineStr">
        <is>
          <t>SC04</t>
        </is>
      </c>
      <c r="E425" s="46" t="inlineStr">
        <is>
          <t>Zero-Day / Edge Device</t>
        </is>
      </c>
      <c r="F425" s="74" t="n"/>
    </row>
    <row r="426" ht="13.5" customHeight="1" s="38">
      <c r="A426" s="46" t="inlineStr">
        <is>
          <t>R_0423</t>
        </is>
      </c>
      <c r="B426" s="46" t="inlineStr">
        <is>
          <t>Z_S2_SC04_I09</t>
        </is>
      </c>
      <c r="C426" s="46" t="inlineStr">
        <is>
          <t>Strategy 2 – Zero-Shot + Template + BLUF</t>
        </is>
      </c>
      <c r="D426" s="75" t="inlineStr">
        <is>
          <t>SC04</t>
        </is>
      </c>
      <c r="E426" s="46" t="inlineStr">
        <is>
          <t>Zero-Day / Edge Device</t>
        </is>
      </c>
      <c r="F426" s="74" t="n"/>
    </row>
    <row r="427" ht="13.5" customHeight="1" s="38">
      <c r="A427" s="46" t="inlineStr">
        <is>
          <t>R_0424</t>
        </is>
      </c>
      <c r="B427" s="46" t="inlineStr">
        <is>
          <t>S_S1_SC05_I05</t>
        </is>
      </c>
      <c r="C427" s="46" t="inlineStr">
        <is>
          <t>Strategy 1 – Zero-Shot + Structured Template</t>
        </is>
      </c>
      <c r="D427" s="75" t="inlineStr">
        <is>
          <t>SC05</t>
        </is>
      </c>
      <c r="E427" s="46" t="inlineStr">
        <is>
          <t>Supply Chain</t>
        </is>
      </c>
      <c r="F427" s="74" t="n"/>
    </row>
    <row r="428" ht="13.5" customHeight="1" s="38">
      <c r="A428" s="46" t="inlineStr">
        <is>
          <t>R_0425</t>
        </is>
      </c>
      <c r="B428" s="46" t="inlineStr">
        <is>
          <t>R_S0_SC05_I01</t>
        </is>
      </c>
      <c r="C428" s="46" t="inlineStr">
        <is>
          <t>Baseline – Zero-Shot (minimal instruction)</t>
        </is>
      </c>
      <c r="D428" s="75" t="inlineStr">
        <is>
          <t>SC05</t>
        </is>
      </c>
      <c r="E428" s="46" t="inlineStr">
        <is>
          <t>Ransomware</t>
        </is>
      </c>
      <c r="F428" s="74" t="n"/>
    </row>
    <row r="429" ht="13.5" customHeight="1" s="38">
      <c r="A429" s="46" t="inlineStr">
        <is>
          <t>R_0426</t>
        </is>
      </c>
      <c r="B429" s="46" t="inlineStr">
        <is>
          <t>S_S0_SC03_I04</t>
        </is>
      </c>
      <c r="C429" s="46" t="inlineStr">
        <is>
          <t>Baseline – Zero-Shot (minimal instruction)</t>
        </is>
      </c>
      <c r="D429" s="75" t="inlineStr">
        <is>
          <t>SC03</t>
        </is>
      </c>
      <c r="E429" s="46" t="inlineStr">
        <is>
          <t>Supply Chain</t>
        </is>
      </c>
      <c r="F429" s="74" t="n"/>
    </row>
    <row r="430" ht="13.5" customHeight="1" s="38">
      <c r="A430" s="46" t="inlineStr">
        <is>
          <t>R_0427</t>
        </is>
      </c>
      <c r="B430" s="46" t="inlineStr">
        <is>
          <t>R_S2_SC04_I01</t>
        </is>
      </c>
      <c r="C430" s="46" t="inlineStr">
        <is>
          <t>Strategy 2 – Zero-Shot + Template + BLUF</t>
        </is>
      </c>
      <c r="D430" s="75" t="inlineStr">
        <is>
          <t>SC04</t>
        </is>
      </c>
      <c r="E430" s="46" t="inlineStr">
        <is>
          <t>Ransomware</t>
        </is>
      </c>
      <c r="F430" s="74" t="n"/>
    </row>
    <row r="431" ht="13.5" customHeight="1" s="38">
      <c r="A431" s="46" t="inlineStr">
        <is>
          <t>R_0428</t>
        </is>
      </c>
      <c r="B431" s="46" t="inlineStr">
        <is>
          <t>Z_S1_SC04_I03</t>
        </is>
      </c>
      <c r="C431" s="46" t="inlineStr">
        <is>
          <t>Strategy 1 – Zero-Shot + Structured Template</t>
        </is>
      </c>
      <c r="D431" s="75" t="inlineStr">
        <is>
          <t>SC04</t>
        </is>
      </c>
      <c r="E431" s="46" t="inlineStr">
        <is>
          <t>Zero-Day / Edge Device</t>
        </is>
      </c>
      <c r="F431" s="74" t="n"/>
    </row>
    <row r="432" ht="13.5" customHeight="1" s="38">
      <c r="A432" s="46" t="inlineStr">
        <is>
          <t>R_0429</t>
        </is>
      </c>
      <c r="B432" s="46" t="inlineStr">
        <is>
          <t>R_S1_SC04_I03</t>
        </is>
      </c>
      <c r="C432" s="46" t="inlineStr">
        <is>
          <t>Strategy 1 – Zero-Shot + Structured Template</t>
        </is>
      </c>
      <c r="D432" s="75" t="inlineStr">
        <is>
          <t>SC04</t>
        </is>
      </c>
      <c r="E432" s="46" t="inlineStr">
        <is>
          <t>Ransomware</t>
        </is>
      </c>
      <c r="F432" s="74" t="n"/>
    </row>
    <row r="433" ht="13.5" customHeight="1" s="38">
      <c r="A433" s="46" t="inlineStr">
        <is>
          <t>R_0430</t>
        </is>
      </c>
      <c r="B433" s="46" t="inlineStr">
        <is>
          <t>B_S4_SC04_I04</t>
        </is>
      </c>
      <c r="C433" s="46" t="inlineStr">
        <is>
          <t>Strategy 4 – One-Shot + Template + BLUF</t>
        </is>
      </c>
      <c r="D433" s="75" t="inlineStr">
        <is>
          <t>SC04</t>
        </is>
      </c>
      <c r="E433" s="46" t="inlineStr">
        <is>
          <t>Business Email Compromise</t>
        </is>
      </c>
      <c r="F433" s="74" t="n"/>
    </row>
    <row r="434" ht="13.5" customHeight="1" s="38">
      <c r="A434" s="46" t="inlineStr">
        <is>
          <t>R_0431</t>
        </is>
      </c>
      <c r="B434" s="46" t="inlineStr">
        <is>
          <t>B_S0_SC04_I09</t>
        </is>
      </c>
      <c r="C434" s="46" t="inlineStr">
        <is>
          <t>Baseline – Zero-Shot (minimal instruction)</t>
        </is>
      </c>
      <c r="D434" s="75" t="inlineStr">
        <is>
          <t>SC04</t>
        </is>
      </c>
      <c r="E434" s="46" t="inlineStr">
        <is>
          <t>Business Email Compromise</t>
        </is>
      </c>
      <c r="F434" s="74" t="n"/>
    </row>
    <row r="435" ht="13.5" customHeight="1" s="38">
      <c r="A435" s="46" t="inlineStr">
        <is>
          <t>R_0432</t>
        </is>
      </c>
      <c r="B435" s="46" t="inlineStr">
        <is>
          <t>Z_S2_SC01_I09</t>
        </is>
      </c>
      <c r="C435" s="46" t="inlineStr">
        <is>
          <t>Strategy 2 – Zero-Shot + Template + BLUF</t>
        </is>
      </c>
      <c r="D435" s="75" t="inlineStr">
        <is>
          <t>SC01</t>
        </is>
      </c>
      <c r="E435" s="46" t="inlineStr">
        <is>
          <t>Zero-Day / Edge Device</t>
        </is>
      </c>
      <c r="F435" s="74" t="n"/>
    </row>
    <row r="436" ht="13.5" customHeight="1" s="38">
      <c r="A436" s="46" t="inlineStr">
        <is>
          <t>R_0433</t>
        </is>
      </c>
      <c r="B436" s="46" t="inlineStr">
        <is>
          <t>B_S4_SC05_I09</t>
        </is>
      </c>
      <c r="C436" s="46" t="inlineStr">
        <is>
          <t>Strategy 4 – One-Shot + Template + BLUF</t>
        </is>
      </c>
      <c r="D436" s="75" t="inlineStr">
        <is>
          <t>SC05</t>
        </is>
      </c>
      <c r="E436" s="46" t="inlineStr">
        <is>
          <t>Business Email Compromise</t>
        </is>
      </c>
      <c r="F436" s="74" t="n"/>
    </row>
    <row r="437" ht="13.5" customHeight="1" s="38">
      <c r="A437" s="46" t="inlineStr">
        <is>
          <t>R_0434</t>
        </is>
      </c>
      <c r="B437" s="46" t="inlineStr">
        <is>
          <t>B_S3_SC02_I08</t>
        </is>
      </c>
      <c r="C437" s="46" t="inlineStr">
        <is>
          <t>Strategy 3 – One-Shot + Structured Template</t>
        </is>
      </c>
      <c r="D437" s="75" t="inlineStr">
        <is>
          <t>SC02</t>
        </is>
      </c>
      <c r="E437" s="46" t="inlineStr">
        <is>
          <t>Business Email Compromise</t>
        </is>
      </c>
      <c r="F437" s="74" t="n"/>
    </row>
    <row r="438" ht="13.5" customHeight="1" s="38">
      <c r="A438" s="46" t="inlineStr">
        <is>
          <t>R_0435</t>
        </is>
      </c>
      <c r="B438" s="46" t="inlineStr">
        <is>
          <t>S_S2_SC01_I07</t>
        </is>
      </c>
      <c r="C438" s="46" t="inlineStr">
        <is>
          <t>Strategy 2 – Zero-Shot + Template + BLUF</t>
        </is>
      </c>
      <c r="D438" s="75" t="inlineStr">
        <is>
          <t>SC01</t>
        </is>
      </c>
      <c r="E438" s="46" t="inlineStr">
        <is>
          <t>Supply Chain</t>
        </is>
      </c>
      <c r="F438" s="74" t="n"/>
    </row>
    <row r="439" ht="13.5" customHeight="1" s="38">
      <c r="A439" s="46" t="inlineStr">
        <is>
          <t>R_0436</t>
        </is>
      </c>
      <c r="B439" s="46" t="inlineStr">
        <is>
          <t>B_S0_SC03_I06</t>
        </is>
      </c>
      <c r="C439" s="46" t="inlineStr">
        <is>
          <t>Baseline – Zero-Shot (minimal instruction)</t>
        </is>
      </c>
      <c r="D439" s="75" t="inlineStr">
        <is>
          <t>SC03</t>
        </is>
      </c>
      <c r="E439" s="46" t="inlineStr">
        <is>
          <t>Business Email Compromise</t>
        </is>
      </c>
      <c r="F439" s="74" t="n"/>
    </row>
    <row r="440" ht="13.5" customHeight="1" s="38">
      <c r="A440" s="46" t="inlineStr">
        <is>
          <t>R_0437</t>
        </is>
      </c>
      <c r="B440" s="46" t="inlineStr">
        <is>
          <t>Z_S0_SC02_I05</t>
        </is>
      </c>
      <c r="C440" s="46" t="inlineStr">
        <is>
          <t>Baseline – Zero-Shot (minimal instruction)</t>
        </is>
      </c>
      <c r="D440" s="75" t="inlineStr">
        <is>
          <t>SC02</t>
        </is>
      </c>
      <c r="E440" s="46" t="inlineStr">
        <is>
          <t>Zero-Day / Edge Device</t>
        </is>
      </c>
      <c r="F440" s="74" t="n"/>
    </row>
    <row r="441" ht="13.5" customHeight="1" s="38">
      <c r="A441" s="46" t="inlineStr">
        <is>
          <t>R_0438</t>
        </is>
      </c>
      <c r="B441" s="46" t="inlineStr">
        <is>
          <t>B_S2_SC02_I04</t>
        </is>
      </c>
      <c r="C441" s="46" t="inlineStr">
        <is>
          <t>Strategy 2 – Zero-Shot + Template + BLUF</t>
        </is>
      </c>
      <c r="D441" s="75" t="inlineStr">
        <is>
          <t>SC02</t>
        </is>
      </c>
      <c r="E441" s="46" t="inlineStr">
        <is>
          <t>Business Email Compromise</t>
        </is>
      </c>
      <c r="F441" s="74" t="n"/>
    </row>
    <row r="442" ht="13.5" customHeight="1" s="38">
      <c r="A442" s="46" t="inlineStr">
        <is>
          <t>R_0439</t>
        </is>
      </c>
      <c r="B442" s="46" t="inlineStr">
        <is>
          <t>S_S4_SC02_I01</t>
        </is>
      </c>
      <c r="C442" s="46" t="inlineStr">
        <is>
          <t>Strategy 4 – One-Shot + Template + BLUF</t>
        </is>
      </c>
      <c r="D442" s="75" t="inlineStr">
        <is>
          <t>SC02</t>
        </is>
      </c>
      <c r="E442" s="46" t="inlineStr">
        <is>
          <t>Supply Chain</t>
        </is>
      </c>
      <c r="F442" s="74" t="n"/>
    </row>
    <row r="443" ht="13.5" customHeight="1" s="38">
      <c r="A443" s="46" t="inlineStr">
        <is>
          <t>R_0440</t>
        </is>
      </c>
      <c r="B443" s="46" t="inlineStr">
        <is>
          <t>Z_S1_SC01_I06</t>
        </is>
      </c>
      <c r="C443" s="46" t="inlineStr">
        <is>
          <t>Strategy 1 – Zero-Shot + Structured Template</t>
        </is>
      </c>
      <c r="D443" s="75" t="inlineStr">
        <is>
          <t>SC01</t>
        </is>
      </c>
      <c r="E443" s="46" t="inlineStr">
        <is>
          <t>Zero-Day / Edge Device</t>
        </is>
      </c>
      <c r="F443" s="74" t="n"/>
    </row>
    <row r="444" ht="13.5" customHeight="1" s="38">
      <c r="A444" s="46" t="inlineStr">
        <is>
          <t>R_0441</t>
        </is>
      </c>
      <c r="B444" s="46" t="inlineStr">
        <is>
          <t>B_S2_SC01_I05</t>
        </is>
      </c>
      <c r="C444" s="46" t="inlineStr">
        <is>
          <t>Strategy 2 – Zero-Shot + Template + BLUF</t>
        </is>
      </c>
      <c r="D444" s="75" t="inlineStr">
        <is>
          <t>SC01</t>
        </is>
      </c>
      <c r="E444" s="46" t="inlineStr">
        <is>
          <t>Business Email Compromise</t>
        </is>
      </c>
      <c r="F444" s="74" t="n"/>
    </row>
    <row r="445" ht="13.5" customHeight="1" s="38">
      <c r="A445" s="46" t="inlineStr">
        <is>
          <t>R_0442</t>
        </is>
      </c>
      <c r="B445" s="46" t="inlineStr">
        <is>
          <t>Z_S3_SC02_I04</t>
        </is>
      </c>
      <c r="C445" s="46" t="inlineStr">
        <is>
          <t>Strategy 3 – One-Shot + Structured Template</t>
        </is>
      </c>
      <c r="D445" s="75" t="inlineStr">
        <is>
          <t>SC02</t>
        </is>
      </c>
      <c r="E445" s="46" t="inlineStr">
        <is>
          <t>Zero-Day / Edge Device</t>
        </is>
      </c>
      <c r="F445" s="74" t="n"/>
    </row>
    <row r="446" ht="13.5" customHeight="1" s="38">
      <c r="A446" s="46" t="inlineStr">
        <is>
          <t>R_0443</t>
        </is>
      </c>
      <c r="B446" s="46" t="inlineStr">
        <is>
          <t>S_S0_SC04_I08</t>
        </is>
      </c>
      <c r="C446" s="46" t="inlineStr">
        <is>
          <t>Baseline – Zero-Shot (minimal instruction)</t>
        </is>
      </c>
      <c r="D446" s="75" t="inlineStr">
        <is>
          <t>SC04</t>
        </is>
      </c>
      <c r="E446" s="46" t="inlineStr">
        <is>
          <t>Supply Chain</t>
        </is>
      </c>
      <c r="F446" s="74" t="n"/>
    </row>
    <row r="447" ht="13.5" customHeight="1" s="38">
      <c r="A447" s="46" t="inlineStr">
        <is>
          <t>R_0444</t>
        </is>
      </c>
      <c r="B447" s="46" t="inlineStr">
        <is>
          <t>S_S1_SC04_I05</t>
        </is>
      </c>
      <c r="C447" s="46" t="inlineStr">
        <is>
          <t>Strategy 1 – Zero-Shot + Structured Template</t>
        </is>
      </c>
      <c r="D447" s="75" t="inlineStr">
        <is>
          <t>SC04</t>
        </is>
      </c>
      <c r="E447" s="46" t="inlineStr">
        <is>
          <t>Supply Chain</t>
        </is>
      </c>
      <c r="F447" s="74" t="n"/>
    </row>
    <row r="448" ht="13.5" customHeight="1" s="38">
      <c r="A448" s="46" t="inlineStr">
        <is>
          <t>R_0445</t>
        </is>
      </c>
      <c r="B448" s="46" t="inlineStr">
        <is>
          <t>B_S0_SC03_I08</t>
        </is>
      </c>
      <c r="C448" s="46" t="inlineStr">
        <is>
          <t>Baseline – Zero-Shot (minimal instruction)</t>
        </is>
      </c>
      <c r="D448" s="75" t="inlineStr">
        <is>
          <t>SC03</t>
        </is>
      </c>
      <c r="E448" s="46" t="inlineStr">
        <is>
          <t>Business Email Compromise</t>
        </is>
      </c>
      <c r="F448" s="74" t="n"/>
    </row>
    <row r="449" ht="13.5" customHeight="1" s="38">
      <c r="A449" s="46" t="inlineStr">
        <is>
          <t>R_0446</t>
        </is>
      </c>
      <c r="B449" s="46" t="inlineStr">
        <is>
          <t>R_S4_SC03_I01</t>
        </is>
      </c>
      <c r="C449" s="46" t="inlineStr">
        <is>
          <t>Strategy 4 – One-Shot + Template + BLUF</t>
        </is>
      </c>
      <c r="D449" s="75" t="inlineStr">
        <is>
          <t>SC03</t>
        </is>
      </c>
      <c r="E449" s="46" t="inlineStr">
        <is>
          <t>Ransomware</t>
        </is>
      </c>
      <c r="F449" s="74" t="n"/>
    </row>
    <row r="450" ht="13.5" customHeight="1" s="38">
      <c r="A450" s="46" t="inlineStr">
        <is>
          <t>R_0447</t>
        </is>
      </c>
      <c r="B450" s="46" t="inlineStr">
        <is>
          <t>B_S1_SC04_I01</t>
        </is>
      </c>
      <c r="C450" s="46" t="inlineStr">
        <is>
          <t>Strategy 1 – Zero-Shot + Structured Template</t>
        </is>
      </c>
      <c r="D450" s="75" t="inlineStr">
        <is>
          <t>SC04</t>
        </is>
      </c>
      <c r="E450" s="46" t="inlineStr">
        <is>
          <t>Business Email Compromise</t>
        </is>
      </c>
      <c r="F450" s="74" t="n"/>
    </row>
    <row r="451" ht="13.5" customHeight="1" s="38">
      <c r="A451" s="46" t="inlineStr">
        <is>
          <t>R_0448</t>
        </is>
      </c>
      <c r="B451" s="46" t="inlineStr">
        <is>
          <t>S_S0_SC05_I02</t>
        </is>
      </c>
      <c r="C451" s="46" t="inlineStr">
        <is>
          <t>Baseline – Zero-Shot (minimal instruction)</t>
        </is>
      </c>
      <c r="D451" s="75" t="inlineStr">
        <is>
          <t>SC05</t>
        </is>
      </c>
      <c r="E451" s="46" t="inlineStr">
        <is>
          <t>Supply Chain</t>
        </is>
      </c>
      <c r="F451" s="74" t="n"/>
    </row>
    <row r="452" ht="13.5" customHeight="1" s="38">
      <c r="A452" s="46" t="inlineStr">
        <is>
          <t>R_0449</t>
        </is>
      </c>
      <c r="B452" s="46" t="inlineStr">
        <is>
          <t>B_S3_SC01_I06</t>
        </is>
      </c>
      <c r="C452" s="46" t="inlineStr">
        <is>
          <t>Strategy 3 – One-Shot + Structured Template</t>
        </is>
      </c>
      <c r="D452" s="75" t="inlineStr">
        <is>
          <t>SC01</t>
        </is>
      </c>
      <c r="E452" s="46" t="inlineStr">
        <is>
          <t>Business Email Compromise</t>
        </is>
      </c>
      <c r="F452" s="74" t="n"/>
    </row>
    <row r="453" ht="13.5" customHeight="1" s="38">
      <c r="A453" s="46" t="inlineStr">
        <is>
          <t>R_0450</t>
        </is>
      </c>
      <c r="B453" s="46" t="inlineStr">
        <is>
          <t>Z_S2_SC01_I03</t>
        </is>
      </c>
      <c r="C453" s="46" t="inlineStr">
        <is>
          <t>Strategy 2 – Zero-Shot + Template + BLUF</t>
        </is>
      </c>
      <c r="D453" s="75" t="inlineStr">
        <is>
          <t>SC01</t>
        </is>
      </c>
      <c r="E453" s="46" t="inlineStr">
        <is>
          <t>Zero-Day / Edge Device</t>
        </is>
      </c>
      <c r="F453" s="74" t="n"/>
    </row>
    <row r="454" ht="13.5" customHeight="1" s="38">
      <c r="A454" s="46" t="inlineStr">
        <is>
          <t>R_0451</t>
        </is>
      </c>
      <c r="B454" s="46" t="inlineStr">
        <is>
          <t>B_S1_SC01_I08</t>
        </is>
      </c>
      <c r="C454" s="46" t="inlineStr">
        <is>
          <t>Strategy 1 – Zero-Shot + Structured Template</t>
        </is>
      </c>
      <c r="D454" s="75" t="inlineStr">
        <is>
          <t>SC01</t>
        </is>
      </c>
      <c r="E454" s="46" t="inlineStr">
        <is>
          <t>Business Email Compromise</t>
        </is>
      </c>
      <c r="F454" s="74" t="n"/>
    </row>
    <row r="455" ht="13.5" customHeight="1" s="38">
      <c r="A455" s="46" t="inlineStr">
        <is>
          <t>R_0452</t>
        </is>
      </c>
      <c r="B455" s="46" t="inlineStr">
        <is>
          <t>B_S1_SC05_I07</t>
        </is>
      </c>
      <c r="C455" s="46" t="inlineStr">
        <is>
          <t>Strategy 1 – Zero-Shot + Structured Template</t>
        </is>
      </c>
      <c r="D455" s="75" t="inlineStr">
        <is>
          <t>SC05</t>
        </is>
      </c>
      <c r="E455" s="46" t="inlineStr">
        <is>
          <t>Business Email Compromise</t>
        </is>
      </c>
      <c r="F455" s="74" t="n"/>
    </row>
    <row r="456" ht="13.5" customHeight="1" s="38">
      <c r="A456" s="46" t="inlineStr">
        <is>
          <t>R_0453</t>
        </is>
      </c>
      <c r="B456" s="46" t="inlineStr">
        <is>
          <t>B_S2_SC02_I05</t>
        </is>
      </c>
      <c r="C456" s="46" t="inlineStr">
        <is>
          <t>Strategy 2 – Zero-Shot + Template + BLUF</t>
        </is>
      </c>
      <c r="D456" s="75" t="inlineStr">
        <is>
          <t>SC02</t>
        </is>
      </c>
      <c r="E456" s="46" t="inlineStr">
        <is>
          <t>Business Email Compromise</t>
        </is>
      </c>
      <c r="F456" s="74" t="n"/>
    </row>
    <row r="457" ht="13.5" customHeight="1" s="38">
      <c r="A457" s="46" t="inlineStr">
        <is>
          <t>R_0454</t>
        </is>
      </c>
      <c r="B457" s="46" t="inlineStr">
        <is>
          <t>S_S3_SC04_I08</t>
        </is>
      </c>
      <c r="C457" s="46" t="inlineStr">
        <is>
          <t>Strategy 3 – One-Shot + Structured Template</t>
        </is>
      </c>
      <c r="D457" s="75" t="inlineStr">
        <is>
          <t>SC04</t>
        </is>
      </c>
      <c r="E457" s="46" t="inlineStr">
        <is>
          <t>Supply Chain</t>
        </is>
      </c>
      <c r="F457" s="74" t="n"/>
    </row>
    <row r="458" ht="13.5" customHeight="1" s="38">
      <c r="A458" s="46" t="inlineStr">
        <is>
          <t>R_0455</t>
        </is>
      </c>
      <c r="B458" s="46" t="inlineStr">
        <is>
          <t>B_S0_SC01_I01</t>
        </is>
      </c>
      <c r="C458" s="46" t="inlineStr">
        <is>
          <t>Baseline – Zero-Shot (minimal instruction)</t>
        </is>
      </c>
      <c r="D458" s="75" t="inlineStr">
        <is>
          <t>SC01</t>
        </is>
      </c>
      <c r="E458" s="46" t="inlineStr">
        <is>
          <t>Business Email Compromise</t>
        </is>
      </c>
      <c r="F458" s="74" t="n"/>
    </row>
    <row r="459" ht="13.5" customHeight="1" s="38">
      <c r="A459" s="46" t="inlineStr">
        <is>
          <t>R_0456</t>
        </is>
      </c>
      <c r="B459" s="46" t="inlineStr">
        <is>
          <t>S_S1_SC01_I02</t>
        </is>
      </c>
      <c r="C459" s="46" t="inlineStr">
        <is>
          <t>Strategy 1 – Zero-Shot + Structured Template</t>
        </is>
      </c>
      <c r="D459" s="75" t="inlineStr">
        <is>
          <t>SC01</t>
        </is>
      </c>
      <c r="E459" s="46" t="inlineStr">
        <is>
          <t>Supply Chain</t>
        </is>
      </c>
      <c r="F459" s="74" t="n"/>
    </row>
    <row r="460" ht="13.5" customHeight="1" s="38">
      <c r="A460" s="46" t="inlineStr">
        <is>
          <t>R_0457</t>
        </is>
      </c>
      <c r="B460" s="46" t="inlineStr">
        <is>
          <t>S_S0_SC03_I08</t>
        </is>
      </c>
      <c r="C460" s="46" t="inlineStr">
        <is>
          <t>Baseline – Zero-Shot (minimal instruction)</t>
        </is>
      </c>
      <c r="D460" s="75" t="inlineStr">
        <is>
          <t>SC03</t>
        </is>
      </c>
      <c r="E460" s="46" t="inlineStr">
        <is>
          <t>Supply Chain</t>
        </is>
      </c>
      <c r="F460" s="74" t="n"/>
    </row>
    <row r="461" ht="13.5" customHeight="1" s="38">
      <c r="A461" s="46" t="inlineStr">
        <is>
          <t>R_0458</t>
        </is>
      </c>
      <c r="B461" s="46" t="inlineStr">
        <is>
          <t>R_S2_SC01_I05</t>
        </is>
      </c>
      <c r="C461" s="46" t="inlineStr">
        <is>
          <t>Strategy 2 – Zero-Shot + Template + BLUF</t>
        </is>
      </c>
      <c r="D461" s="75" t="inlineStr">
        <is>
          <t>SC01</t>
        </is>
      </c>
      <c r="E461" s="46" t="inlineStr">
        <is>
          <t>Ransomware</t>
        </is>
      </c>
      <c r="F461" s="74" t="n"/>
    </row>
    <row r="462" ht="13.5" customHeight="1" s="38">
      <c r="A462" s="46" t="inlineStr">
        <is>
          <t>R_0459</t>
        </is>
      </c>
      <c r="B462" s="46" t="inlineStr">
        <is>
          <t>R_S1_SC02_I01</t>
        </is>
      </c>
      <c r="C462" s="46" t="inlineStr">
        <is>
          <t>Strategy 1 – Zero-Shot + Structured Template</t>
        </is>
      </c>
      <c r="D462" s="75" t="inlineStr">
        <is>
          <t>SC02</t>
        </is>
      </c>
      <c r="E462" s="46" t="inlineStr">
        <is>
          <t>Ransomware</t>
        </is>
      </c>
      <c r="F462" s="74" t="n"/>
    </row>
    <row r="463" ht="13.5" customHeight="1" s="38">
      <c r="A463" s="46" t="inlineStr">
        <is>
          <t>R_0460</t>
        </is>
      </c>
      <c r="B463" s="46" t="inlineStr">
        <is>
          <t>B_S4_SC04_I02</t>
        </is>
      </c>
      <c r="C463" s="46" t="inlineStr">
        <is>
          <t>Strategy 4 – One-Shot + Template + BLUF</t>
        </is>
      </c>
      <c r="D463" s="75" t="inlineStr">
        <is>
          <t>SC04</t>
        </is>
      </c>
      <c r="E463" s="46" t="inlineStr">
        <is>
          <t>Business Email Compromise</t>
        </is>
      </c>
      <c r="F463" s="74" t="n"/>
    </row>
    <row r="464" ht="13.5" customHeight="1" s="38">
      <c r="A464" s="46" t="inlineStr">
        <is>
          <t>R_0461</t>
        </is>
      </c>
      <c r="B464" s="46" t="inlineStr">
        <is>
          <t>S_S2_SC04_I03</t>
        </is>
      </c>
      <c r="C464" s="46" t="inlineStr">
        <is>
          <t>Strategy 2 – Zero-Shot + Template + BLUF</t>
        </is>
      </c>
      <c r="D464" s="75" t="inlineStr">
        <is>
          <t>SC04</t>
        </is>
      </c>
      <c r="E464" s="46" t="inlineStr">
        <is>
          <t>Supply Chain</t>
        </is>
      </c>
      <c r="F464" s="74" t="n"/>
    </row>
    <row r="465" ht="13.5" customHeight="1" s="38">
      <c r="A465" s="46" t="inlineStr">
        <is>
          <t>R_0462</t>
        </is>
      </c>
      <c r="B465" s="46" t="inlineStr">
        <is>
          <t>R_S2_SC05_I01</t>
        </is>
      </c>
      <c r="C465" s="46" t="inlineStr">
        <is>
          <t>Strategy 2 – Zero-Shot + Template + BLUF</t>
        </is>
      </c>
      <c r="D465" s="75" t="inlineStr">
        <is>
          <t>SC05</t>
        </is>
      </c>
      <c r="E465" s="46" t="inlineStr">
        <is>
          <t>Ransomware</t>
        </is>
      </c>
      <c r="F465" s="74" t="n"/>
    </row>
    <row r="466" ht="13.5" customHeight="1" s="38">
      <c r="A466" s="46" t="inlineStr">
        <is>
          <t>R_0463</t>
        </is>
      </c>
      <c r="B466" s="46" t="inlineStr">
        <is>
          <t>B_S3_SC01_I04</t>
        </is>
      </c>
      <c r="C466" s="46" t="inlineStr">
        <is>
          <t>Strategy 3 – One-Shot + Structured Template</t>
        </is>
      </c>
      <c r="D466" s="75" t="inlineStr">
        <is>
          <t>SC01</t>
        </is>
      </c>
      <c r="E466" s="46" t="inlineStr">
        <is>
          <t>Business Email Compromise</t>
        </is>
      </c>
      <c r="F466" s="74" t="n"/>
    </row>
    <row r="467" ht="13.5" customHeight="1" s="38">
      <c r="A467" s="46" t="inlineStr">
        <is>
          <t>R_0464</t>
        </is>
      </c>
      <c r="B467" s="46" t="inlineStr">
        <is>
          <t>R_S2_SC03_I06</t>
        </is>
      </c>
      <c r="C467" s="46" t="inlineStr">
        <is>
          <t>Strategy 2 – Zero-Shot + Template + BLUF</t>
        </is>
      </c>
      <c r="D467" s="75" t="inlineStr">
        <is>
          <t>SC03</t>
        </is>
      </c>
      <c r="E467" s="46" t="inlineStr">
        <is>
          <t>Ransomware</t>
        </is>
      </c>
      <c r="F467" s="74" t="n"/>
    </row>
    <row r="468" ht="13.5" customHeight="1" s="38">
      <c r="A468" s="46" t="inlineStr">
        <is>
          <t>R_0465</t>
        </is>
      </c>
      <c r="B468" s="46" t="inlineStr">
        <is>
          <t>Z_S4_SC03_I03</t>
        </is>
      </c>
      <c r="C468" s="46" t="inlineStr">
        <is>
          <t>Strategy 4 – One-Shot + Template + BLUF</t>
        </is>
      </c>
      <c r="D468" s="75" t="inlineStr">
        <is>
          <t>SC03</t>
        </is>
      </c>
      <c r="E468" s="46" t="inlineStr">
        <is>
          <t>Zero-Day / Edge Device</t>
        </is>
      </c>
      <c r="F468" s="74" t="n"/>
    </row>
    <row r="469" ht="13.5" customHeight="1" s="38">
      <c r="A469" s="46" t="inlineStr">
        <is>
          <t>R_0466</t>
        </is>
      </c>
      <c r="B469" s="46" t="inlineStr">
        <is>
          <t>S_S3_SC02_I07</t>
        </is>
      </c>
      <c r="C469" s="46" t="inlineStr">
        <is>
          <t>Strategy 3 – One-Shot + Structured Template</t>
        </is>
      </c>
      <c r="D469" s="75" t="inlineStr">
        <is>
          <t>SC02</t>
        </is>
      </c>
      <c r="E469" s="46" t="inlineStr">
        <is>
          <t>Supply Chain</t>
        </is>
      </c>
      <c r="F469" s="74" t="n"/>
    </row>
    <row r="470" ht="13.5" customHeight="1" s="38">
      <c r="A470" s="46" t="inlineStr">
        <is>
          <t>R_0467</t>
        </is>
      </c>
      <c r="B470" s="46" t="inlineStr">
        <is>
          <t>Z_S0_SC05_I04</t>
        </is>
      </c>
      <c r="C470" s="46" t="inlineStr">
        <is>
          <t>Baseline – Zero-Shot (minimal instruction)</t>
        </is>
      </c>
      <c r="D470" s="75" t="inlineStr">
        <is>
          <t>SC05</t>
        </is>
      </c>
      <c r="E470" s="46" t="inlineStr">
        <is>
          <t>Zero-Day / Edge Device</t>
        </is>
      </c>
      <c r="F470" s="74" t="n"/>
    </row>
    <row r="471" ht="13.5" customHeight="1" s="38">
      <c r="A471" s="46" t="inlineStr">
        <is>
          <t>R_0468</t>
        </is>
      </c>
      <c r="B471" s="46" t="inlineStr">
        <is>
          <t>S_S0_SC01_I03</t>
        </is>
      </c>
      <c r="C471" s="46" t="inlineStr">
        <is>
          <t>Baseline – Zero-Shot (minimal instruction)</t>
        </is>
      </c>
      <c r="D471" s="75" t="inlineStr">
        <is>
          <t>SC01</t>
        </is>
      </c>
      <c r="E471" s="46" t="inlineStr">
        <is>
          <t>Supply Chain</t>
        </is>
      </c>
      <c r="F471" s="74" t="n"/>
    </row>
    <row r="472" ht="13.5" customHeight="1" s="38">
      <c r="A472" s="46" t="inlineStr">
        <is>
          <t>R_0469</t>
        </is>
      </c>
      <c r="B472" s="46" t="inlineStr">
        <is>
          <t>R_S3_SC02_I07</t>
        </is>
      </c>
      <c r="C472" s="46" t="inlineStr">
        <is>
          <t>Strategy 3 – One-Shot + Structured Template</t>
        </is>
      </c>
      <c r="D472" s="75" t="inlineStr">
        <is>
          <t>SC02</t>
        </is>
      </c>
      <c r="E472" s="46" t="inlineStr">
        <is>
          <t>Ransomware</t>
        </is>
      </c>
      <c r="F472" s="74" t="n"/>
    </row>
    <row r="473" ht="13.5" customHeight="1" s="38">
      <c r="A473" s="46" t="inlineStr">
        <is>
          <t>R_0470</t>
        </is>
      </c>
      <c r="B473" s="46" t="inlineStr">
        <is>
          <t>S_S4_SC03_I02</t>
        </is>
      </c>
      <c r="C473" s="46" t="inlineStr">
        <is>
          <t>Strategy 4 – One-Shot + Template + BLUF</t>
        </is>
      </c>
      <c r="D473" s="75" t="inlineStr">
        <is>
          <t>SC03</t>
        </is>
      </c>
      <c r="E473" s="46" t="inlineStr">
        <is>
          <t>Supply Chain</t>
        </is>
      </c>
      <c r="F473" s="74" t="n"/>
    </row>
    <row r="474" ht="13.5" customHeight="1" s="38">
      <c r="A474" s="46" t="inlineStr">
        <is>
          <t>R_0471</t>
        </is>
      </c>
      <c r="B474" s="46" t="inlineStr">
        <is>
          <t>B_S4_SC01_I03</t>
        </is>
      </c>
      <c r="C474" s="46" t="inlineStr">
        <is>
          <t>Strategy 4 – One-Shot + Template + BLUF</t>
        </is>
      </c>
      <c r="D474" s="75" t="inlineStr">
        <is>
          <t>SC01</t>
        </is>
      </c>
      <c r="E474" s="46" t="inlineStr">
        <is>
          <t>Business Email Compromise</t>
        </is>
      </c>
      <c r="F474" s="74" t="n"/>
    </row>
    <row r="475" ht="13.5" customHeight="1" s="38">
      <c r="A475" s="46" t="inlineStr">
        <is>
          <t>R_0472</t>
        </is>
      </c>
      <c r="B475" s="46" t="inlineStr">
        <is>
          <t>Z_S2_SC03_I05</t>
        </is>
      </c>
      <c r="C475" s="46" t="inlineStr">
        <is>
          <t>Strategy 2 – Zero-Shot + Template + BLUF</t>
        </is>
      </c>
      <c r="D475" s="75" t="inlineStr">
        <is>
          <t>SC03</t>
        </is>
      </c>
      <c r="E475" s="46" t="inlineStr">
        <is>
          <t>Zero-Day / Edge Device</t>
        </is>
      </c>
      <c r="F475" s="74" t="n"/>
    </row>
    <row r="476" ht="13.5" customHeight="1" s="38">
      <c r="A476" s="46" t="inlineStr">
        <is>
          <t>R_0473</t>
        </is>
      </c>
      <c r="B476" s="46" t="inlineStr">
        <is>
          <t>B_S0_SC02_I01</t>
        </is>
      </c>
      <c r="C476" s="46" t="inlineStr">
        <is>
          <t>Baseline – Zero-Shot (minimal instruction)</t>
        </is>
      </c>
      <c r="D476" s="75" t="inlineStr">
        <is>
          <t>SC02</t>
        </is>
      </c>
      <c r="E476" s="46" t="inlineStr">
        <is>
          <t>Business Email Compromise</t>
        </is>
      </c>
      <c r="F476" s="74" t="n"/>
    </row>
    <row r="477" ht="13.5" customHeight="1" s="38">
      <c r="A477" s="46" t="inlineStr">
        <is>
          <t>R_0474</t>
        </is>
      </c>
      <c r="B477" s="46" t="inlineStr">
        <is>
          <t>Z_S4_SC01_I02</t>
        </is>
      </c>
      <c r="C477" s="46" t="inlineStr">
        <is>
          <t>Strategy 4 – One-Shot + Template + BLUF</t>
        </is>
      </c>
      <c r="D477" s="75" t="inlineStr">
        <is>
          <t>SC01</t>
        </is>
      </c>
      <c r="E477" s="46" t="inlineStr">
        <is>
          <t>Zero-Day / Edge Device</t>
        </is>
      </c>
      <c r="F477" s="74" t="n"/>
    </row>
    <row r="478" ht="13.5" customHeight="1" s="38">
      <c r="A478" s="46" t="inlineStr">
        <is>
          <t>R_0475</t>
        </is>
      </c>
      <c r="B478" s="46" t="inlineStr">
        <is>
          <t>Z_S1_SC04_I10</t>
        </is>
      </c>
      <c r="C478" s="46" t="inlineStr">
        <is>
          <t>Strategy 1 – Zero-Shot + Structured Template</t>
        </is>
      </c>
      <c r="D478" s="75" t="inlineStr">
        <is>
          <t>SC04</t>
        </is>
      </c>
      <c r="E478" s="46" t="inlineStr">
        <is>
          <t>Zero-Day / Edge Device</t>
        </is>
      </c>
      <c r="F478" s="74" t="n"/>
    </row>
    <row r="479" ht="13.5" customHeight="1" s="38">
      <c r="A479" s="46" t="inlineStr">
        <is>
          <t>R_0476</t>
        </is>
      </c>
      <c r="B479" s="46" t="inlineStr">
        <is>
          <t>R_S2_SC03_I10</t>
        </is>
      </c>
      <c r="C479" s="46" t="inlineStr">
        <is>
          <t>Strategy 2 – Zero-Shot + Template + BLUF</t>
        </is>
      </c>
      <c r="D479" s="75" t="inlineStr">
        <is>
          <t>SC03</t>
        </is>
      </c>
      <c r="E479" s="46" t="inlineStr">
        <is>
          <t>Ransomware</t>
        </is>
      </c>
      <c r="F479" s="74" t="n"/>
    </row>
    <row r="480" ht="13.5" customHeight="1" s="38">
      <c r="A480" s="46" t="inlineStr">
        <is>
          <t>R_0477</t>
        </is>
      </c>
      <c r="B480" s="46" t="inlineStr">
        <is>
          <t>S_S1_SC05_I03</t>
        </is>
      </c>
      <c r="C480" s="46" t="inlineStr">
        <is>
          <t>Strategy 1 – Zero-Shot + Structured Template</t>
        </is>
      </c>
      <c r="D480" s="75" t="inlineStr">
        <is>
          <t>SC05</t>
        </is>
      </c>
      <c r="E480" s="46" t="inlineStr">
        <is>
          <t>Supply Chain</t>
        </is>
      </c>
      <c r="F480" s="74" t="n"/>
    </row>
    <row r="481" ht="13.5" customHeight="1" s="38">
      <c r="A481" s="46" t="inlineStr">
        <is>
          <t>R_0478</t>
        </is>
      </c>
      <c r="B481" s="46" t="inlineStr">
        <is>
          <t>R_S0_SC05_I02</t>
        </is>
      </c>
      <c r="C481" s="46" t="inlineStr">
        <is>
          <t>Baseline – Zero-Shot (minimal instruction)</t>
        </is>
      </c>
      <c r="D481" s="75" t="inlineStr">
        <is>
          <t>SC05</t>
        </is>
      </c>
      <c r="E481" s="46" t="inlineStr">
        <is>
          <t>Ransomware</t>
        </is>
      </c>
      <c r="F481" s="74" t="n"/>
    </row>
    <row r="482" ht="13.5" customHeight="1" s="38">
      <c r="A482" s="46" t="inlineStr">
        <is>
          <t>R_0479</t>
        </is>
      </c>
      <c r="B482" s="46" t="inlineStr">
        <is>
          <t>Z_S3_SC01_I10</t>
        </is>
      </c>
      <c r="C482" s="46" t="inlineStr">
        <is>
          <t>Strategy 3 – One-Shot + Structured Template</t>
        </is>
      </c>
      <c r="D482" s="75" t="inlineStr">
        <is>
          <t>SC01</t>
        </is>
      </c>
      <c r="E482" s="46" t="inlineStr">
        <is>
          <t>Zero-Day / Edge Device</t>
        </is>
      </c>
      <c r="F482" s="74" t="n"/>
    </row>
    <row r="483" ht="13.5" customHeight="1" s="38">
      <c r="A483" s="46" t="inlineStr">
        <is>
          <t>R_0480</t>
        </is>
      </c>
      <c r="B483" s="46" t="inlineStr">
        <is>
          <t>R_S4_SC04_I08</t>
        </is>
      </c>
      <c r="C483" s="46" t="inlineStr">
        <is>
          <t>Strategy 4 – One-Shot + Template + BLUF</t>
        </is>
      </c>
      <c r="D483" s="75" t="inlineStr">
        <is>
          <t>SC04</t>
        </is>
      </c>
      <c r="E483" s="46" t="inlineStr">
        <is>
          <t>Ransomware</t>
        </is>
      </c>
      <c r="F483" s="74" t="n"/>
    </row>
    <row r="484" ht="13.5" customHeight="1" s="38">
      <c r="A484" s="46" t="inlineStr">
        <is>
          <t>R_0481</t>
        </is>
      </c>
      <c r="B484" s="46" t="inlineStr">
        <is>
          <t>Z_S2_SC01_I06</t>
        </is>
      </c>
      <c r="C484" s="46" t="inlineStr">
        <is>
          <t>Strategy 2 – Zero-Shot + Template + BLUF</t>
        </is>
      </c>
      <c r="D484" s="75" t="inlineStr">
        <is>
          <t>SC01</t>
        </is>
      </c>
      <c r="E484" s="46" t="inlineStr">
        <is>
          <t>Zero-Day / Edge Device</t>
        </is>
      </c>
      <c r="F484" s="74" t="n"/>
    </row>
    <row r="485" ht="13.5" customHeight="1" s="38">
      <c r="A485" s="46" t="inlineStr">
        <is>
          <t>R_0482</t>
        </is>
      </c>
      <c r="B485" s="46" t="inlineStr">
        <is>
          <t>Z_S2_SC03_I08</t>
        </is>
      </c>
      <c r="C485" s="46" t="inlineStr">
        <is>
          <t>Strategy 2 – Zero-Shot + Template + BLUF</t>
        </is>
      </c>
      <c r="D485" s="75" t="inlineStr">
        <is>
          <t>SC03</t>
        </is>
      </c>
      <c r="E485" s="46" t="inlineStr">
        <is>
          <t>Zero-Day / Edge Device</t>
        </is>
      </c>
      <c r="F485" s="74" t="n"/>
    </row>
    <row r="486" ht="13.5" customHeight="1" s="38">
      <c r="A486" s="46" t="inlineStr">
        <is>
          <t>R_0483</t>
        </is>
      </c>
      <c r="B486" s="46" t="inlineStr">
        <is>
          <t>Z_S1_SC02_I07</t>
        </is>
      </c>
      <c r="C486" s="46" t="inlineStr">
        <is>
          <t>Strategy 1 – Zero-Shot + Structured Template</t>
        </is>
      </c>
      <c r="D486" s="75" t="inlineStr">
        <is>
          <t>SC02</t>
        </is>
      </c>
      <c r="E486" s="46" t="inlineStr">
        <is>
          <t>Zero-Day / Edge Device</t>
        </is>
      </c>
      <c r="F486" s="74" t="n"/>
    </row>
    <row r="487" ht="13.5" customHeight="1" s="38">
      <c r="A487" s="46" t="inlineStr">
        <is>
          <t>R_0484</t>
        </is>
      </c>
      <c r="B487" s="46" t="inlineStr">
        <is>
          <t>R_S1_SC01_I07</t>
        </is>
      </c>
      <c r="C487" s="46" t="inlineStr">
        <is>
          <t>Strategy 1 – Zero-Shot + Structured Template</t>
        </is>
      </c>
      <c r="D487" s="75" t="inlineStr">
        <is>
          <t>SC01</t>
        </is>
      </c>
      <c r="E487" s="46" t="inlineStr">
        <is>
          <t>Ransomware</t>
        </is>
      </c>
      <c r="F487" s="74" t="n"/>
    </row>
    <row r="488" ht="13.5" customHeight="1" s="38">
      <c r="A488" s="46" t="inlineStr">
        <is>
          <t>R_0485</t>
        </is>
      </c>
      <c r="B488" s="46" t="inlineStr">
        <is>
          <t>Z_S3_SC03_I02</t>
        </is>
      </c>
      <c r="C488" s="46" t="inlineStr">
        <is>
          <t>Strategy 3 – One-Shot + Structured Template</t>
        </is>
      </c>
      <c r="D488" s="75" t="inlineStr">
        <is>
          <t>SC03</t>
        </is>
      </c>
      <c r="E488" s="46" t="inlineStr">
        <is>
          <t>Zero-Day / Edge Device</t>
        </is>
      </c>
      <c r="F488" s="74" t="n"/>
    </row>
    <row r="489" ht="13.5" customHeight="1" s="38">
      <c r="A489" s="46" t="inlineStr">
        <is>
          <t>R_0486</t>
        </is>
      </c>
      <c r="B489" s="46" t="inlineStr">
        <is>
          <t>R_S2_SC02_I05</t>
        </is>
      </c>
      <c r="C489" s="46" t="inlineStr">
        <is>
          <t>Strategy 2 – Zero-Shot + Template + BLUF</t>
        </is>
      </c>
      <c r="D489" s="75" t="inlineStr">
        <is>
          <t>SC02</t>
        </is>
      </c>
      <c r="E489" s="46" t="inlineStr">
        <is>
          <t>Ransomware</t>
        </is>
      </c>
      <c r="F489" s="74" t="n"/>
    </row>
    <row r="490" ht="13.5" customHeight="1" s="38">
      <c r="A490" s="46" t="inlineStr">
        <is>
          <t>R_0487</t>
        </is>
      </c>
      <c r="B490" s="46" t="inlineStr">
        <is>
          <t>B_S3_SC03_I04</t>
        </is>
      </c>
      <c r="C490" s="46" t="inlineStr">
        <is>
          <t>Strategy 3 – One-Shot + Structured Template</t>
        </is>
      </c>
      <c r="D490" s="75" t="inlineStr">
        <is>
          <t>SC03</t>
        </is>
      </c>
      <c r="E490" s="46" t="inlineStr">
        <is>
          <t>Business Email Compromise</t>
        </is>
      </c>
      <c r="F490" s="74" t="n"/>
    </row>
    <row r="491" ht="13.5" customHeight="1" s="38">
      <c r="A491" s="46" t="inlineStr">
        <is>
          <t>R_0488</t>
        </is>
      </c>
      <c r="B491" s="46" t="inlineStr">
        <is>
          <t>S_S2_SC03_I07</t>
        </is>
      </c>
      <c r="C491" s="46" t="inlineStr">
        <is>
          <t>Strategy 2 – Zero-Shot + Template + BLUF</t>
        </is>
      </c>
      <c r="D491" s="75" t="inlineStr">
        <is>
          <t>SC03</t>
        </is>
      </c>
      <c r="E491" s="46" t="inlineStr">
        <is>
          <t>Supply Chain</t>
        </is>
      </c>
      <c r="F491" s="74" t="n"/>
    </row>
    <row r="492" ht="13.5" customHeight="1" s="38">
      <c r="A492" s="46" t="inlineStr">
        <is>
          <t>R_0489</t>
        </is>
      </c>
      <c r="B492" s="46" t="inlineStr">
        <is>
          <t>R_S3_SC05_I10</t>
        </is>
      </c>
      <c r="C492" s="46" t="inlineStr">
        <is>
          <t>Strategy 3 – One-Shot + Structured Template</t>
        </is>
      </c>
      <c r="D492" s="75" t="inlineStr">
        <is>
          <t>SC05</t>
        </is>
      </c>
      <c r="E492" s="46" t="inlineStr">
        <is>
          <t>Ransomware</t>
        </is>
      </c>
      <c r="F492" s="74" t="n"/>
    </row>
    <row r="493" ht="13.5" customHeight="1" s="38">
      <c r="A493" s="46" t="inlineStr">
        <is>
          <t>R_0490</t>
        </is>
      </c>
      <c r="B493" s="46" t="inlineStr">
        <is>
          <t>R_S2_SC03_I05</t>
        </is>
      </c>
      <c r="C493" s="46" t="inlineStr">
        <is>
          <t>Strategy 2 – Zero-Shot + Template + BLUF</t>
        </is>
      </c>
      <c r="D493" s="75" t="inlineStr">
        <is>
          <t>SC03</t>
        </is>
      </c>
      <c r="E493" s="46" t="inlineStr">
        <is>
          <t>Ransomware</t>
        </is>
      </c>
      <c r="F493" s="74" t="n"/>
    </row>
    <row r="494" ht="13.5" customHeight="1" s="38">
      <c r="A494" s="46" t="inlineStr">
        <is>
          <t>R_0491</t>
        </is>
      </c>
      <c r="B494" s="46" t="inlineStr">
        <is>
          <t>B_S0_SC02_I07</t>
        </is>
      </c>
      <c r="C494" s="46" t="inlineStr">
        <is>
          <t>Baseline – Zero-Shot (minimal instruction)</t>
        </is>
      </c>
      <c r="D494" s="75" t="inlineStr">
        <is>
          <t>SC02</t>
        </is>
      </c>
      <c r="E494" s="46" t="inlineStr">
        <is>
          <t>Business Email Compromise</t>
        </is>
      </c>
      <c r="F494" s="74" t="n"/>
    </row>
    <row r="495" ht="13.5" customHeight="1" s="38">
      <c r="A495" s="46" t="inlineStr">
        <is>
          <t>R_0492</t>
        </is>
      </c>
      <c r="B495" s="46" t="inlineStr">
        <is>
          <t>R_S1_SC02_I02</t>
        </is>
      </c>
      <c r="C495" s="46" t="inlineStr">
        <is>
          <t>Strategy 1 – Zero-Shot + Structured Template</t>
        </is>
      </c>
      <c r="D495" s="75" t="inlineStr">
        <is>
          <t>SC02</t>
        </is>
      </c>
      <c r="E495" s="46" t="inlineStr">
        <is>
          <t>Ransomware</t>
        </is>
      </c>
      <c r="F495" s="74" t="n"/>
    </row>
    <row r="496" ht="13.5" customHeight="1" s="38">
      <c r="A496" s="46" t="inlineStr">
        <is>
          <t>R_0493</t>
        </is>
      </c>
      <c r="B496" s="46" t="inlineStr">
        <is>
          <t>S_S3_SC03_I06</t>
        </is>
      </c>
      <c r="C496" s="46" t="inlineStr">
        <is>
          <t>Strategy 3 – One-Shot + Structured Template</t>
        </is>
      </c>
      <c r="D496" s="75" t="inlineStr">
        <is>
          <t>SC03</t>
        </is>
      </c>
      <c r="E496" s="46" t="inlineStr">
        <is>
          <t>Supply Chain</t>
        </is>
      </c>
      <c r="F496" s="74" t="n"/>
    </row>
    <row r="497" ht="13.5" customHeight="1" s="38">
      <c r="A497" s="46" t="inlineStr">
        <is>
          <t>R_0494</t>
        </is>
      </c>
      <c r="B497" s="46" t="inlineStr">
        <is>
          <t>S_S1_SC03_I03</t>
        </is>
      </c>
      <c r="C497" s="46" t="inlineStr">
        <is>
          <t>Strategy 1 – Zero-Shot + Structured Template</t>
        </is>
      </c>
      <c r="D497" s="75" t="inlineStr">
        <is>
          <t>SC03</t>
        </is>
      </c>
      <c r="E497" s="46" t="inlineStr">
        <is>
          <t>Supply Chain</t>
        </is>
      </c>
      <c r="F497" s="74" t="n"/>
    </row>
    <row r="498" ht="13.5" customHeight="1" s="38">
      <c r="A498" s="46" t="inlineStr">
        <is>
          <t>R_0495</t>
        </is>
      </c>
      <c r="B498" s="46" t="inlineStr">
        <is>
          <t>R_S1_SC04_I10</t>
        </is>
      </c>
      <c r="C498" s="46" t="inlineStr">
        <is>
          <t>Strategy 1 – Zero-Shot + Structured Template</t>
        </is>
      </c>
      <c r="D498" s="75" t="inlineStr">
        <is>
          <t>SC04</t>
        </is>
      </c>
      <c r="E498" s="46" t="inlineStr">
        <is>
          <t>Ransomware</t>
        </is>
      </c>
      <c r="F498" s="74" t="n"/>
    </row>
    <row r="499" ht="13.5" customHeight="1" s="38">
      <c r="A499" s="46" t="inlineStr">
        <is>
          <t>R_0496</t>
        </is>
      </c>
      <c r="B499" s="46" t="inlineStr">
        <is>
          <t>R_S1_SC02_I04</t>
        </is>
      </c>
      <c r="C499" s="46" t="inlineStr">
        <is>
          <t>Strategy 1 – Zero-Shot + Structured Template</t>
        </is>
      </c>
      <c r="D499" s="75" t="inlineStr">
        <is>
          <t>SC02</t>
        </is>
      </c>
      <c r="E499" s="46" t="inlineStr">
        <is>
          <t>Ransomware</t>
        </is>
      </c>
      <c r="F499" s="74" t="n"/>
    </row>
    <row r="500" ht="13.5" customHeight="1" s="38">
      <c r="A500" s="46" t="inlineStr">
        <is>
          <t>R_0497</t>
        </is>
      </c>
      <c r="B500" s="46" t="inlineStr">
        <is>
          <t>Z_S2_SC01_I02</t>
        </is>
      </c>
      <c r="C500" s="46" t="inlineStr">
        <is>
          <t>Strategy 2 – Zero-Shot + Template + BLUF</t>
        </is>
      </c>
      <c r="D500" s="75" t="inlineStr">
        <is>
          <t>SC01</t>
        </is>
      </c>
      <c r="E500" s="46" t="inlineStr">
        <is>
          <t>Zero-Day / Edge Device</t>
        </is>
      </c>
      <c r="F500" s="74" t="n"/>
    </row>
    <row r="501" ht="13.5" customHeight="1" s="38">
      <c r="A501" s="46" t="inlineStr">
        <is>
          <t>R_0498</t>
        </is>
      </c>
      <c r="B501" s="46" t="inlineStr">
        <is>
          <t>B_S3_SC04_I01</t>
        </is>
      </c>
      <c r="C501" s="46" t="inlineStr">
        <is>
          <t>Strategy 3 – One-Shot + Structured Template</t>
        </is>
      </c>
      <c r="D501" s="75" t="inlineStr">
        <is>
          <t>SC04</t>
        </is>
      </c>
      <c r="E501" s="46" t="inlineStr">
        <is>
          <t>Business Email Compromise</t>
        </is>
      </c>
      <c r="F501" s="74" t="n"/>
    </row>
    <row r="502" ht="13.5" customHeight="1" s="38">
      <c r="A502" s="46" t="inlineStr">
        <is>
          <t>R_0499</t>
        </is>
      </c>
      <c r="B502" s="46" t="inlineStr">
        <is>
          <t>S_S3_SC02_I03</t>
        </is>
      </c>
      <c r="C502" s="46" t="inlineStr">
        <is>
          <t>Strategy 3 – One-Shot + Structured Template</t>
        </is>
      </c>
      <c r="D502" s="75" t="inlineStr">
        <is>
          <t>SC02</t>
        </is>
      </c>
      <c r="E502" s="46" t="inlineStr">
        <is>
          <t>Supply Chain</t>
        </is>
      </c>
      <c r="F502" s="74" t="n"/>
    </row>
    <row r="503" ht="13.5" customHeight="1" s="38">
      <c r="A503" s="46" t="inlineStr">
        <is>
          <t>R_0500</t>
        </is>
      </c>
      <c r="B503" s="46" t="inlineStr">
        <is>
          <t>R_S0_SC03_I02</t>
        </is>
      </c>
      <c r="C503" s="46" t="inlineStr">
        <is>
          <t>Baseline – Zero-Shot (minimal instruction)</t>
        </is>
      </c>
      <c r="D503" s="75" t="inlineStr">
        <is>
          <t>SC03</t>
        </is>
      </c>
      <c r="E503" s="46" t="inlineStr">
        <is>
          <t>Ransomware</t>
        </is>
      </c>
      <c r="F503" s="74" t="n"/>
    </row>
    <row r="504" ht="13.5" customHeight="1" s="38">
      <c r="A504" s="46" t="inlineStr">
        <is>
          <t>R_0501</t>
        </is>
      </c>
      <c r="B504" s="46" t="inlineStr">
        <is>
          <t>B_S3_SC05_I03</t>
        </is>
      </c>
      <c r="C504" s="46" t="inlineStr">
        <is>
          <t>Strategy 3 – One-Shot + Structured Template</t>
        </is>
      </c>
      <c r="D504" s="75" t="inlineStr">
        <is>
          <t>SC05</t>
        </is>
      </c>
      <c r="E504" s="46" t="inlineStr">
        <is>
          <t>Business Email Compromise</t>
        </is>
      </c>
      <c r="F504" s="74" t="n"/>
    </row>
    <row r="505" ht="13.5" customHeight="1" s="38">
      <c r="A505" s="46" t="inlineStr">
        <is>
          <t>R_0502</t>
        </is>
      </c>
      <c r="B505" s="46" t="inlineStr">
        <is>
          <t>R_S0_SC01_I06</t>
        </is>
      </c>
      <c r="C505" s="46" t="inlineStr">
        <is>
          <t>Baseline – Zero-Shot (minimal instruction)</t>
        </is>
      </c>
      <c r="D505" s="75" t="inlineStr">
        <is>
          <t>SC01</t>
        </is>
      </c>
      <c r="E505" s="46" t="inlineStr">
        <is>
          <t>Ransomware</t>
        </is>
      </c>
      <c r="F505" s="74" t="n"/>
    </row>
    <row r="506" ht="13.5" customHeight="1" s="38">
      <c r="A506" s="46" t="inlineStr">
        <is>
          <t>R_0503</t>
        </is>
      </c>
      <c r="B506" s="46" t="inlineStr">
        <is>
          <t>Z_S2_SC01_I10</t>
        </is>
      </c>
      <c r="C506" s="46" t="inlineStr">
        <is>
          <t>Strategy 2 – Zero-Shot + Template + BLUF</t>
        </is>
      </c>
      <c r="D506" s="75" t="inlineStr">
        <is>
          <t>SC01</t>
        </is>
      </c>
      <c r="E506" s="46" t="inlineStr">
        <is>
          <t>Zero-Day / Edge Device</t>
        </is>
      </c>
      <c r="F506" s="74" t="n"/>
    </row>
    <row r="507" ht="13.5" customHeight="1" s="38">
      <c r="A507" s="46" t="inlineStr">
        <is>
          <t>R_0504</t>
        </is>
      </c>
      <c r="B507" s="46" t="inlineStr">
        <is>
          <t>S_S2_SC04_I05</t>
        </is>
      </c>
      <c r="C507" s="46" t="inlineStr">
        <is>
          <t>Strategy 2 – Zero-Shot + Template + BLUF</t>
        </is>
      </c>
      <c r="D507" s="75" t="inlineStr">
        <is>
          <t>SC04</t>
        </is>
      </c>
      <c r="E507" s="46" t="inlineStr">
        <is>
          <t>Supply Chain</t>
        </is>
      </c>
      <c r="F507" s="74" t="n"/>
    </row>
    <row r="508" ht="13.5" customHeight="1" s="38">
      <c r="A508" s="46" t="inlineStr">
        <is>
          <t>R_0505</t>
        </is>
      </c>
      <c r="B508" s="46" t="inlineStr">
        <is>
          <t>S_S1_SC05_I01</t>
        </is>
      </c>
      <c r="C508" s="46" t="inlineStr">
        <is>
          <t>Strategy 1 – Zero-Shot + Structured Template</t>
        </is>
      </c>
      <c r="D508" s="75" t="inlineStr">
        <is>
          <t>SC05</t>
        </is>
      </c>
      <c r="E508" s="46" t="inlineStr">
        <is>
          <t>Supply Chain</t>
        </is>
      </c>
      <c r="F508" s="74" t="n"/>
    </row>
    <row r="509" ht="13.5" customHeight="1" s="38">
      <c r="A509" s="46" t="inlineStr">
        <is>
          <t>R_0506</t>
        </is>
      </c>
      <c r="B509" s="46" t="inlineStr">
        <is>
          <t>S_S4_SC01_I04</t>
        </is>
      </c>
      <c r="C509" s="46" t="inlineStr">
        <is>
          <t>Strategy 4 – One-Shot + Template + BLUF</t>
        </is>
      </c>
      <c r="D509" s="75" t="inlineStr">
        <is>
          <t>SC01</t>
        </is>
      </c>
      <c r="E509" s="46" t="inlineStr">
        <is>
          <t>Supply Chain</t>
        </is>
      </c>
      <c r="F509" s="74" t="n"/>
    </row>
    <row r="510" ht="13.5" customHeight="1" s="38">
      <c r="A510" s="46" t="inlineStr">
        <is>
          <t>R_0507</t>
        </is>
      </c>
      <c r="B510" s="46" t="inlineStr">
        <is>
          <t>S_S2_SC02_I01</t>
        </is>
      </c>
      <c r="C510" s="46" t="inlineStr">
        <is>
          <t>Strategy 2 – Zero-Shot + Template + BLUF</t>
        </is>
      </c>
      <c r="D510" s="75" t="inlineStr">
        <is>
          <t>SC02</t>
        </is>
      </c>
      <c r="E510" s="46" t="inlineStr">
        <is>
          <t>Supply Chain</t>
        </is>
      </c>
      <c r="F510" s="74" t="n"/>
    </row>
    <row r="511" ht="13.5" customHeight="1" s="38">
      <c r="A511" s="46" t="inlineStr">
        <is>
          <t>R_0508</t>
        </is>
      </c>
      <c r="B511" s="46" t="inlineStr">
        <is>
          <t>S_S0_SC01_I06</t>
        </is>
      </c>
      <c r="C511" s="46" t="inlineStr">
        <is>
          <t>Baseline – Zero-Shot (minimal instruction)</t>
        </is>
      </c>
      <c r="D511" s="75" t="inlineStr">
        <is>
          <t>SC01</t>
        </is>
      </c>
      <c r="E511" s="46" t="inlineStr">
        <is>
          <t>Supply Chain</t>
        </is>
      </c>
      <c r="F511" s="74" t="n"/>
    </row>
    <row r="512" ht="13.5" customHeight="1" s="38">
      <c r="A512" s="46" t="inlineStr">
        <is>
          <t>R_0509</t>
        </is>
      </c>
      <c r="B512" s="46" t="inlineStr">
        <is>
          <t>Z_S1_SC05_I09</t>
        </is>
      </c>
      <c r="C512" s="46" t="inlineStr">
        <is>
          <t>Strategy 1 – Zero-Shot + Structured Template</t>
        </is>
      </c>
      <c r="D512" s="75" t="inlineStr">
        <is>
          <t>SC05</t>
        </is>
      </c>
      <c r="E512" s="46" t="inlineStr">
        <is>
          <t>Zero-Day / Edge Device</t>
        </is>
      </c>
      <c r="F512" s="74" t="n"/>
    </row>
    <row r="513" ht="13.5" customHeight="1" s="38">
      <c r="A513" s="46" t="inlineStr">
        <is>
          <t>R_0510</t>
        </is>
      </c>
      <c r="B513" s="46" t="inlineStr">
        <is>
          <t>R_S1_SC03_I07</t>
        </is>
      </c>
      <c r="C513" s="46" t="inlineStr">
        <is>
          <t>Strategy 1 – Zero-Shot + Structured Template</t>
        </is>
      </c>
      <c r="D513" s="75" t="inlineStr">
        <is>
          <t>SC03</t>
        </is>
      </c>
      <c r="E513" s="46" t="inlineStr">
        <is>
          <t>Ransomware</t>
        </is>
      </c>
      <c r="F513" s="74" t="n"/>
    </row>
    <row r="514" ht="13.5" customHeight="1" s="38">
      <c r="A514" s="46" t="inlineStr">
        <is>
          <t>R_0511</t>
        </is>
      </c>
      <c r="B514" s="46" t="inlineStr">
        <is>
          <t>Z_S0_SC01_I10</t>
        </is>
      </c>
      <c r="C514" s="46" t="inlineStr">
        <is>
          <t>Baseline – Zero-Shot (minimal instruction)</t>
        </is>
      </c>
      <c r="D514" s="75" t="inlineStr">
        <is>
          <t>SC01</t>
        </is>
      </c>
      <c r="E514" s="46" t="inlineStr">
        <is>
          <t>Zero-Day / Edge Device</t>
        </is>
      </c>
      <c r="F514" s="74" t="n"/>
    </row>
    <row r="515" ht="13.5" customHeight="1" s="38">
      <c r="A515" s="46" t="inlineStr">
        <is>
          <t>R_0512</t>
        </is>
      </c>
      <c r="B515" s="46" t="inlineStr">
        <is>
          <t>S_S4_SC03_I05</t>
        </is>
      </c>
      <c r="C515" s="46" t="inlineStr">
        <is>
          <t>Strategy 4 – One-Shot + Template + BLUF</t>
        </is>
      </c>
      <c r="D515" s="75" t="inlineStr">
        <is>
          <t>SC03</t>
        </is>
      </c>
      <c r="E515" s="46" t="inlineStr">
        <is>
          <t>Supply Chain</t>
        </is>
      </c>
      <c r="F515" s="74" t="n"/>
    </row>
    <row r="516" ht="13.5" customHeight="1" s="38">
      <c r="A516" s="46" t="inlineStr">
        <is>
          <t>R_0513</t>
        </is>
      </c>
      <c r="B516" s="46" t="inlineStr">
        <is>
          <t>R_S4_SC02_I04</t>
        </is>
      </c>
      <c r="C516" s="46" t="inlineStr">
        <is>
          <t>Strategy 4 – One-Shot + Template + BLUF</t>
        </is>
      </c>
      <c r="D516" s="75" t="inlineStr">
        <is>
          <t>SC02</t>
        </is>
      </c>
      <c r="E516" s="46" t="inlineStr">
        <is>
          <t>Ransomware</t>
        </is>
      </c>
      <c r="F516" s="74" t="n"/>
    </row>
    <row r="517" ht="13.5" customHeight="1" s="38">
      <c r="A517" s="46" t="inlineStr">
        <is>
          <t>R_0514</t>
        </is>
      </c>
      <c r="B517" s="46" t="inlineStr">
        <is>
          <t>B_S1_SC02_I04</t>
        </is>
      </c>
      <c r="C517" s="46" t="inlineStr">
        <is>
          <t>Strategy 1 – Zero-Shot + Structured Template</t>
        </is>
      </c>
      <c r="D517" s="75" t="inlineStr">
        <is>
          <t>SC02</t>
        </is>
      </c>
      <c r="E517" s="46" t="inlineStr">
        <is>
          <t>Business Email Compromise</t>
        </is>
      </c>
      <c r="F517" s="74" t="n"/>
    </row>
    <row r="518" ht="13.5" customHeight="1" s="38">
      <c r="A518" s="46" t="inlineStr">
        <is>
          <t>R_0515</t>
        </is>
      </c>
      <c r="B518" s="46" t="inlineStr">
        <is>
          <t>R_S3_SC05_I09</t>
        </is>
      </c>
      <c r="C518" s="46" t="inlineStr">
        <is>
          <t>Strategy 3 – One-Shot + Structured Template</t>
        </is>
      </c>
      <c r="D518" s="75" t="inlineStr">
        <is>
          <t>SC05</t>
        </is>
      </c>
      <c r="E518" s="46" t="inlineStr">
        <is>
          <t>Ransomware</t>
        </is>
      </c>
      <c r="F518" s="74" t="n"/>
    </row>
    <row r="519" ht="13.5" customHeight="1" s="38">
      <c r="A519" s="46" t="inlineStr">
        <is>
          <t>R_0516</t>
        </is>
      </c>
      <c r="B519" s="46" t="inlineStr">
        <is>
          <t>Z_S2_SC02_I04</t>
        </is>
      </c>
      <c r="C519" s="46" t="inlineStr">
        <is>
          <t>Strategy 2 – Zero-Shot + Template + BLUF</t>
        </is>
      </c>
      <c r="D519" s="75" t="inlineStr">
        <is>
          <t>SC02</t>
        </is>
      </c>
      <c r="E519" s="46" t="inlineStr">
        <is>
          <t>Zero-Day / Edge Device</t>
        </is>
      </c>
      <c r="F519" s="74" t="n"/>
    </row>
    <row r="520" ht="13.5" customHeight="1" s="38">
      <c r="A520" s="46" t="inlineStr">
        <is>
          <t>R_0517</t>
        </is>
      </c>
      <c r="B520" s="46" t="inlineStr">
        <is>
          <t>Z_S0_SC02_I08</t>
        </is>
      </c>
      <c r="C520" s="46" t="inlineStr">
        <is>
          <t>Baseline – Zero-Shot (minimal instruction)</t>
        </is>
      </c>
      <c r="D520" s="75" t="inlineStr">
        <is>
          <t>SC02</t>
        </is>
      </c>
      <c r="E520" s="46" t="inlineStr">
        <is>
          <t>Zero-Day / Edge Device</t>
        </is>
      </c>
      <c r="F520" s="74" t="n"/>
    </row>
    <row r="521" ht="13.5" customHeight="1" s="38">
      <c r="A521" s="46" t="inlineStr">
        <is>
          <t>R_0518</t>
        </is>
      </c>
      <c r="B521" s="46" t="inlineStr">
        <is>
          <t>B_S4_SC05_I03</t>
        </is>
      </c>
      <c r="C521" s="46" t="inlineStr">
        <is>
          <t>Strategy 4 – One-Shot + Template + BLUF</t>
        </is>
      </c>
      <c r="D521" s="75" t="inlineStr">
        <is>
          <t>SC05</t>
        </is>
      </c>
      <c r="E521" s="46" t="inlineStr">
        <is>
          <t>Business Email Compromise</t>
        </is>
      </c>
      <c r="F521" s="74" t="n"/>
    </row>
    <row r="522" ht="13.5" customHeight="1" s="38">
      <c r="A522" s="46" t="inlineStr">
        <is>
          <t>R_0519</t>
        </is>
      </c>
      <c r="B522" s="46" t="inlineStr">
        <is>
          <t>R_S3_SC01_I07</t>
        </is>
      </c>
      <c r="C522" s="46" t="inlineStr">
        <is>
          <t>Strategy 3 – One-Shot + Structured Template</t>
        </is>
      </c>
      <c r="D522" s="75" t="inlineStr">
        <is>
          <t>SC01</t>
        </is>
      </c>
      <c r="E522" s="46" t="inlineStr">
        <is>
          <t>Ransomware</t>
        </is>
      </c>
      <c r="F522" s="74" t="n"/>
    </row>
    <row r="523" ht="13.5" customHeight="1" s="38">
      <c r="A523" s="46" t="inlineStr">
        <is>
          <t>R_0520</t>
        </is>
      </c>
      <c r="B523" s="46" t="inlineStr">
        <is>
          <t>R_S4_SC02_I01</t>
        </is>
      </c>
      <c r="C523" s="46" t="inlineStr">
        <is>
          <t>Strategy 4 – One-Shot + Template + BLUF</t>
        </is>
      </c>
      <c r="D523" s="75" t="inlineStr">
        <is>
          <t>SC02</t>
        </is>
      </c>
      <c r="E523" s="46" t="inlineStr">
        <is>
          <t>Ransomware</t>
        </is>
      </c>
      <c r="F523" s="74" t="n"/>
    </row>
    <row r="524" ht="13.5" customHeight="1" s="38">
      <c r="A524" s="46" t="inlineStr">
        <is>
          <t>R_0521</t>
        </is>
      </c>
      <c r="B524" s="46" t="inlineStr">
        <is>
          <t>R_S3_SC05_I05</t>
        </is>
      </c>
      <c r="C524" s="46" t="inlineStr">
        <is>
          <t>Strategy 3 – One-Shot + Structured Template</t>
        </is>
      </c>
      <c r="D524" s="75" t="inlineStr">
        <is>
          <t>SC05</t>
        </is>
      </c>
      <c r="E524" s="46" t="inlineStr">
        <is>
          <t>Ransomware</t>
        </is>
      </c>
      <c r="F524" s="74" t="n"/>
    </row>
    <row r="525" ht="13.5" customHeight="1" s="38">
      <c r="A525" s="46" t="inlineStr">
        <is>
          <t>R_0522</t>
        </is>
      </c>
      <c r="B525" s="46" t="inlineStr">
        <is>
          <t>S_S4_SC01_I05</t>
        </is>
      </c>
      <c r="C525" s="46" t="inlineStr">
        <is>
          <t>Strategy 4 – One-Shot + Template + BLUF</t>
        </is>
      </c>
      <c r="D525" s="75" t="inlineStr">
        <is>
          <t>SC01</t>
        </is>
      </c>
      <c r="E525" s="46" t="inlineStr">
        <is>
          <t>Supply Chain</t>
        </is>
      </c>
      <c r="F525" s="74" t="n"/>
    </row>
    <row r="526" ht="13.5" customHeight="1" s="38">
      <c r="A526" s="46" t="inlineStr">
        <is>
          <t>R_0523</t>
        </is>
      </c>
      <c r="B526" s="46" t="inlineStr">
        <is>
          <t>B_S1_SC04_I09</t>
        </is>
      </c>
      <c r="C526" s="46" t="inlineStr">
        <is>
          <t>Strategy 1 – Zero-Shot + Structured Template</t>
        </is>
      </c>
      <c r="D526" s="75" t="inlineStr">
        <is>
          <t>SC04</t>
        </is>
      </c>
      <c r="E526" s="46" t="inlineStr">
        <is>
          <t>Business Email Compromise</t>
        </is>
      </c>
      <c r="F526" s="74" t="n"/>
    </row>
    <row r="527" ht="13.5" customHeight="1" s="38">
      <c r="A527" s="46" t="inlineStr">
        <is>
          <t>R_0524</t>
        </is>
      </c>
      <c r="B527" s="46" t="inlineStr">
        <is>
          <t>B_S0_SC03_I01</t>
        </is>
      </c>
      <c r="C527" s="46" t="inlineStr">
        <is>
          <t>Baseline – Zero-Shot (minimal instruction)</t>
        </is>
      </c>
      <c r="D527" s="75" t="inlineStr">
        <is>
          <t>SC03</t>
        </is>
      </c>
      <c r="E527" s="46" t="inlineStr">
        <is>
          <t>Business Email Compromise</t>
        </is>
      </c>
      <c r="F527" s="74" t="n"/>
    </row>
    <row r="528" ht="13.5" customHeight="1" s="38">
      <c r="A528" s="46" t="inlineStr">
        <is>
          <t>R_0525</t>
        </is>
      </c>
      <c r="B528" s="46" t="inlineStr">
        <is>
          <t>S_S1_SC05_I09</t>
        </is>
      </c>
      <c r="C528" s="46" t="inlineStr">
        <is>
          <t>Strategy 1 – Zero-Shot + Structured Template</t>
        </is>
      </c>
      <c r="D528" s="75" t="inlineStr">
        <is>
          <t>SC05</t>
        </is>
      </c>
      <c r="E528" s="46" t="inlineStr">
        <is>
          <t>Supply Chain</t>
        </is>
      </c>
      <c r="F528" s="74" t="n"/>
    </row>
    <row r="529" ht="13.5" customHeight="1" s="38">
      <c r="A529" s="46" t="inlineStr">
        <is>
          <t>R_0526</t>
        </is>
      </c>
      <c r="B529" s="46" t="inlineStr">
        <is>
          <t>B_S1_SC03_I08</t>
        </is>
      </c>
      <c r="C529" s="46" t="inlineStr">
        <is>
          <t>Strategy 1 – Zero-Shot + Structured Template</t>
        </is>
      </c>
      <c r="D529" s="75" t="inlineStr">
        <is>
          <t>SC03</t>
        </is>
      </c>
      <c r="E529" s="46" t="inlineStr">
        <is>
          <t>Business Email Compromise</t>
        </is>
      </c>
      <c r="F529" s="74" t="n"/>
    </row>
    <row r="530" ht="13.5" customHeight="1" s="38">
      <c r="A530" s="46" t="inlineStr">
        <is>
          <t>R_0527</t>
        </is>
      </c>
      <c r="B530" s="46" t="inlineStr">
        <is>
          <t>Z_S3_SC04_I02</t>
        </is>
      </c>
      <c r="C530" s="46" t="inlineStr">
        <is>
          <t>Strategy 3 – One-Shot + Structured Template</t>
        </is>
      </c>
      <c r="D530" s="75" t="inlineStr">
        <is>
          <t>SC04</t>
        </is>
      </c>
      <c r="E530" s="46" t="inlineStr">
        <is>
          <t>Zero-Day / Edge Device</t>
        </is>
      </c>
      <c r="F530" s="74" t="n"/>
    </row>
    <row r="531" ht="13.5" customHeight="1" s="38">
      <c r="A531" s="46" t="inlineStr">
        <is>
          <t>R_0528</t>
        </is>
      </c>
      <c r="B531" s="46" t="inlineStr">
        <is>
          <t>R_S0_SC02_I05</t>
        </is>
      </c>
      <c r="C531" s="46" t="inlineStr">
        <is>
          <t>Baseline – Zero-Shot (minimal instruction)</t>
        </is>
      </c>
      <c r="D531" s="75" t="inlineStr">
        <is>
          <t>SC02</t>
        </is>
      </c>
      <c r="E531" s="46" t="inlineStr">
        <is>
          <t>Ransomware</t>
        </is>
      </c>
      <c r="F531" s="74" t="n"/>
    </row>
    <row r="532" ht="13.5" customHeight="1" s="38">
      <c r="A532" s="46" t="inlineStr">
        <is>
          <t>R_0529</t>
        </is>
      </c>
      <c r="B532" s="46" t="inlineStr">
        <is>
          <t>Z_S1_SC04_I04</t>
        </is>
      </c>
      <c r="C532" s="46" t="inlineStr">
        <is>
          <t>Strategy 1 – Zero-Shot + Structured Template</t>
        </is>
      </c>
      <c r="D532" s="75" t="inlineStr">
        <is>
          <t>SC04</t>
        </is>
      </c>
      <c r="E532" s="46" t="inlineStr">
        <is>
          <t>Zero-Day / Edge Device</t>
        </is>
      </c>
      <c r="F532" s="74" t="n"/>
    </row>
    <row r="533" ht="13.5" customHeight="1" s="38">
      <c r="A533" s="46" t="inlineStr">
        <is>
          <t>R_0530</t>
        </is>
      </c>
      <c r="B533" s="46" t="inlineStr">
        <is>
          <t>B_S3_SC01_I05</t>
        </is>
      </c>
      <c r="C533" s="46" t="inlineStr">
        <is>
          <t>Strategy 3 – One-Shot + Structured Template</t>
        </is>
      </c>
      <c r="D533" s="75" t="inlineStr">
        <is>
          <t>SC01</t>
        </is>
      </c>
      <c r="E533" s="46" t="inlineStr">
        <is>
          <t>Business Email Compromise</t>
        </is>
      </c>
      <c r="F533" s="74" t="n"/>
    </row>
    <row r="534" ht="13.5" customHeight="1" s="38">
      <c r="A534" s="46" t="inlineStr">
        <is>
          <t>R_0531</t>
        </is>
      </c>
      <c r="B534" s="46" t="inlineStr">
        <is>
          <t>B_S0_SC04_I06</t>
        </is>
      </c>
      <c r="C534" s="46" t="inlineStr">
        <is>
          <t>Baseline – Zero-Shot (minimal instruction)</t>
        </is>
      </c>
      <c r="D534" s="75" t="inlineStr">
        <is>
          <t>SC04</t>
        </is>
      </c>
      <c r="E534" s="46" t="inlineStr">
        <is>
          <t>Business Email Compromise</t>
        </is>
      </c>
      <c r="F534" s="74" t="n"/>
    </row>
    <row r="535" ht="13.5" customHeight="1" s="38">
      <c r="A535" s="46" t="inlineStr">
        <is>
          <t>R_0532</t>
        </is>
      </c>
      <c r="B535" s="46" t="inlineStr">
        <is>
          <t>Z_S1_SC03_I09</t>
        </is>
      </c>
      <c r="C535" s="46" t="inlineStr">
        <is>
          <t>Strategy 1 – Zero-Shot + Structured Template</t>
        </is>
      </c>
      <c r="D535" s="75" t="inlineStr">
        <is>
          <t>SC03</t>
        </is>
      </c>
      <c r="E535" s="46" t="inlineStr">
        <is>
          <t>Zero-Day / Edge Device</t>
        </is>
      </c>
      <c r="F535" s="74" t="n"/>
    </row>
    <row r="536" ht="13.5" customHeight="1" s="38">
      <c r="A536" s="46" t="inlineStr">
        <is>
          <t>R_0533</t>
        </is>
      </c>
      <c r="B536" s="46" t="inlineStr">
        <is>
          <t>S_S1_SC04_I04</t>
        </is>
      </c>
      <c r="C536" s="46" t="inlineStr">
        <is>
          <t>Strategy 1 – Zero-Shot + Structured Template</t>
        </is>
      </c>
      <c r="D536" s="75" t="inlineStr">
        <is>
          <t>SC04</t>
        </is>
      </c>
      <c r="E536" s="46" t="inlineStr">
        <is>
          <t>Supply Chain</t>
        </is>
      </c>
      <c r="F536" s="74" t="n"/>
    </row>
    <row r="537" ht="13.5" customHeight="1" s="38">
      <c r="A537" s="46" t="inlineStr">
        <is>
          <t>R_0534</t>
        </is>
      </c>
      <c r="B537" s="46" t="inlineStr">
        <is>
          <t>R_S0_SC02_I02</t>
        </is>
      </c>
      <c r="C537" s="46" t="inlineStr">
        <is>
          <t>Baseline – Zero-Shot (minimal instruction)</t>
        </is>
      </c>
      <c r="D537" s="75" t="inlineStr">
        <is>
          <t>SC02</t>
        </is>
      </c>
      <c r="E537" s="46" t="inlineStr">
        <is>
          <t>Ransomware</t>
        </is>
      </c>
      <c r="F537" s="74" t="n"/>
    </row>
    <row r="538" ht="13.5" customHeight="1" s="38">
      <c r="A538" s="46" t="inlineStr">
        <is>
          <t>R_0535</t>
        </is>
      </c>
      <c r="B538" s="46" t="inlineStr">
        <is>
          <t>B_S1_SC03_I05</t>
        </is>
      </c>
      <c r="C538" s="46" t="inlineStr">
        <is>
          <t>Strategy 1 – Zero-Shot + Structured Template</t>
        </is>
      </c>
      <c r="D538" s="75" t="inlineStr">
        <is>
          <t>SC03</t>
        </is>
      </c>
      <c r="E538" s="46" t="inlineStr">
        <is>
          <t>Business Email Compromise</t>
        </is>
      </c>
      <c r="F538" s="74" t="n"/>
    </row>
    <row r="539" ht="13.5" customHeight="1" s="38">
      <c r="A539" s="46" t="inlineStr">
        <is>
          <t>R_0536</t>
        </is>
      </c>
      <c r="B539" s="46" t="inlineStr">
        <is>
          <t>R_S3_SC03_I07</t>
        </is>
      </c>
      <c r="C539" s="46" t="inlineStr">
        <is>
          <t>Strategy 3 – One-Shot + Structured Template</t>
        </is>
      </c>
      <c r="D539" s="75" t="inlineStr">
        <is>
          <t>SC03</t>
        </is>
      </c>
      <c r="E539" s="46" t="inlineStr">
        <is>
          <t>Ransomware</t>
        </is>
      </c>
      <c r="F539" s="74" t="n"/>
    </row>
    <row r="540" ht="13.5" customHeight="1" s="38">
      <c r="A540" s="46" t="inlineStr">
        <is>
          <t>R_0537</t>
        </is>
      </c>
      <c r="B540" s="46" t="inlineStr">
        <is>
          <t>R_S1_SC03_I10</t>
        </is>
      </c>
      <c r="C540" s="46" t="inlineStr">
        <is>
          <t>Strategy 1 – Zero-Shot + Structured Template</t>
        </is>
      </c>
      <c r="D540" s="75" t="inlineStr">
        <is>
          <t>SC03</t>
        </is>
      </c>
      <c r="E540" s="46" t="inlineStr">
        <is>
          <t>Ransomware</t>
        </is>
      </c>
      <c r="F540" s="74" t="n"/>
    </row>
    <row r="541" ht="13.5" customHeight="1" s="38">
      <c r="A541" s="46" t="inlineStr">
        <is>
          <t>R_0538</t>
        </is>
      </c>
      <c r="B541" s="46" t="inlineStr">
        <is>
          <t>B_S1_SC02_I05</t>
        </is>
      </c>
      <c r="C541" s="46" t="inlineStr">
        <is>
          <t>Strategy 1 – Zero-Shot + Structured Template</t>
        </is>
      </c>
      <c r="D541" s="75" t="inlineStr">
        <is>
          <t>SC02</t>
        </is>
      </c>
      <c r="E541" s="46" t="inlineStr">
        <is>
          <t>Business Email Compromise</t>
        </is>
      </c>
      <c r="F541" s="74" t="n"/>
    </row>
    <row r="542" ht="13.5" customHeight="1" s="38">
      <c r="A542" s="46" t="inlineStr">
        <is>
          <t>R_0539</t>
        </is>
      </c>
      <c r="B542" s="46" t="inlineStr">
        <is>
          <t>S_S1_SC02_I05</t>
        </is>
      </c>
      <c r="C542" s="46" t="inlineStr">
        <is>
          <t>Strategy 1 – Zero-Shot + Structured Template</t>
        </is>
      </c>
      <c r="D542" s="75" t="inlineStr">
        <is>
          <t>SC02</t>
        </is>
      </c>
      <c r="E542" s="46" t="inlineStr">
        <is>
          <t>Supply Chain</t>
        </is>
      </c>
      <c r="F542" s="74" t="n"/>
    </row>
    <row r="543" ht="13.5" customHeight="1" s="38">
      <c r="A543" s="46" t="inlineStr">
        <is>
          <t>R_0540</t>
        </is>
      </c>
      <c r="B543" s="46" t="inlineStr">
        <is>
          <t>B_S0_SC04_I02</t>
        </is>
      </c>
      <c r="C543" s="46" t="inlineStr">
        <is>
          <t>Baseline – Zero-Shot (minimal instruction)</t>
        </is>
      </c>
      <c r="D543" s="75" t="inlineStr">
        <is>
          <t>SC04</t>
        </is>
      </c>
      <c r="E543" s="46" t="inlineStr">
        <is>
          <t>Business Email Compromise</t>
        </is>
      </c>
      <c r="F543" s="74" t="n"/>
    </row>
    <row r="544" ht="13.5" customHeight="1" s="38">
      <c r="A544" s="46" t="inlineStr">
        <is>
          <t>R_0541</t>
        </is>
      </c>
      <c r="B544" s="46" t="inlineStr">
        <is>
          <t>B_S3_SC02_I10</t>
        </is>
      </c>
      <c r="C544" s="46" t="inlineStr">
        <is>
          <t>Strategy 3 – One-Shot + Structured Template</t>
        </is>
      </c>
      <c r="D544" s="75" t="inlineStr">
        <is>
          <t>SC02</t>
        </is>
      </c>
      <c r="E544" s="46" t="inlineStr">
        <is>
          <t>Business Email Compromise</t>
        </is>
      </c>
      <c r="F544" s="74" t="n"/>
    </row>
    <row r="545" ht="13.5" customHeight="1" s="38">
      <c r="A545" s="46" t="inlineStr">
        <is>
          <t>R_0542</t>
        </is>
      </c>
      <c r="B545" s="46" t="inlineStr">
        <is>
          <t>R_S4_SC04_I07</t>
        </is>
      </c>
      <c r="C545" s="46" t="inlineStr">
        <is>
          <t>Strategy 4 – One-Shot + Template + BLUF</t>
        </is>
      </c>
      <c r="D545" s="75" t="inlineStr">
        <is>
          <t>SC04</t>
        </is>
      </c>
      <c r="E545" s="46" t="inlineStr">
        <is>
          <t>Ransomware</t>
        </is>
      </c>
      <c r="F545" s="74" t="n"/>
    </row>
    <row r="546" ht="13.5" customHeight="1" s="38">
      <c r="A546" s="46" t="inlineStr">
        <is>
          <t>R_0543</t>
        </is>
      </c>
      <c r="B546" s="46" t="inlineStr">
        <is>
          <t>S_S2_SC01_I02</t>
        </is>
      </c>
      <c r="C546" s="46" t="inlineStr">
        <is>
          <t>Strategy 2 – Zero-Shot + Template + BLUF</t>
        </is>
      </c>
      <c r="D546" s="75" t="inlineStr">
        <is>
          <t>SC01</t>
        </is>
      </c>
      <c r="E546" s="46" t="inlineStr">
        <is>
          <t>Supply Chain</t>
        </is>
      </c>
      <c r="F546" s="74" t="n"/>
    </row>
    <row r="547" ht="13.5" customHeight="1" s="38">
      <c r="A547" s="46" t="inlineStr">
        <is>
          <t>R_0544</t>
        </is>
      </c>
      <c r="B547" s="46" t="inlineStr">
        <is>
          <t>B_S3_SC05_I07</t>
        </is>
      </c>
      <c r="C547" s="46" t="inlineStr">
        <is>
          <t>Strategy 3 – One-Shot + Structured Template</t>
        </is>
      </c>
      <c r="D547" s="75" t="inlineStr">
        <is>
          <t>SC05</t>
        </is>
      </c>
      <c r="E547" s="46" t="inlineStr">
        <is>
          <t>Business Email Compromise</t>
        </is>
      </c>
      <c r="F547" s="74" t="n"/>
    </row>
    <row r="548" ht="13.5" customHeight="1" s="38">
      <c r="A548" s="46" t="inlineStr">
        <is>
          <t>R_0545</t>
        </is>
      </c>
      <c r="B548" s="46" t="inlineStr">
        <is>
          <t>S_S2_SC03_I08</t>
        </is>
      </c>
      <c r="C548" s="46" t="inlineStr">
        <is>
          <t>Strategy 2 – Zero-Shot + Template + BLUF</t>
        </is>
      </c>
      <c r="D548" s="75" t="inlineStr">
        <is>
          <t>SC03</t>
        </is>
      </c>
      <c r="E548" s="46" t="inlineStr">
        <is>
          <t>Supply Chain</t>
        </is>
      </c>
      <c r="F548" s="74" t="n"/>
    </row>
    <row r="549" ht="13.5" customHeight="1" s="38">
      <c r="A549" s="46" t="inlineStr">
        <is>
          <t>R_0546</t>
        </is>
      </c>
      <c r="B549" s="46" t="inlineStr">
        <is>
          <t>B_S3_SC03_I08</t>
        </is>
      </c>
      <c r="C549" s="46" t="inlineStr">
        <is>
          <t>Strategy 3 – One-Shot + Structured Template</t>
        </is>
      </c>
      <c r="D549" s="75" t="inlineStr">
        <is>
          <t>SC03</t>
        </is>
      </c>
      <c r="E549" s="46" t="inlineStr">
        <is>
          <t>Business Email Compromise</t>
        </is>
      </c>
      <c r="F549" s="74" t="n"/>
    </row>
    <row r="550" ht="13.5" customHeight="1" s="38">
      <c r="A550" s="46" t="inlineStr">
        <is>
          <t>R_0547</t>
        </is>
      </c>
      <c r="B550" s="46" t="inlineStr">
        <is>
          <t>Z_S4_SC01_I06</t>
        </is>
      </c>
      <c r="C550" s="46" t="inlineStr">
        <is>
          <t>Strategy 4 – One-Shot + Template + BLUF</t>
        </is>
      </c>
      <c r="D550" s="75" t="inlineStr">
        <is>
          <t>SC01</t>
        </is>
      </c>
      <c r="E550" s="46" t="inlineStr">
        <is>
          <t>Zero-Day / Edge Device</t>
        </is>
      </c>
      <c r="F550" s="74" t="n"/>
    </row>
    <row r="551" ht="13.5" customHeight="1" s="38">
      <c r="A551" s="46" t="inlineStr">
        <is>
          <t>R_0548</t>
        </is>
      </c>
      <c r="B551" s="46" t="inlineStr">
        <is>
          <t>R_S2_SC05_I02</t>
        </is>
      </c>
      <c r="C551" s="46" t="inlineStr">
        <is>
          <t>Strategy 2 – Zero-Shot + Template + BLUF</t>
        </is>
      </c>
      <c r="D551" s="75" t="inlineStr">
        <is>
          <t>SC05</t>
        </is>
      </c>
      <c r="E551" s="46" t="inlineStr">
        <is>
          <t>Ransomware</t>
        </is>
      </c>
      <c r="F551" s="74" t="n"/>
    </row>
    <row r="552" ht="13.5" customHeight="1" s="38">
      <c r="A552" s="46" t="inlineStr">
        <is>
          <t>R_0549</t>
        </is>
      </c>
      <c r="B552" s="46" t="inlineStr">
        <is>
          <t>Z_S0_SC05_I06</t>
        </is>
      </c>
      <c r="C552" s="46" t="inlineStr">
        <is>
          <t>Baseline – Zero-Shot (minimal instruction)</t>
        </is>
      </c>
      <c r="D552" s="75" t="inlineStr">
        <is>
          <t>SC05</t>
        </is>
      </c>
      <c r="E552" s="46" t="inlineStr">
        <is>
          <t>Zero-Day / Edge Device</t>
        </is>
      </c>
      <c r="F552" s="74" t="n"/>
    </row>
    <row r="553" ht="13.5" customHeight="1" s="38">
      <c r="A553" s="46" t="inlineStr">
        <is>
          <t>R_0550</t>
        </is>
      </c>
      <c r="B553" s="46" t="inlineStr">
        <is>
          <t>B_S4_SC01_I02</t>
        </is>
      </c>
      <c r="C553" s="46" t="inlineStr">
        <is>
          <t>Strategy 4 – One-Shot + Template + BLUF</t>
        </is>
      </c>
      <c r="D553" s="75" t="inlineStr">
        <is>
          <t>SC01</t>
        </is>
      </c>
      <c r="E553" s="46" t="inlineStr">
        <is>
          <t>Business Email Compromise</t>
        </is>
      </c>
      <c r="F553" s="74" t="n"/>
    </row>
    <row r="554" ht="13.5" customHeight="1" s="38">
      <c r="A554" s="46" t="inlineStr">
        <is>
          <t>R_0551</t>
        </is>
      </c>
      <c r="B554" s="46" t="inlineStr">
        <is>
          <t>R_S3_SC01_I09</t>
        </is>
      </c>
      <c r="C554" s="46" t="inlineStr">
        <is>
          <t>Strategy 3 – One-Shot + Structured Template</t>
        </is>
      </c>
      <c r="D554" s="75" t="inlineStr">
        <is>
          <t>SC01</t>
        </is>
      </c>
      <c r="E554" s="46" t="inlineStr">
        <is>
          <t>Ransomware</t>
        </is>
      </c>
      <c r="F554" s="74" t="n"/>
    </row>
    <row r="555" ht="13.5" customHeight="1" s="38">
      <c r="A555" s="46" t="inlineStr">
        <is>
          <t>R_0552</t>
        </is>
      </c>
      <c r="B555" s="46" t="inlineStr">
        <is>
          <t>S_S4_SC02_I05</t>
        </is>
      </c>
      <c r="C555" s="46" t="inlineStr">
        <is>
          <t>Strategy 4 – One-Shot + Template + BLUF</t>
        </is>
      </c>
      <c r="D555" s="75" t="inlineStr">
        <is>
          <t>SC02</t>
        </is>
      </c>
      <c r="E555" s="46" t="inlineStr">
        <is>
          <t>Supply Chain</t>
        </is>
      </c>
      <c r="F555" s="74" t="n"/>
    </row>
    <row r="556" ht="13.5" customHeight="1" s="38">
      <c r="A556" s="46" t="inlineStr">
        <is>
          <t>R_0553</t>
        </is>
      </c>
      <c r="B556" s="46" t="inlineStr">
        <is>
          <t>B_S3_SC05_I09</t>
        </is>
      </c>
      <c r="C556" s="46" t="inlineStr">
        <is>
          <t>Strategy 3 – One-Shot + Structured Template</t>
        </is>
      </c>
      <c r="D556" s="75" t="inlineStr">
        <is>
          <t>SC05</t>
        </is>
      </c>
      <c r="E556" s="46" t="inlineStr">
        <is>
          <t>Business Email Compromise</t>
        </is>
      </c>
      <c r="F556" s="74" t="n"/>
    </row>
    <row r="557" ht="13.5" customHeight="1" s="38">
      <c r="A557" s="46" t="inlineStr">
        <is>
          <t>R_0554</t>
        </is>
      </c>
      <c r="B557" s="46" t="inlineStr">
        <is>
          <t>S_S3_SC04_I03</t>
        </is>
      </c>
      <c r="C557" s="46" t="inlineStr">
        <is>
          <t>Strategy 3 – One-Shot + Structured Template</t>
        </is>
      </c>
      <c r="D557" s="75" t="inlineStr">
        <is>
          <t>SC04</t>
        </is>
      </c>
      <c r="E557" s="46" t="inlineStr">
        <is>
          <t>Supply Chain</t>
        </is>
      </c>
      <c r="F557" s="74" t="n"/>
    </row>
    <row r="558" ht="13.5" customHeight="1" s="38">
      <c r="A558" s="46" t="inlineStr">
        <is>
          <t>R_0555</t>
        </is>
      </c>
      <c r="B558" s="46" t="inlineStr">
        <is>
          <t>R_S0_SC02_I03</t>
        </is>
      </c>
      <c r="C558" s="46" t="inlineStr">
        <is>
          <t>Baseline – Zero-Shot (minimal instruction)</t>
        </is>
      </c>
      <c r="D558" s="75" t="inlineStr">
        <is>
          <t>SC02</t>
        </is>
      </c>
      <c r="E558" s="46" t="inlineStr">
        <is>
          <t>Ransomware</t>
        </is>
      </c>
      <c r="F558" s="74" t="n"/>
    </row>
    <row r="559" ht="13.5" customHeight="1" s="38">
      <c r="A559" s="46" t="inlineStr">
        <is>
          <t>R_0556</t>
        </is>
      </c>
      <c r="B559" s="46" t="inlineStr">
        <is>
          <t>S_S3_SC01_I06</t>
        </is>
      </c>
      <c r="C559" s="46" t="inlineStr">
        <is>
          <t>Strategy 3 – One-Shot + Structured Template</t>
        </is>
      </c>
      <c r="D559" s="75" t="inlineStr">
        <is>
          <t>SC01</t>
        </is>
      </c>
      <c r="E559" s="46" t="inlineStr">
        <is>
          <t>Supply Chain</t>
        </is>
      </c>
      <c r="F559" s="74" t="n"/>
    </row>
    <row r="560" ht="13.5" customHeight="1" s="38">
      <c r="A560" s="46" t="inlineStr">
        <is>
          <t>R_0557</t>
        </is>
      </c>
      <c r="B560" s="46" t="inlineStr">
        <is>
          <t>B_S2_SC05_I07</t>
        </is>
      </c>
      <c r="C560" s="46" t="inlineStr">
        <is>
          <t>Strategy 2 – Zero-Shot + Template + BLUF</t>
        </is>
      </c>
      <c r="D560" s="75" t="inlineStr">
        <is>
          <t>SC05</t>
        </is>
      </c>
      <c r="E560" s="46" t="inlineStr">
        <is>
          <t>Business Email Compromise</t>
        </is>
      </c>
      <c r="F560" s="74" t="n"/>
    </row>
    <row r="561" ht="13.5" customHeight="1" s="38">
      <c r="A561" s="46" t="inlineStr">
        <is>
          <t>R_0558</t>
        </is>
      </c>
      <c r="B561" s="46" t="inlineStr">
        <is>
          <t>S_S0_SC04_I10</t>
        </is>
      </c>
      <c r="C561" s="46" t="inlineStr">
        <is>
          <t>Baseline – Zero-Shot (minimal instruction)</t>
        </is>
      </c>
      <c r="D561" s="75" t="inlineStr">
        <is>
          <t>SC04</t>
        </is>
      </c>
      <c r="E561" s="46" t="inlineStr">
        <is>
          <t>Supply Chain</t>
        </is>
      </c>
      <c r="F561" s="74" t="n"/>
    </row>
    <row r="562" ht="13.5" customHeight="1" s="38">
      <c r="A562" s="46" t="inlineStr">
        <is>
          <t>R_0559</t>
        </is>
      </c>
      <c r="B562" s="46" t="inlineStr">
        <is>
          <t>B_S4_SC04_I05</t>
        </is>
      </c>
      <c r="C562" s="46" t="inlineStr">
        <is>
          <t>Strategy 4 – One-Shot + Template + BLUF</t>
        </is>
      </c>
      <c r="D562" s="75" t="inlineStr">
        <is>
          <t>SC04</t>
        </is>
      </c>
      <c r="E562" s="46" t="inlineStr">
        <is>
          <t>Business Email Compromise</t>
        </is>
      </c>
      <c r="F562" s="74" t="n"/>
    </row>
    <row r="563" ht="13.5" customHeight="1" s="38">
      <c r="A563" s="46" t="inlineStr">
        <is>
          <t>R_0560</t>
        </is>
      </c>
      <c r="B563" s="46" t="inlineStr">
        <is>
          <t>Z_S1_SC01_I02</t>
        </is>
      </c>
      <c r="C563" s="46" t="inlineStr">
        <is>
          <t>Strategy 1 – Zero-Shot + Structured Template</t>
        </is>
      </c>
      <c r="D563" s="75" t="inlineStr">
        <is>
          <t>SC01</t>
        </is>
      </c>
      <c r="E563" s="46" t="inlineStr">
        <is>
          <t>Zero-Day / Edge Device</t>
        </is>
      </c>
      <c r="F563" s="74" t="n"/>
    </row>
    <row r="564" ht="13.5" customHeight="1" s="38">
      <c r="A564" s="46" t="inlineStr">
        <is>
          <t>R_0561</t>
        </is>
      </c>
      <c r="B564" s="46" t="inlineStr">
        <is>
          <t>Z_S1_SC03_I05</t>
        </is>
      </c>
      <c r="C564" s="46" t="inlineStr">
        <is>
          <t>Strategy 1 – Zero-Shot + Structured Template</t>
        </is>
      </c>
      <c r="D564" s="75" t="inlineStr">
        <is>
          <t>SC03</t>
        </is>
      </c>
      <c r="E564" s="46" t="inlineStr">
        <is>
          <t>Zero-Day / Edge Device</t>
        </is>
      </c>
      <c r="F564" s="74" t="n"/>
    </row>
    <row r="565" ht="13.5" customHeight="1" s="38">
      <c r="A565" s="46" t="inlineStr">
        <is>
          <t>R_0562</t>
        </is>
      </c>
      <c r="B565" s="46" t="inlineStr">
        <is>
          <t>S_S1_SC01_I08</t>
        </is>
      </c>
      <c r="C565" s="46" t="inlineStr">
        <is>
          <t>Strategy 1 – Zero-Shot + Structured Template</t>
        </is>
      </c>
      <c r="D565" s="75" t="inlineStr">
        <is>
          <t>SC01</t>
        </is>
      </c>
      <c r="E565" s="46" t="inlineStr">
        <is>
          <t>Supply Chain</t>
        </is>
      </c>
      <c r="F565" s="74" t="n"/>
    </row>
    <row r="566" ht="13.5" customHeight="1" s="38">
      <c r="A566" s="46" t="inlineStr">
        <is>
          <t>R_0563</t>
        </is>
      </c>
      <c r="B566" s="46" t="inlineStr">
        <is>
          <t>B_S3_SC03_I03</t>
        </is>
      </c>
      <c r="C566" s="46" t="inlineStr">
        <is>
          <t>Strategy 3 – One-Shot + Structured Template</t>
        </is>
      </c>
      <c r="D566" s="75" t="inlineStr">
        <is>
          <t>SC03</t>
        </is>
      </c>
      <c r="E566" s="46" t="inlineStr">
        <is>
          <t>Business Email Compromise</t>
        </is>
      </c>
      <c r="F566" s="74" t="n"/>
    </row>
    <row r="567" ht="13.5" customHeight="1" s="38">
      <c r="A567" s="46" t="inlineStr">
        <is>
          <t>R_0564</t>
        </is>
      </c>
      <c r="B567" s="46" t="inlineStr">
        <is>
          <t>S_S3_SC04_I07</t>
        </is>
      </c>
      <c r="C567" s="46" t="inlineStr">
        <is>
          <t>Strategy 3 – One-Shot + Structured Template</t>
        </is>
      </c>
      <c r="D567" s="75" t="inlineStr">
        <is>
          <t>SC04</t>
        </is>
      </c>
      <c r="E567" s="46" t="inlineStr">
        <is>
          <t>Supply Chain</t>
        </is>
      </c>
      <c r="F567" s="74" t="n"/>
    </row>
    <row r="568" ht="13.5" customHeight="1" s="38">
      <c r="A568" s="46" t="inlineStr">
        <is>
          <t>R_0565</t>
        </is>
      </c>
      <c r="B568" s="46" t="inlineStr">
        <is>
          <t>R_S1_SC01_I09</t>
        </is>
      </c>
      <c r="C568" s="46" t="inlineStr">
        <is>
          <t>Strategy 1 – Zero-Shot + Structured Template</t>
        </is>
      </c>
      <c r="D568" s="75" t="inlineStr">
        <is>
          <t>SC01</t>
        </is>
      </c>
      <c r="E568" s="46" t="inlineStr">
        <is>
          <t>Ransomware</t>
        </is>
      </c>
      <c r="F568" s="74" t="n"/>
    </row>
    <row r="569" ht="13.5" customHeight="1" s="38">
      <c r="A569" s="46" t="inlineStr">
        <is>
          <t>R_0566</t>
        </is>
      </c>
      <c r="B569" s="46" t="inlineStr">
        <is>
          <t>Z_S4_SC05_I07</t>
        </is>
      </c>
      <c r="C569" s="46" t="inlineStr">
        <is>
          <t>Strategy 4 – One-Shot + Template + BLUF</t>
        </is>
      </c>
      <c r="D569" s="75" t="inlineStr">
        <is>
          <t>SC05</t>
        </is>
      </c>
      <c r="E569" s="46" t="inlineStr">
        <is>
          <t>Zero-Day / Edge Device</t>
        </is>
      </c>
      <c r="F569" s="74" t="n"/>
    </row>
    <row r="570" ht="13.5" customHeight="1" s="38">
      <c r="A570" s="46" t="inlineStr">
        <is>
          <t>R_0567</t>
        </is>
      </c>
      <c r="B570" s="46" t="inlineStr">
        <is>
          <t>R_S4_SC04_I05</t>
        </is>
      </c>
      <c r="C570" s="46" t="inlineStr">
        <is>
          <t>Strategy 4 – One-Shot + Template + BLUF</t>
        </is>
      </c>
      <c r="D570" s="75" t="inlineStr">
        <is>
          <t>SC04</t>
        </is>
      </c>
      <c r="E570" s="46" t="inlineStr">
        <is>
          <t>Ransomware</t>
        </is>
      </c>
      <c r="F570" s="74" t="n"/>
    </row>
    <row r="571" ht="13.5" customHeight="1" s="38">
      <c r="A571" s="46" t="inlineStr">
        <is>
          <t>R_0568</t>
        </is>
      </c>
      <c r="B571" s="46" t="inlineStr">
        <is>
          <t>Z_S3_SC05_I06</t>
        </is>
      </c>
      <c r="C571" s="46" t="inlineStr">
        <is>
          <t>Strategy 3 – One-Shot + Structured Template</t>
        </is>
      </c>
      <c r="D571" s="75" t="inlineStr">
        <is>
          <t>SC05</t>
        </is>
      </c>
      <c r="E571" s="46" t="inlineStr">
        <is>
          <t>Zero-Day / Edge Device</t>
        </is>
      </c>
      <c r="F571" s="74" t="n"/>
    </row>
    <row r="572" ht="13.5" customHeight="1" s="38">
      <c r="A572" s="46" t="inlineStr">
        <is>
          <t>R_0569</t>
        </is>
      </c>
      <c r="B572" s="46" t="inlineStr">
        <is>
          <t>S_S2_SC01_I01</t>
        </is>
      </c>
      <c r="C572" s="46" t="inlineStr">
        <is>
          <t>Strategy 2 – Zero-Shot + Template + BLUF</t>
        </is>
      </c>
      <c r="D572" s="75" t="inlineStr">
        <is>
          <t>SC01</t>
        </is>
      </c>
      <c r="E572" s="46" t="inlineStr">
        <is>
          <t>Supply Chain</t>
        </is>
      </c>
      <c r="F572" s="74" t="n"/>
    </row>
    <row r="573" ht="13.5" customHeight="1" s="38">
      <c r="A573" s="46" t="inlineStr">
        <is>
          <t>R_0570</t>
        </is>
      </c>
      <c r="B573" s="46" t="inlineStr">
        <is>
          <t>S_S3_SC02_I04</t>
        </is>
      </c>
      <c r="C573" s="46" t="inlineStr">
        <is>
          <t>Strategy 3 – One-Shot + Structured Template</t>
        </is>
      </c>
      <c r="D573" s="75" t="inlineStr">
        <is>
          <t>SC02</t>
        </is>
      </c>
      <c r="E573" s="46" t="inlineStr">
        <is>
          <t>Supply Chain</t>
        </is>
      </c>
      <c r="F573" s="74" t="n"/>
    </row>
    <row r="574" ht="13.5" customHeight="1" s="38">
      <c r="A574" s="46" t="inlineStr">
        <is>
          <t>R_0571</t>
        </is>
      </c>
      <c r="B574" s="46" t="inlineStr">
        <is>
          <t>S_S4_SC05_I07</t>
        </is>
      </c>
      <c r="C574" s="46" t="inlineStr">
        <is>
          <t>Strategy 4 – One-Shot + Template + BLUF</t>
        </is>
      </c>
      <c r="D574" s="75" t="inlineStr">
        <is>
          <t>SC05</t>
        </is>
      </c>
      <c r="E574" s="46" t="inlineStr">
        <is>
          <t>Supply Chain</t>
        </is>
      </c>
      <c r="F574" s="74" t="n"/>
    </row>
    <row r="575" ht="13.5" customHeight="1" s="38">
      <c r="A575" s="46" t="inlineStr">
        <is>
          <t>R_0572</t>
        </is>
      </c>
      <c r="B575" s="46" t="inlineStr">
        <is>
          <t>R_S2_SC05_I05</t>
        </is>
      </c>
      <c r="C575" s="46" t="inlineStr">
        <is>
          <t>Strategy 2 – Zero-Shot + Template + BLUF</t>
        </is>
      </c>
      <c r="D575" s="75" t="inlineStr">
        <is>
          <t>SC05</t>
        </is>
      </c>
      <c r="E575" s="46" t="inlineStr">
        <is>
          <t>Ransomware</t>
        </is>
      </c>
      <c r="F575" s="74" t="n"/>
    </row>
    <row r="576" ht="13.5" customHeight="1" s="38">
      <c r="A576" s="46" t="inlineStr">
        <is>
          <t>R_0573</t>
        </is>
      </c>
      <c r="B576" s="46" t="inlineStr">
        <is>
          <t>R_S0_SC01_I02</t>
        </is>
      </c>
      <c r="C576" s="46" t="inlineStr">
        <is>
          <t>Baseline – Zero-Shot (minimal instruction)</t>
        </is>
      </c>
      <c r="D576" s="75" t="inlineStr">
        <is>
          <t>SC01</t>
        </is>
      </c>
      <c r="E576" s="46" t="inlineStr">
        <is>
          <t>Ransomware</t>
        </is>
      </c>
      <c r="F576" s="74" t="n"/>
    </row>
    <row r="577" ht="13.5" customHeight="1" s="38">
      <c r="A577" s="46" t="inlineStr">
        <is>
          <t>R_0574</t>
        </is>
      </c>
      <c r="B577" s="46" t="inlineStr">
        <is>
          <t>R_S1_SC04_I05</t>
        </is>
      </c>
      <c r="C577" s="46" t="inlineStr">
        <is>
          <t>Strategy 1 – Zero-Shot + Structured Template</t>
        </is>
      </c>
      <c r="D577" s="75" t="inlineStr">
        <is>
          <t>SC04</t>
        </is>
      </c>
      <c r="E577" s="46" t="inlineStr">
        <is>
          <t>Ransomware</t>
        </is>
      </c>
      <c r="F577" s="74" t="n"/>
    </row>
    <row r="578" ht="13.5" customHeight="1" s="38">
      <c r="A578" s="46" t="inlineStr">
        <is>
          <t>R_0575</t>
        </is>
      </c>
      <c r="B578" s="46" t="inlineStr">
        <is>
          <t>B_S4_SC04_I10</t>
        </is>
      </c>
      <c r="C578" s="46" t="inlineStr">
        <is>
          <t>Strategy 4 – One-Shot + Template + BLUF</t>
        </is>
      </c>
      <c r="D578" s="75" t="inlineStr">
        <is>
          <t>SC04</t>
        </is>
      </c>
      <c r="E578" s="46" t="inlineStr">
        <is>
          <t>Business Email Compromise</t>
        </is>
      </c>
      <c r="F578" s="74" t="n"/>
    </row>
    <row r="579" ht="13.5" customHeight="1" s="38">
      <c r="A579" s="46" t="inlineStr">
        <is>
          <t>R_0576</t>
        </is>
      </c>
      <c r="B579" s="46" t="inlineStr">
        <is>
          <t>Z_S0_SC04_I05</t>
        </is>
      </c>
      <c r="C579" s="46" t="inlineStr">
        <is>
          <t>Baseline – Zero-Shot (minimal instruction)</t>
        </is>
      </c>
      <c r="D579" s="75" t="inlineStr">
        <is>
          <t>SC04</t>
        </is>
      </c>
      <c r="E579" s="46" t="inlineStr">
        <is>
          <t>Zero-Day / Edge Device</t>
        </is>
      </c>
      <c r="F579" s="74" t="n"/>
    </row>
    <row r="580" ht="13.5" customHeight="1" s="38">
      <c r="A580" s="46" t="inlineStr">
        <is>
          <t>R_0577</t>
        </is>
      </c>
      <c r="B580" s="46" t="inlineStr">
        <is>
          <t>R_S3_SC02_I02</t>
        </is>
      </c>
      <c r="C580" s="46" t="inlineStr">
        <is>
          <t>Strategy 3 – One-Shot + Structured Template</t>
        </is>
      </c>
      <c r="D580" s="75" t="inlineStr">
        <is>
          <t>SC02</t>
        </is>
      </c>
      <c r="E580" s="46" t="inlineStr">
        <is>
          <t>Ransomware</t>
        </is>
      </c>
      <c r="F580" s="74" t="n"/>
    </row>
    <row r="581" ht="13.5" customHeight="1" s="38">
      <c r="A581" s="46" t="inlineStr">
        <is>
          <t>R_0578</t>
        </is>
      </c>
      <c r="B581" s="46" t="inlineStr">
        <is>
          <t>B_S0_SC05_I07</t>
        </is>
      </c>
      <c r="C581" s="46" t="inlineStr">
        <is>
          <t>Baseline – Zero-Shot (minimal instruction)</t>
        </is>
      </c>
      <c r="D581" s="75" t="inlineStr">
        <is>
          <t>SC05</t>
        </is>
      </c>
      <c r="E581" s="46" t="inlineStr">
        <is>
          <t>Business Email Compromise</t>
        </is>
      </c>
      <c r="F581" s="74" t="n"/>
    </row>
    <row r="582" ht="13.5" customHeight="1" s="38">
      <c r="A582" s="46" t="inlineStr">
        <is>
          <t>R_0579</t>
        </is>
      </c>
      <c r="B582" s="46" t="inlineStr">
        <is>
          <t>R_S3_SC03_I08</t>
        </is>
      </c>
      <c r="C582" s="46" t="inlineStr">
        <is>
          <t>Strategy 3 – One-Shot + Structured Template</t>
        </is>
      </c>
      <c r="D582" s="75" t="inlineStr">
        <is>
          <t>SC03</t>
        </is>
      </c>
      <c r="E582" s="46" t="inlineStr">
        <is>
          <t>Ransomware</t>
        </is>
      </c>
      <c r="F582" s="74" t="n"/>
    </row>
    <row r="583" ht="13.5" customHeight="1" s="38">
      <c r="A583" s="46" t="inlineStr">
        <is>
          <t>R_0580</t>
        </is>
      </c>
      <c r="B583" s="46" t="inlineStr">
        <is>
          <t>Z_S1_SC02_I08</t>
        </is>
      </c>
      <c r="C583" s="46" t="inlineStr">
        <is>
          <t>Strategy 1 – Zero-Shot + Structured Template</t>
        </is>
      </c>
      <c r="D583" s="75" t="inlineStr">
        <is>
          <t>SC02</t>
        </is>
      </c>
      <c r="E583" s="46" t="inlineStr">
        <is>
          <t>Zero-Day / Edge Device</t>
        </is>
      </c>
      <c r="F583" s="74" t="n"/>
    </row>
    <row r="584" ht="13.5" customHeight="1" s="38">
      <c r="A584" s="46" t="inlineStr">
        <is>
          <t>R_0581</t>
        </is>
      </c>
      <c r="B584" s="46" t="inlineStr">
        <is>
          <t>S_S4_SC03_I10</t>
        </is>
      </c>
      <c r="C584" s="46" t="inlineStr">
        <is>
          <t>Strategy 4 – One-Shot + Template + BLUF</t>
        </is>
      </c>
      <c r="D584" s="75" t="inlineStr">
        <is>
          <t>SC03</t>
        </is>
      </c>
      <c r="E584" s="46" t="inlineStr">
        <is>
          <t>Supply Chain</t>
        </is>
      </c>
      <c r="F584" s="74" t="n"/>
    </row>
    <row r="585" ht="13.5" customHeight="1" s="38">
      <c r="A585" s="46" t="inlineStr">
        <is>
          <t>R_0582</t>
        </is>
      </c>
      <c r="B585" s="46" t="inlineStr">
        <is>
          <t>Z_S2_SC05_I08</t>
        </is>
      </c>
      <c r="C585" s="46" t="inlineStr">
        <is>
          <t>Strategy 2 – Zero-Shot + Template + BLUF</t>
        </is>
      </c>
      <c r="D585" s="75" t="inlineStr">
        <is>
          <t>SC05</t>
        </is>
      </c>
      <c r="E585" s="46" t="inlineStr">
        <is>
          <t>Zero-Day / Edge Device</t>
        </is>
      </c>
      <c r="F585" s="74" t="n"/>
    </row>
    <row r="586" ht="13.5" customHeight="1" s="38">
      <c r="A586" s="46" t="inlineStr">
        <is>
          <t>R_0583</t>
        </is>
      </c>
      <c r="B586" s="46" t="inlineStr">
        <is>
          <t>S_S1_SC02_I08</t>
        </is>
      </c>
      <c r="C586" s="46" t="inlineStr">
        <is>
          <t>Strategy 1 – Zero-Shot + Structured Template</t>
        </is>
      </c>
      <c r="D586" s="75" t="inlineStr">
        <is>
          <t>SC02</t>
        </is>
      </c>
      <c r="E586" s="46" t="inlineStr">
        <is>
          <t>Supply Chain</t>
        </is>
      </c>
      <c r="F586" s="74" t="n"/>
    </row>
    <row r="587" ht="13.5" customHeight="1" s="38">
      <c r="A587" s="46" t="inlineStr">
        <is>
          <t>R_0584</t>
        </is>
      </c>
      <c r="B587" s="46" t="inlineStr">
        <is>
          <t>R_S3_SC04_I06</t>
        </is>
      </c>
      <c r="C587" s="46" t="inlineStr">
        <is>
          <t>Strategy 3 – One-Shot + Structured Template</t>
        </is>
      </c>
      <c r="D587" s="75" t="inlineStr">
        <is>
          <t>SC04</t>
        </is>
      </c>
      <c r="E587" s="46" t="inlineStr">
        <is>
          <t>Ransomware</t>
        </is>
      </c>
      <c r="F587" s="74" t="n"/>
    </row>
    <row r="588" ht="13.5" customHeight="1" s="38">
      <c r="A588" s="46" t="inlineStr">
        <is>
          <t>R_0585</t>
        </is>
      </c>
      <c r="B588" s="46" t="inlineStr">
        <is>
          <t>Z_S3_SC03_I04</t>
        </is>
      </c>
      <c r="C588" s="46" t="inlineStr">
        <is>
          <t>Strategy 3 – One-Shot + Structured Template</t>
        </is>
      </c>
      <c r="D588" s="75" t="inlineStr">
        <is>
          <t>SC03</t>
        </is>
      </c>
      <c r="E588" s="46" t="inlineStr">
        <is>
          <t>Zero-Day / Edge Device</t>
        </is>
      </c>
      <c r="F588" s="74" t="n"/>
    </row>
    <row r="589" ht="13.5" customHeight="1" s="38">
      <c r="A589" s="46" t="inlineStr">
        <is>
          <t>R_0586</t>
        </is>
      </c>
      <c r="B589" s="46" t="inlineStr">
        <is>
          <t>R_S0_SC04_I10</t>
        </is>
      </c>
      <c r="C589" s="46" t="inlineStr">
        <is>
          <t>Baseline – Zero-Shot (minimal instruction)</t>
        </is>
      </c>
      <c r="D589" s="75" t="inlineStr">
        <is>
          <t>SC04</t>
        </is>
      </c>
      <c r="E589" s="46" t="inlineStr">
        <is>
          <t>Ransomware</t>
        </is>
      </c>
      <c r="F589" s="74" t="n"/>
    </row>
    <row r="590" ht="13.5" customHeight="1" s="38">
      <c r="A590" s="46" t="inlineStr">
        <is>
          <t>R_0587</t>
        </is>
      </c>
      <c r="B590" s="46" t="inlineStr">
        <is>
          <t>R_S2_SC02_I06</t>
        </is>
      </c>
      <c r="C590" s="46" t="inlineStr">
        <is>
          <t>Strategy 2 – Zero-Shot + Template + BLUF</t>
        </is>
      </c>
      <c r="D590" s="75" t="inlineStr">
        <is>
          <t>SC02</t>
        </is>
      </c>
      <c r="E590" s="46" t="inlineStr">
        <is>
          <t>Ransomware</t>
        </is>
      </c>
      <c r="F590" s="74" t="n"/>
    </row>
    <row r="591" ht="13.5" customHeight="1" s="38">
      <c r="A591" s="46" t="inlineStr">
        <is>
          <t>R_0588</t>
        </is>
      </c>
      <c r="B591" s="46" t="inlineStr">
        <is>
          <t>Z_S1_SC03_I04</t>
        </is>
      </c>
      <c r="C591" s="46" t="inlineStr">
        <is>
          <t>Strategy 1 – Zero-Shot + Structured Template</t>
        </is>
      </c>
      <c r="D591" s="75" t="inlineStr">
        <is>
          <t>SC03</t>
        </is>
      </c>
      <c r="E591" s="46" t="inlineStr">
        <is>
          <t>Zero-Day / Edge Device</t>
        </is>
      </c>
      <c r="F591" s="74" t="n"/>
    </row>
    <row r="592" ht="13.5" customHeight="1" s="38">
      <c r="A592" s="46" t="inlineStr">
        <is>
          <t>R_0589</t>
        </is>
      </c>
      <c r="B592" s="46" t="inlineStr">
        <is>
          <t>B_S2_SC03_I09</t>
        </is>
      </c>
      <c r="C592" s="46" t="inlineStr">
        <is>
          <t>Strategy 2 – Zero-Shot + Template + BLUF</t>
        </is>
      </c>
      <c r="D592" s="75" t="inlineStr">
        <is>
          <t>SC03</t>
        </is>
      </c>
      <c r="E592" s="46" t="inlineStr">
        <is>
          <t>Business Email Compromise</t>
        </is>
      </c>
      <c r="F592" s="74" t="n"/>
    </row>
    <row r="593" ht="13.5" customHeight="1" s="38">
      <c r="A593" s="46" t="inlineStr">
        <is>
          <t>R_0590</t>
        </is>
      </c>
      <c r="B593" s="46" t="inlineStr">
        <is>
          <t>B_S0_SC03_I04</t>
        </is>
      </c>
      <c r="C593" s="46" t="inlineStr">
        <is>
          <t>Baseline – Zero-Shot (minimal instruction)</t>
        </is>
      </c>
      <c r="D593" s="75" t="inlineStr">
        <is>
          <t>SC03</t>
        </is>
      </c>
      <c r="E593" s="46" t="inlineStr">
        <is>
          <t>Business Email Compromise</t>
        </is>
      </c>
      <c r="F593" s="74" t="n"/>
    </row>
    <row r="594" ht="13.5" customHeight="1" s="38">
      <c r="A594" s="46" t="inlineStr">
        <is>
          <t>R_0591</t>
        </is>
      </c>
      <c r="B594" s="46" t="inlineStr">
        <is>
          <t>Z_S3_SC03_I03</t>
        </is>
      </c>
      <c r="C594" s="46" t="inlineStr">
        <is>
          <t>Strategy 3 – One-Shot + Structured Template</t>
        </is>
      </c>
      <c r="D594" s="75" t="inlineStr">
        <is>
          <t>SC03</t>
        </is>
      </c>
      <c r="E594" s="46" t="inlineStr">
        <is>
          <t>Zero-Day / Edge Device</t>
        </is>
      </c>
      <c r="F594" s="74" t="n"/>
    </row>
    <row r="595" ht="13.5" customHeight="1" s="38">
      <c r="A595" s="46" t="inlineStr">
        <is>
          <t>R_0592</t>
        </is>
      </c>
      <c r="B595" s="46" t="inlineStr">
        <is>
          <t>Z_S4_SC04_I09</t>
        </is>
      </c>
      <c r="C595" s="46" t="inlineStr">
        <is>
          <t>Strategy 4 – One-Shot + Template + BLUF</t>
        </is>
      </c>
      <c r="D595" s="75" t="inlineStr">
        <is>
          <t>SC04</t>
        </is>
      </c>
      <c r="E595" s="46" t="inlineStr">
        <is>
          <t>Zero-Day / Edge Device</t>
        </is>
      </c>
      <c r="F595" s="74" t="n"/>
    </row>
    <row r="596" ht="13.5" customHeight="1" s="38">
      <c r="A596" s="46" t="inlineStr">
        <is>
          <t>R_0593</t>
        </is>
      </c>
      <c r="B596" s="46" t="inlineStr">
        <is>
          <t>R_S3_SC04_I04</t>
        </is>
      </c>
      <c r="C596" s="46" t="inlineStr">
        <is>
          <t>Strategy 3 – One-Shot + Structured Template</t>
        </is>
      </c>
      <c r="D596" s="75" t="inlineStr">
        <is>
          <t>SC04</t>
        </is>
      </c>
      <c r="E596" s="46" t="inlineStr">
        <is>
          <t>Ransomware</t>
        </is>
      </c>
      <c r="F596" s="74" t="n"/>
    </row>
    <row r="597" ht="13.5" customHeight="1" s="38">
      <c r="A597" s="46" t="inlineStr">
        <is>
          <t>R_0594</t>
        </is>
      </c>
      <c r="B597" s="46" t="inlineStr">
        <is>
          <t>S_S3_SC01_I07</t>
        </is>
      </c>
      <c r="C597" s="46" t="inlineStr">
        <is>
          <t>Strategy 3 – One-Shot + Structured Template</t>
        </is>
      </c>
      <c r="D597" s="75" t="inlineStr">
        <is>
          <t>SC01</t>
        </is>
      </c>
      <c r="E597" s="46" t="inlineStr">
        <is>
          <t>Supply Chain</t>
        </is>
      </c>
      <c r="F597" s="74" t="n"/>
    </row>
    <row r="598" ht="13.5" customHeight="1" s="38">
      <c r="A598" s="46" t="inlineStr">
        <is>
          <t>R_0595</t>
        </is>
      </c>
      <c r="B598" s="46" t="inlineStr">
        <is>
          <t>R_S2_SC02_I04</t>
        </is>
      </c>
      <c r="C598" s="46" t="inlineStr">
        <is>
          <t>Strategy 2 – Zero-Shot + Template + BLUF</t>
        </is>
      </c>
      <c r="D598" s="75" t="inlineStr">
        <is>
          <t>SC02</t>
        </is>
      </c>
      <c r="E598" s="46" t="inlineStr">
        <is>
          <t>Ransomware</t>
        </is>
      </c>
      <c r="F598" s="74" t="n"/>
    </row>
    <row r="599" ht="13.5" customHeight="1" s="38">
      <c r="A599" s="46" t="inlineStr">
        <is>
          <t>R_0596</t>
        </is>
      </c>
      <c r="B599" s="46" t="inlineStr">
        <is>
          <t>Z_S1_SC01_I01</t>
        </is>
      </c>
      <c r="C599" s="46" t="inlineStr">
        <is>
          <t>Strategy 1 – Zero-Shot + Structured Template</t>
        </is>
      </c>
      <c r="D599" s="75" t="inlineStr">
        <is>
          <t>SC01</t>
        </is>
      </c>
      <c r="E599" s="46" t="inlineStr">
        <is>
          <t>Zero-Day / Edge Device</t>
        </is>
      </c>
      <c r="F599" s="74" t="n"/>
    </row>
    <row r="600" ht="13.5" customHeight="1" s="38">
      <c r="A600" s="46" t="inlineStr">
        <is>
          <t>R_0597</t>
        </is>
      </c>
      <c r="B600" s="46" t="inlineStr">
        <is>
          <t>B_S0_SC01_I07</t>
        </is>
      </c>
      <c r="C600" s="46" t="inlineStr">
        <is>
          <t>Baseline – Zero-Shot (minimal instruction)</t>
        </is>
      </c>
      <c r="D600" s="75" t="inlineStr">
        <is>
          <t>SC01</t>
        </is>
      </c>
      <c r="E600" s="46" t="inlineStr">
        <is>
          <t>Business Email Compromise</t>
        </is>
      </c>
      <c r="F600" s="74" t="n"/>
    </row>
    <row r="601" ht="13.5" customHeight="1" s="38">
      <c r="A601" s="46" t="inlineStr">
        <is>
          <t>R_0598</t>
        </is>
      </c>
      <c r="B601" s="46" t="inlineStr">
        <is>
          <t>S_S4_SC01_I10</t>
        </is>
      </c>
      <c r="C601" s="46" t="inlineStr">
        <is>
          <t>Strategy 4 – One-Shot + Template + BLUF</t>
        </is>
      </c>
      <c r="D601" s="75" t="inlineStr">
        <is>
          <t>SC01</t>
        </is>
      </c>
      <c r="E601" s="46" t="inlineStr">
        <is>
          <t>Supply Chain</t>
        </is>
      </c>
      <c r="F601" s="74" t="n"/>
    </row>
    <row r="602" ht="13.5" customHeight="1" s="38">
      <c r="A602" s="46" t="inlineStr">
        <is>
          <t>R_0599</t>
        </is>
      </c>
      <c r="B602" s="46" t="inlineStr">
        <is>
          <t>S_S4_SC02_I02</t>
        </is>
      </c>
      <c r="C602" s="46" t="inlineStr">
        <is>
          <t>Strategy 4 – One-Shot + Template + BLUF</t>
        </is>
      </c>
      <c r="D602" s="75" t="inlineStr">
        <is>
          <t>SC02</t>
        </is>
      </c>
      <c r="E602" s="46" t="inlineStr">
        <is>
          <t>Supply Chain</t>
        </is>
      </c>
      <c r="F602" s="74" t="n"/>
    </row>
    <row r="603" ht="13.5" customHeight="1" s="38">
      <c r="A603" s="46" t="inlineStr">
        <is>
          <t>R_0600</t>
        </is>
      </c>
      <c r="B603" s="46" t="inlineStr">
        <is>
          <t>R_S2_SC04_I05</t>
        </is>
      </c>
      <c r="C603" s="46" t="inlineStr">
        <is>
          <t>Strategy 2 – Zero-Shot + Template + BLUF</t>
        </is>
      </c>
      <c r="D603" s="75" t="inlineStr">
        <is>
          <t>SC04</t>
        </is>
      </c>
      <c r="E603" s="46" t="inlineStr">
        <is>
          <t>Ransomware</t>
        </is>
      </c>
      <c r="F603" s="74" t="n"/>
    </row>
    <row r="604" ht="13.5" customHeight="1" s="38">
      <c r="A604" s="46" t="inlineStr">
        <is>
          <t>R_0601</t>
        </is>
      </c>
      <c r="B604" s="46" t="inlineStr">
        <is>
          <t>B_S2_SC01_I07</t>
        </is>
      </c>
      <c r="C604" s="46" t="inlineStr">
        <is>
          <t>Strategy 2 – Zero-Shot + Template + BLUF</t>
        </is>
      </c>
      <c r="D604" s="75" t="inlineStr">
        <is>
          <t>SC01</t>
        </is>
      </c>
      <c r="E604" s="46" t="inlineStr">
        <is>
          <t>Business Email Compromise</t>
        </is>
      </c>
      <c r="F604" s="74" t="n"/>
    </row>
    <row r="605" ht="13.5" customHeight="1" s="38">
      <c r="A605" s="46" t="inlineStr">
        <is>
          <t>R_0602</t>
        </is>
      </c>
      <c r="B605" s="46" t="inlineStr">
        <is>
          <t>R_S0_SC02_I06</t>
        </is>
      </c>
      <c r="C605" s="46" t="inlineStr">
        <is>
          <t>Baseline – Zero-Shot (minimal instruction)</t>
        </is>
      </c>
      <c r="D605" s="75" t="inlineStr">
        <is>
          <t>SC02</t>
        </is>
      </c>
      <c r="E605" s="46" t="inlineStr">
        <is>
          <t>Ransomware</t>
        </is>
      </c>
      <c r="F605" s="74" t="n"/>
    </row>
    <row r="606" ht="13.5" customHeight="1" s="38">
      <c r="A606" s="46" t="inlineStr">
        <is>
          <t>R_0603</t>
        </is>
      </c>
      <c r="B606" s="46" t="inlineStr">
        <is>
          <t>Z_S3_SC05_I07</t>
        </is>
      </c>
      <c r="C606" s="46" t="inlineStr">
        <is>
          <t>Strategy 3 – One-Shot + Structured Template</t>
        </is>
      </c>
      <c r="D606" s="75" t="inlineStr">
        <is>
          <t>SC05</t>
        </is>
      </c>
      <c r="E606" s="46" t="inlineStr">
        <is>
          <t>Zero-Day / Edge Device</t>
        </is>
      </c>
      <c r="F606" s="74" t="n"/>
    </row>
    <row r="607" ht="13.5" customHeight="1" s="38">
      <c r="A607" s="46" t="inlineStr">
        <is>
          <t>R_0604</t>
        </is>
      </c>
      <c r="B607" s="46" t="inlineStr">
        <is>
          <t>B_S4_SC04_I01</t>
        </is>
      </c>
      <c r="C607" s="46" t="inlineStr">
        <is>
          <t>Strategy 4 – One-Shot + Template + BLUF</t>
        </is>
      </c>
      <c r="D607" s="75" t="inlineStr">
        <is>
          <t>SC04</t>
        </is>
      </c>
      <c r="E607" s="46" t="inlineStr">
        <is>
          <t>Business Email Compromise</t>
        </is>
      </c>
      <c r="F607" s="74" t="n"/>
    </row>
    <row r="608" ht="13.5" customHeight="1" s="38">
      <c r="A608" s="46" t="inlineStr">
        <is>
          <t>R_0605</t>
        </is>
      </c>
      <c r="B608" s="46" t="inlineStr">
        <is>
          <t>B_S4_SC05_I10</t>
        </is>
      </c>
      <c r="C608" s="46" t="inlineStr">
        <is>
          <t>Strategy 4 – One-Shot + Template + BLUF</t>
        </is>
      </c>
      <c r="D608" s="75" t="inlineStr">
        <is>
          <t>SC05</t>
        </is>
      </c>
      <c r="E608" s="46" t="inlineStr">
        <is>
          <t>Business Email Compromise</t>
        </is>
      </c>
      <c r="F608" s="74" t="n"/>
    </row>
    <row r="609" ht="13.5" customHeight="1" s="38">
      <c r="A609" s="46" t="inlineStr">
        <is>
          <t>R_0606</t>
        </is>
      </c>
      <c r="B609" s="46" t="inlineStr">
        <is>
          <t>B_S1_SC01_I07</t>
        </is>
      </c>
      <c r="C609" s="46" t="inlineStr">
        <is>
          <t>Strategy 1 – Zero-Shot + Structured Template</t>
        </is>
      </c>
      <c r="D609" s="75" t="inlineStr">
        <is>
          <t>SC01</t>
        </is>
      </c>
      <c r="E609" s="46" t="inlineStr">
        <is>
          <t>Business Email Compromise</t>
        </is>
      </c>
      <c r="F609" s="74" t="n"/>
    </row>
    <row r="610" ht="13.5" customHeight="1" s="38">
      <c r="A610" s="46" t="inlineStr">
        <is>
          <t>R_0607</t>
        </is>
      </c>
      <c r="B610" s="46" t="inlineStr">
        <is>
          <t>S_S2_SC04_I04</t>
        </is>
      </c>
      <c r="C610" s="46" t="inlineStr">
        <is>
          <t>Strategy 2 – Zero-Shot + Template + BLUF</t>
        </is>
      </c>
      <c r="D610" s="75" t="inlineStr">
        <is>
          <t>SC04</t>
        </is>
      </c>
      <c r="E610" s="46" t="inlineStr">
        <is>
          <t>Supply Chain</t>
        </is>
      </c>
      <c r="F610" s="74" t="n"/>
    </row>
    <row r="611" ht="13.5" customHeight="1" s="38">
      <c r="A611" s="46" t="inlineStr">
        <is>
          <t>R_0608</t>
        </is>
      </c>
      <c r="B611" s="46" t="inlineStr">
        <is>
          <t>Z_S1_SC05_I10</t>
        </is>
      </c>
      <c r="C611" s="46" t="inlineStr">
        <is>
          <t>Strategy 1 – Zero-Shot + Structured Template</t>
        </is>
      </c>
      <c r="D611" s="75" t="inlineStr">
        <is>
          <t>SC05</t>
        </is>
      </c>
      <c r="E611" s="46" t="inlineStr">
        <is>
          <t>Zero-Day / Edge Device</t>
        </is>
      </c>
      <c r="F611" s="74" t="n"/>
    </row>
    <row r="612" ht="13.5" customHeight="1" s="38">
      <c r="A612" s="46" t="inlineStr">
        <is>
          <t>R_0609</t>
        </is>
      </c>
      <c r="B612" s="46" t="inlineStr">
        <is>
          <t>R_S3_SC04_I03</t>
        </is>
      </c>
      <c r="C612" s="46" t="inlineStr">
        <is>
          <t>Strategy 3 – One-Shot + Structured Template</t>
        </is>
      </c>
      <c r="D612" s="75" t="inlineStr">
        <is>
          <t>SC04</t>
        </is>
      </c>
      <c r="E612" s="46" t="inlineStr">
        <is>
          <t>Ransomware</t>
        </is>
      </c>
      <c r="F612" s="74" t="n"/>
    </row>
    <row r="613" ht="13.5" customHeight="1" s="38">
      <c r="A613" s="46" t="inlineStr">
        <is>
          <t>R_0610</t>
        </is>
      </c>
      <c r="B613" s="46" t="inlineStr">
        <is>
          <t>R_S3_SC05_I01</t>
        </is>
      </c>
      <c r="C613" s="46" t="inlineStr">
        <is>
          <t>Strategy 3 – One-Shot + Structured Template</t>
        </is>
      </c>
      <c r="D613" s="75" t="inlineStr">
        <is>
          <t>SC05</t>
        </is>
      </c>
      <c r="E613" s="46" t="inlineStr">
        <is>
          <t>Ransomware</t>
        </is>
      </c>
      <c r="F613" s="74" t="n"/>
    </row>
    <row r="614" ht="13.5" customHeight="1" s="38">
      <c r="A614" s="46" t="inlineStr">
        <is>
          <t>R_0611</t>
        </is>
      </c>
      <c r="B614" s="46" t="inlineStr">
        <is>
          <t>R_S4_SC05_I03</t>
        </is>
      </c>
      <c r="C614" s="46" t="inlineStr">
        <is>
          <t>Strategy 4 – One-Shot + Template + BLUF</t>
        </is>
      </c>
      <c r="D614" s="75" t="inlineStr">
        <is>
          <t>SC05</t>
        </is>
      </c>
      <c r="E614" s="46" t="inlineStr">
        <is>
          <t>Ransomware</t>
        </is>
      </c>
      <c r="F614" s="74" t="n"/>
    </row>
    <row r="615" ht="13.5" customHeight="1" s="38">
      <c r="A615" s="46" t="inlineStr">
        <is>
          <t>R_0612</t>
        </is>
      </c>
      <c r="B615" s="46" t="inlineStr">
        <is>
          <t>S_S1_SC03_I04</t>
        </is>
      </c>
      <c r="C615" s="46" t="inlineStr">
        <is>
          <t>Strategy 1 – Zero-Shot + Structured Template</t>
        </is>
      </c>
      <c r="D615" s="75" t="inlineStr">
        <is>
          <t>SC03</t>
        </is>
      </c>
      <c r="E615" s="46" t="inlineStr">
        <is>
          <t>Supply Chain</t>
        </is>
      </c>
      <c r="F615" s="74" t="n"/>
    </row>
    <row r="616" ht="13.5" customHeight="1" s="38">
      <c r="A616" s="46" t="inlineStr">
        <is>
          <t>R_0613</t>
        </is>
      </c>
      <c r="B616" s="46" t="inlineStr">
        <is>
          <t>S_S2_SC01_I05</t>
        </is>
      </c>
      <c r="C616" s="46" t="inlineStr">
        <is>
          <t>Strategy 2 – Zero-Shot + Template + BLUF</t>
        </is>
      </c>
      <c r="D616" s="75" t="inlineStr">
        <is>
          <t>SC01</t>
        </is>
      </c>
      <c r="E616" s="46" t="inlineStr">
        <is>
          <t>Supply Chain</t>
        </is>
      </c>
      <c r="F616" s="74" t="n"/>
    </row>
    <row r="617" ht="13.5" customHeight="1" s="38">
      <c r="A617" s="46" t="inlineStr">
        <is>
          <t>R_0614</t>
        </is>
      </c>
      <c r="B617" s="46" t="inlineStr">
        <is>
          <t>B_S3_SC05_I05</t>
        </is>
      </c>
      <c r="C617" s="46" t="inlineStr">
        <is>
          <t>Strategy 3 – One-Shot + Structured Template</t>
        </is>
      </c>
      <c r="D617" s="75" t="inlineStr">
        <is>
          <t>SC05</t>
        </is>
      </c>
      <c r="E617" s="46" t="inlineStr">
        <is>
          <t>Business Email Compromise</t>
        </is>
      </c>
      <c r="F617" s="74" t="n"/>
    </row>
    <row r="618" ht="13.5" customHeight="1" s="38">
      <c r="A618" s="46" t="inlineStr">
        <is>
          <t>R_0615</t>
        </is>
      </c>
      <c r="B618" s="46" t="inlineStr">
        <is>
          <t>Z_S0_SC03_I06</t>
        </is>
      </c>
      <c r="C618" s="46" t="inlineStr">
        <is>
          <t>Baseline – Zero-Shot (minimal instruction)</t>
        </is>
      </c>
      <c r="D618" s="75" t="inlineStr">
        <is>
          <t>SC03</t>
        </is>
      </c>
      <c r="E618" s="46" t="inlineStr">
        <is>
          <t>Zero-Day / Edge Device</t>
        </is>
      </c>
      <c r="F618" s="74" t="n"/>
    </row>
    <row r="619" ht="13.5" customHeight="1" s="38">
      <c r="A619" s="46" t="inlineStr">
        <is>
          <t>R_0616</t>
        </is>
      </c>
      <c r="B619" s="46" t="inlineStr">
        <is>
          <t>B_S0_SC02_I02</t>
        </is>
      </c>
      <c r="C619" s="46" t="inlineStr">
        <is>
          <t>Baseline – Zero-Shot (minimal instruction)</t>
        </is>
      </c>
      <c r="D619" s="75" t="inlineStr">
        <is>
          <t>SC02</t>
        </is>
      </c>
      <c r="E619" s="46" t="inlineStr">
        <is>
          <t>Business Email Compromise</t>
        </is>
      </c>
      <c r="F619" s="74" t="n"/>
    </row>
    <row r="620" ht="13.5" customHeight="1" s="38">
      <c r="A620" s="46" t="inlineStr">
        <is>
          <t>R_0617</t>
        </is>
      </c>
      <c r="B620" s="46" t="inlineStr">
        <is>
          <t>B_S4_SC05_I02</t>
        </is>
      </c>
      <c r="C620" s="46" t="inlineStr">
        <is>
          <t>Strategy 4 – One-Shot + Template + BLUF</t>
        </is>
      </c>
      <c r="D620" s="75" t="inlineStr">
        <is>
          <t>SC05</t>
        </is>
      </c>
      <c r="E620" s="46" t="inlineStr">
        <is>
          <t>Business Email Compromise</t>
        </is>
      </c>
      <c r="F620" s="74" t="n"/>
    </row>
    <row r="621" ht="13.5" customHeight="1" s="38">
      <c r="A621" s="46" t="inlineStr">
        <is>
          <t>R_0618</t>
        </is>
      </c>
      <c r="B621" s="46" t="inlineStr">
        <is>
          <t>B_S0_SC05_I10</t>
        </is>
      </c>
      <c r="C621" s="46" t="inlineStr">
        <is>
          <t>Baseline – Zero-Shot (minimal instruction)</t>
        </is>
      </c>
      <c r="D621" s="75" t="inlineStr">
        <is>
          <t>SC05</t>
        </is>
      </c>
      <c r="E621" s="46" t="inlineStr">
        <is>
          <t>Business Email Compromise</t>
        </is>
      </c>
      <c r="F621" s="74" t="n"/>
    </row>
    <row r="622" ht="13.5" customHeight="1" s="38">
      <c r="A622" s="46" t="inlineStr">
        <is>
          <t>R_0619</t>
        </is>
      </c>
      <c r="B622" s="46" t="inlineStr">
        <is>
          <t>B_S4_SC01_I08</t>
        </is>
      </c>
      <c r="C622" s="46" t="inlineStr">
        <is>
          <t>Strategy 4 – One-Shot + Template + BLUF</t>
        </is>
      </c>
      <c r="D622" s="75" t="inlineStr">
        <is>
          <t>SC01</t>
        </is>
      </c>
      <c r="E622" s="46" t="inlineStr">
        <is>
          <t>Business Email Compromise</t>
        </is>
      </c>
      <c r="F622" s="74" t="n"/>
    </row>
    <row r="623" ht="13.5" customHeight="1" s="38">
      <c r="A623" s="46" t="inlineStr">
        <is>
          <t>R_0620</t>
        </is>
      </c>
      <c r="B623" s="46" t="inlineStr">
        <is>
          <t>B_S0_SC05_I03</t>
        </is>
      </c>
      <c r="C623" s="46" t="inlineStr">
        <is>
          <t>Baseline – Zero-Shot (minimal instruction)</t>
        </is>
      </c>
      <c r="D623" s="75" t="inlineStr">
        <is>
          <t>SC05</t>
        </is>
      </c>
      <c r="E623" s="46" t="inlineStr">
        <is>
          <t>Business Email Compromise</t>
        </is>
      </c>
      <c r="F623" s="74" t="n"/>
    </row>
    <row r="624" ht="13.5" customHeight="1" s="38">
      <c r="A624" s="46" t="inlineStr">
        <is>
          <t>R_0621</t>
        </is>
      </c>
      <c r="B624" s="46" t="inlineStr">
        <is>
          <t>R_S3_SC01_I06</t>
        </is>
      </c>
      <c r="C624" s="46" t="inlineStr">
        <is>
          <t>Strategy 3 – One-Shot + Structured Template</t>
        </is>
      </c>
      <c r="D624" s="75" t="inlineStr">
        <is>
          <t>SC01</t>
        </is>
      </c>
      <c r="E624" s="46" t="inlineStr">
        <is>
          <t>Ransomware</t>
        </is>
      </c>
      <c r="F624" s="74" t="n"/>
    </row>
    <row r="625" ht="13.5" customHeight="1" s="38">
      <c r="A625" s="46" t="inlineStr">
        <is>
          <t>R_0622</t>
        </is>
      </c>
      <c r="B625" s="46" t="inlineStr">
        <is>
          <t>B_S3_SC02_I09</t>
        </is>
      </c>
      <c r="C625" s="46" t="inlineStr">
        <is>
          <t>Strategy 3 – One-Shot + Structured Template</t>
        </is>
      </c>
      <c r="D625" s="75" t="inlineStr">
        <is>
          <t>SC02</t>
        </is>
      </c>
      <c r="E625" s="46" t="inlineStr">
        <is>
          <t>Business Email Compromise</t>
        </is>
      </c>
      <c r="F625" s="74" t="n"/>
    </row>
    <row r="626" ht="13.5" customHeight="1" s="38">
      <c r="A626" s="46" t="inlineStr">
        <is>
          <t>R_0623</t>
        </is>
      </c>
      <c r="B626" s="46" t="inlineStr">
        <is>
          <t>Z_S0_SC03_I08</t>
        </is>
      </c>
      <c r="C626" s="46" t="inlineStr">
        <is>
          <t>Baseline – Zero-Shot (minimal instruction)</t>
        </is>
      </c>
      <c r="D626" s="75" t="inlineStr">
        <is>
          <t>SC03</t>
        </is>
      </c>
      <c r="E626" s="46" t="inlineStr">
        <is>
          <t>Zero-Day / Edge Device</t>
        </is>
      </c>
      <c r="F626" s="74" t="n"/>
    </row>
    <row r="627" ht="13.5" customHeight="1" s="38">
      <c r="A627" s="46" t="inlineStr">
        <is>
          <t>R_0624</t>
        </is>
      </c>
      <c r="B627" s="46" t="inlineStr">
        <is>
          <t>Z_S4_SC01_I09</t>
        </is>
      </c>
      <c r="C627" s="46" t="inlineStr">
        <is>
          <t>Strategy 4 – One-Shot + Template + BLUF</t>
        </is>
      </c>
      <c r="D627" s="75" t="inlineStr">
        <is>
          <t>SC01</t>
        </is>
      </c>
      <c r="E627" s="46" t="inlineStr">
        <is>
          <t>Zero-Day / Edge Device</t>
        </is>
      </c>
      <c r="F627" s="74" t="n"/>
    </row>
    <row r="628" ht="13.5" customHeight="1" s="38">
      <c r="A628" s="46" t="inlineStr">
        <is>
          <t>R_0625</t>
        </is>
      </c>
      <c r="B628" s="46" t="inlineStr">
        <is>
          <t>S_S0_SC02_I09</t>
        </is>
      </c>
      <c r="C628" s="46" t="inlineStr">
        <is>
          <t>Baseline – Zero-Shot (minimal instruction)</t>
        </is>
      </c>
      <c r="D628" s="75" t="inlineStr">
        <is>
          <t>SC02</t>
        </is>
      </c>
      <c r="E628" s="46" t="inlineStr">
        <is>
          <t>Supply Chain</t>
        </is>
      </c>
      <c r="F628" s="74" t="n"/>
    </row>
    <row r="629" ht="13.5" customHeight="1" s="38">
      <c r="A629" s="46" t="inlineStr">
        <is>
          <t>R_0626</t>
        </is>
      </c>
      <c r="B629" s="46" t="inlineStr">
        <is>
          <t>R_S3_SC02_I06</t>
        </is>
      </c>
      <c r="C629" s="46" t="inlineStr">
        <is>
          <t>Strategy 3 – One-Shot + Structured Template</t>
        </is>
      </c>
      <c r="D629" s="75" t="inlineStr">
        <is>
          <t>SC02</t>
        </is>
      </c>
      <c r="E629" s="46" t="inlineStr">
        <is>
          <t>Ransomware</t>
        </is>
      </c>
      <c r="F629" s="74" t="n"/>
    </row>
    <row r="630" ht="13.5" customHeight="1" s="38">
      <c r="A630" s="46" t="inlineStr">
        <is>
          <t>R_0627</t>
        </is>
      </c>
      <c r="B630" s="46" t="inlineStr">
        <is>
          <t>S_S2_SC02_I02</t>
        </is>
      </c>
      <c r="C630" s="46" t="inlineStr">
        <is>
          <t>Strategy 2 – Zero-Shot + Template + BLUF</t>
        </is>
      </c>
      <c r="D630" s="75" t="inlineStr">
        <is>
          <t>SC02</t>
        </is>
      </c>
      <c r="E630" s="46" t="inlineStr">
        <is>
          <t>Supply Chain</t>
        </is>
      </c>
      <c r="F630" s="74" t="n"/>
    </row>
    <row r="631" ht="13.5" customHeight="1" s="38">
      <c r="A631" s="46" t="inlineStr">
        <is>
          <t>R_0628</t>
        </is>
      </c>
      <c r="B631" s="46" t="inlineStr">
        <is>
          <t>Z_S0_SC01_I05</t>
        </is>
      </c>
      <c r="C631" s="46" t="inlineStr">
        <is>
          <t>Baseline – Zero-Shot (minimal instruction)</t>
        </is>
      </c>
      <c r="D631" s="75" t="inlineStr">
        <is>
          <t>SC01</t>
        </is>
      </c>
      <c r="E631" s="46" t="inlineStr">
        <is>
          <t>Zero-Day / Edge Device</t>
        </is>
      </c>
      <c r="F631" s="74" t="n"/>
    </row>
    <row r="632" ht="13.5" customHeight="1" s="38">
      <c r="A632" s="46" t="inlineStr">
        <is>
          <t>R_0629</t>
        </is>
      </c>
      <c r="B632" s="46" t="inlineStr">
        <is>
          <t>S_S1_SC03_I02</t>
        </is>
      </c>
      <c r="C632" s="46" t="inlineStr">
        <is>
          <t>Strategy 1 – Zero-Shot + Structured Template</t>
        </is>
      </c>
      <c r="D632" s="75" t="inlineStr">
        <is>
          <t>SC03</t>
        </is>
      </c>
      <c r="E632" s="46" t="inlineStr">
        <is>
          <t>Supply Chain</t>
        </is>
      </c>
      <c r="F632" s="74" t="n"/>
    </row>
    <row r="633" ht="13.5" customHeight="1" s="38">
      <c r="A633" s="46" t="inlineStr">
        <is>
          <t>R_0630</t>
        </is>
      </c>
      <c r="B633" s="46" t="inlineStr">
        <is>
          <t>R_S0_SC02_I04</t>
        </is>
      </c>
      <c r="C633" s="46" t="inlineStr">
        <is>
          <t>Baseline – Zero-Shot (minimal instruction)</t>
        </is>
      </c>
      <c r="D633" s="75" t="inlineStr">
        <is>
          <t>SC02</t>
        </is>
      </c>
      <c r="E633" s="46" t="inlineStr">
        <is>
          <t>Ransomware</t>
        </is>
      </c>
      <c r="F633" s="74" t="n"/>
    </row>
    <row r="634" ht="13.5" customHeight="1" s="38">
      <c r="A634" s="46" t="inlineStr">
        <is>
          <t>R_0631</t>
        </is>
      </c>
      <c r="B634" s="46" t="inlineStr">
        <is>
          <t>B_S0_SC01_I05</t>
        </is>
      </c>
      <c r="C634" s="46" t="inlineStr">
        <is>
          <t>Baseline – Zero-Shot (minimal instruction)</t>
        </is>
      </c>
      <c r="D634" s="75" t="inlineStr">
        <is>
          <t>SC01</t>
        </is>
      </c>
      <c r="E634" s="46" t="inlineStr">
        <is>
          <t>Business Email Compromise</t>
        </is>
      </c>
      <c r="F634" s="74" t="n"/>
    </row>
    <row r="635" ht="13.5" customHeight="1" s="38">
      <c r="A635" s="46" t="inlineStr">
        <is>
          <t>R_0632</t>
        </is>
      </c>
      <c r="B635" s="46" t="inlineStr">
        <is>
          <t>Z_S2_SC05_I10</t>
        </is>
      </c>
      <c r="C635" s="46" t="inlineStr">
        <is>
          <t>Strategy 2 – Zero-Shot + Template + BLUF</t>
        </is>
      </c>
      <c r="D635" s="75" t="inlineStr">
        <is>
          <t>SC05</t>
        </is>
      </c>
      <c r="E635" s="46" t="inlineStr">
        <is>
          <t>Zero-Day / Edge Device</t>
        </is>
      </c>
      <c r="F635" s="74" t="n"/>
    </row>
    <row r="636" ht="13.5" customHeight="1" s="38">
      <c r="A636" s="46" t="inlineStr">
        <is>
          <t>R_0633</t>
        </is>
      </c>
      <c r="B636" s="46" t="inlineStr">
        <is>
          <t>S_S2_SC05_I01</t>
        </is>
      </c>
      <c r="C636" s="46" t="inlineStr">
        <is>
          <t>Strategy 2 – Zero-Shot + Template + BLUF</t>
        </is>
      </c>
      <c r="D636" s="75" t="inlineStr">
        <is>
          <t>SC05</t>
        </is>
      </c>
      <c r="E636" s="46" t="inlineStr">
        <is>
          <t>Supply Chain</t>
        </is>
      </c>
      <c r="F636" s="74" t="n"/>
    </row>
    <row r="637" ht="13.5" customHeight="1" s="38">
      <c r="A637" s="46" t="inlineStr">
        <is>
          <t>R_0634</t>
        </is>
      </c>
      <c r="B637" s="46" t="inlineStr">
        <is>
          <t>Z_S4_SC05_I03</t>
        </is>
      </c>
      <c r="C637" s="46" t="inlineStr">
        <is>
          <t>Strategy 4 – One-Shot + Template + BLUF</t>
        </is>
      </c>
      <c r="D637" s="75" t="inlineStr">
        <is>
          <t>SC05</t>
        </is>
      </c>
      <c r="E637" s="46" t="inlineStr">
        <is>
          <t>Zero-Day / Edge Device</t>
        </is>
      </c>
      <c r="F637" s="74" t="n"/>
    </row>
    <row r="638" ht="13.5" customHeight="1" s="38">
      <c r="A638" s="46" t="inlineStr">
        <is>
          <t>R_0635</t>
        </is>
      </c>
      <c r="B638" s="46" t="inlineStr">
        <is>
          <t>Z_S0_SC04_I07</t>
        </is>
      </c>
      <c r="C638" s="46" t="inlineStr">
        <is>
          <t>Baseline – Zero-Shot (minimal instruction)</t>
        </is>
      </c>
      <c r="D638" s="75" t="inlineStr">
        <is>
          <t>SC04</t>
        </is>
      </c>
      <c r="E638" s="46" t="inlineStr">
        <is>
          <t>Zero-Day / Edge Device</t>
        </is>
      </c>
      <c r="F638" s="74" t="n"/>
    </row>
    <row r="639" ht="13.5" customHeight="1" s="38">
      <c r="A639" s="46" t="inlineStr">
        <is>
          <t>R_0636</t>
        </is>
      </c>
      <c r="B639" s="46" t="inlineStr">
        <is>
          <t>R_S0_SC01_I08</t>
        </is>
      </c>
      <c r="C639" s="46" t="inlineStr">
        <is>
          <t>Baseline – Zero-Shot (minimal instruction)</t>
        </is>
      </c>
      <c r="D639" s="75" t="inlineStr">
        <is>
          <t>SC01</t>
        </is>
      </c>
      <c r="E639" s="46" t="inlineStr">
        <is>
          <t>Ransomware</t>
        </is>
      </c>
      <c r="F639" s="74" t="n"/>
    </row>
    <row r="640" ht="13.5" customHeight="1" s="38">
      <c r="A640" s="46" t="inlineStr">
        <is>
          <t>R_0637</t>
        </is>
      </c>
      <c r="B640" s="46" t="inlineStr">
        <is>
          <t>Z_S1_SC04_I07</t>
        </is>
      </c>
      <c r="C640" s="46" t="inlineStr">
        <is>
          <t>Strategy 1 – Zero-Shot + Structured Template</t>
        </is>
      </c>
      <c r="D640" s="75" t="inlineStr">
        <is>
          <t>SC04</t>
        </is>
      </c>
      <c r="E640" s="46" t="inlineStr">
        <is>
          <t>Zero-Day / Edge Device</t>
        </is>
      </c>
      <c r="F640" s="74" t="n"/>
    </row>
    <row r="641" ht="13.5" customHeight="1" s="38">
      <c r="A641" s="46" t="inlineStr">
        <is>
          <t>R_0638</t>
        </is>
      </c>
      <c r="B641" s="46" t="inlineStr">
        <is>
          <t>R_S0_SC01_I07</t>
        </is>
      </c>
      <c r="C641" s="46" t="inlineStr">
        <is>
          <t>Baseline – Zero-Shot (minimal instruction)</t>
        </is>
      </c>
      <c r="D641" s="75" t="inlineStr">
        <is>
          <t>SC01</t>
        </is>
      </c>
      <c r="E641" s="46" t="inlineStr">
        <is>
          <t>Ransomware</t>
        </is>
      </c>
      <c r="F641" s="74" t="n"/>
    </row>
    <row r="642" ht="13.5" customHeight="1" s="38">
      <c r="A642" s="46" t="inlineStr">
        <is>
          <t>R_0639</t>
        </is>
      </c>
      <c r="B642" s="46" t="inlineStr">
        <is>
          <t>S_S1_SC02_I02</t>
        </is>
      </c>
      <c r="C642" s="46" t="inlineStr">
        <is>
          <t>Strategy 1 – Zero-Shot + Structured Template</t>
        </is>
      </c>
      <c r="D642" s="75" t="inlineStr">
        <is>
          <t>SC02</t>
        </is>
      </c>
      <c r="E642" s="46" t="inlineStr">
        <is>
          <t>Supply Chain</t>
        </is>
      </c>
      <c r="F642" s="74" t="n"/>
    </row>
    <row r="643" ht="13.5" customHeight="1" s="38">
      <c r="A643" s="46" t="inlineStr">
        <is>
          <t>R_0640</t>
        </is>
      </c>
      <c r="B643" s="46" t="inlineStr">
        <is>
          <t>S_S1_SC03_I08</t>
        </is>
      </c>
      <c r="C643" s="46" t="inlineStr">
        <is>
          <t>Strategy 1 – Zero-Shot + Structured Template</t>
        </is>
      </c>
      <c r="D643" s="75" t="inlineStr">
        <is>
          <t>SC03</t>
        </is>
      </c>
      <c r="E643" s="46" t="inlineStr">
        <is>
          <t>Supply Chain</t>
        </is>
      </c>
      <c r="F643" s="74" t="n"/>
    </row>
    <row r="644" ht="13.5" customHeight="1" s="38">
      <c r="A644" s="46" t="inlineStr">
        <is>
          <t>R_0641</t>
        </is>
      </c>
      <c r="B644" s="46" t="inlineStr">
        <is>
          <t>R_S4_SC01_I09</t>
        </is>
      </c>
      <c r="C644" s="46" t="inlineStr">
        <is>
          <t>Strategy 4 – One-Shot + Template + BLUF</t>
        </is>
      </c>
      <c r="D644" s="75" t="inlineStr">
        <is>
          <t>SC01</t>
        </is>
      </c>
      <c r="E644" s="46" t="inlineStr">
        <is>
          <t>Ransomware</t>
        </is>
      </c>
      <c r="F644" s="74" t="n"/>
    </row>
    <row r="645" ht="13.5" customHeight="1" s="38">
      <c r="A645" s="46" t="inlineStr">
        <is>
          <t>R_0642</t>
        </is>
      </c>
      <c r="B645" s="46" t="inlineStr">
        <is>
          <t>R_S3_SC01_I03</t>
        </is>
      </c>
      <c r="C645" s="46" t="inlineStr">
        <is>
          <t>Strategy 3 – One-Shot + Structured Template</t>
        </is>
      </c>
      <c r="D645" s="75" t="inlineStr">
        <is>
          <t>SC01</t>
        </is>
      </c>
      <c r="E645" s="46" t="inlineStr">
        <is>
          <t>Ransomware</t>
        </is>
      </c>
      <c r="F645" s="74" t="n"/>
    </row>
    <row r="646" ht="13.5" customHeight="1" s="38">
      <c r="A646" s="46" t="inlineStr">
        <is>
          <t>R_0643</t>
        </is>
      </c>
      <c r="B646" s="46" t="inlineStr">
        <is>
          <t>R_S4_SC05_I08</t>
        </is>
      </c>
      <c r="C646" s="46" t="inlineStr">
        <is>
          <t>Strategy 4 – One-Shot + Template + BLUF</t>
        </is>
      </c>
      <c r="D646" s="75" t="inlineStr">
        <is>
          <t>SC05</t>
        </is>
      </c>
      <c r="E646" s="46" t="inlineStr">
        <is>
          <t>Ransomware</t>
        </is>
      </c>
      <c r="F646" s="74" t="n"/>
    </row>
    <row r="647" ht="13.5" customHeight="1" s="38">
      <c r="A647" s="46" t="inlineStr">
        <is>
          <t>R_0644</t>
        </is>
      </c>
      <c r="B647" s="46" t="inlineStr">
        <is>
          <t>Z_S4_SC05_I04</t>
        </is>
      </c>
      <c r="C647" s="46" t="inlineStr">
        <is>
          <t>Strategy 4 – One-Shot + Template + BLUF</t>
        </is>
      </c>
      <c r="D647" s="75" t="inlineStr">
        <is>
          <t>SC05</t>
        </is>
      </c>
      <c r="E647" s="46" t="inlineStr">
        <is>
          <t>Zero-Day / Edge Device</t>
        </is>
      </c>
      <c r="F647" s="74" t="n"/>
    </row>
    <row r="648" ht="13.5" customHeight="1" s="38">
      <c r="A648" s="46" t="inlineStr">
        <is>
          <t>R_0645</t>
        </is>
      </c>
      <c r="B648" s="46" t="inlineStr">
        <is>
          <t>Z_S1_SC05_I08</t>
        </is>
      </c>
      <c r="C648" s="46" t="inlineStr">
        <is>
          <t>Strategy 1 – Zero-Shot + Structured Template</t>
        </is>
      </c>
      <c r="D648" s="75" t="inlineStr">
        <is>
          <t>SC05</t>
        </is>
      </c>
      <c r="E648" s="46" t="inlineStr">
        <is>
          <t>Zero-Day / Edge Device</t>
        </is>
      </c>
      <c r="F648" s="74" t="n"/>
    </row>
    <row r="649" ht="13.5" customHeight="1" s="38">
      <c r="A649" s="46" t="inlineStr">
        <is>
          <t>R_0646</t>
        </is>
      </c>
      <c r="B649" s="46" t="inlineStr">
        <is>
          <t>Z_S0_SC02_I04</t>
        </is>
      </c>
      <c r="C649" s="46" t="inlineStr">
        <is>
          <t>Baseline – Zero-Shot (minimal instruction)</t>
        </is>
      </c>
      <c r="D649" s="75" t="inlineStr">
        <is>
          <t>SC02</t>
        </is>
      </c>
      <c r="E649" s="46" t="inlineStr">
        <is>
          <t>Zero-Day / Edge Device</t>
        </is>
      </c>
      <c r="F649" s="74" t="n"/>
    </row>
    <row r="650" ht="13.5" customHeight="1" s="38">
      <c r="A650" s="46" t="inlineStr">
        <is>
          <t>R_0647</t>
        </is>
      </c>
      <c r="B650" s="46" t="inlineStr">
        <is>
          <t>Z_S3_SC04_I09</t>
        </is>
      </c>
      <c r="C650" s="46" t="inlineStr">
        <is>
          <t>Strategy 3 – One-Shot + Structured Template</t>
        </is>
      </c>
      <c r="D650" s="75" t="inlineStr">
        <is>
          <t>SC04</t>
        </is>
      </c>
      <c r="E650" s="46" t="inlineStr">
        <is>
          <t>Zero-Day / Edge Device</t>
        </is>
      </c>
      <c r="F650" s="74" t="n"/>
    </row>
    <row r="651" ht="13.5" customHeight="1" s="38">
      <c r="A651" s="46" t="inlineStr">
        <is>
          <t>R_0648</t>
        </is>
      </c>
      <c r="B651" s="46" t="inlineStr">
        <is>
          <t>S_S1_SC01_I03</t>
        </is>
      </c>
      <c r="C651" s="46" t="inlineStr">
        <is>
          <t>Strategy 1 – Zero-Shot + Structured Template</t>
        </is>
      </c>
      <c r="D651" s="75" t="inlineStr">
        <is>
          <t>SC01</t>
        </is>
      </c>
      <c r="E651" s="46" t="inlineStr">
        <is>
          <t>Supply Chain</t>
        </is>
      </c>
      <c r="F651" s="74" t="n"/>
    </row>
    <row r="652" ht="13.5" customHeight="1" s="38">
      <c r="A652" s="46" t="inlineStr">
        <is>
          <t>R_0649</t>
        </is>
      </c>
      <c r="B652" s="46" t="inlineStr">
        <is>
          <t>B_S0_SC02_I05</t>
        </is>
      </c>
      <c r="C652" s="46" t="inlineStr">
        <is>
          <t>Baseline – Zero-Shot (minimal instruction)</t>
        </is>
      </c>
      <c r="D652" s="75" t="inlineStr">
        <is>
          <t>SC02</t>
        </is>
      </c>
      <c r="E652" s="46" t="inlineStr">
        <is>
          <t>Business Email Compromise</t>
        </is>
      </c>
      <c r="F652" s="74" t="n"/>
    </row>
    <row r="653" ht="13.5" customHeight="1" s="38">
      <c r="A653" s="46" t="inlineStr">
        <is>
          <t>R_0650</t>
        </is>
      </c>
      <c r="B653" s="46" t="inlineStr">
        <is>
          <t>S_S2_SC01_I09</t>
        </is>
      </c>
      <c r="C653" s="46" t="inlineStr">
        <is>
          <t>Strategy 2 – Zero-Shot + Template + BLUF</t>
        </is>
      </c>
      <c r="D653" s="75" t="inlineStr">
        <is>
          <t>SC01</t>
        </is>
      </c>
      <c r="E653" s="46" t="inlineStr">
        <is>
          <t>Supply Chain</t>
        </is>
      </c>
      <c r="F653" s="74" t="n"/>
    </row>
    <row r="654" ht="13.5" customHeight="1" s="38">
      <c r="A654" s="46" t="inlineStr">
        <is>
          <t>R_0651</t>
        </is>
      </c>
      <c r="B654" s="46" t="inlineStr">
        <is>
          <t>Z_S4_SC03_I02</t>
        </is>
      </c>
      <c r="C654" s="46" t="inlineStr">
        <is>
          <t>Strategy 4 – One-Shot + Template + BLUF</t>
        </is>
      </c>
      <c r="D654" s="75" t="inlineStr">
        <is>
          <t>SC03</t>
        </is>
      </c>
      <c r="E654" s="46" t="inlineStr">
        <is>
          <t>Zero-Day / Edge Device</t>
        </is>
      </c>
      <c r="F654" s="74" t="n"/>
    </row>
    <row r="655" ht="13.5" customHeight="1" s="38">
      <c r="A655" s="46" t="inlineStr">
        <is>
          <t>R_0652</t>
        </is>
      </c>
      <c r="B655" s="46" t="inlineStr">
        <is>
          <t>S_S1_SC01_I01</t>
        </is>
      </c>
      <c r="C655" s="46" t="inlineStr">
        <is>
          <t>Strategy 1 – Zero-Shot + Structured Template</t>
        </is>
      </c>
      <c r="D655" s="75" t="inlineStr">
        <is>
          <t>SC01</t>
        </is>
      </c>
      <c r="E655" s="46" t="inlineStr">
        <is>
          <t>Supply Chain</t>
        </is>
      </c>
      <c r="F655" s="74" t="n"/>
    </row>
    <row r="656" ht="13.5" customHeight="1" s="38">
      <c r="A656" s="46" t="inlineStr">
        <is>
          <t>R_0653</t>
        </is>
      </c>
      <c r="B656" s="46" t="inlineStr">
        <is>
          <t>R_S3_SC05_I06</t>
        </is>
      </c>
      <c r="C656" s="46" t="inlineStr">
        <is>
          <t>Strategy 3 – One-Shot + Structured Template</t>
        </is>
      </c>
      <c r="D656" s="75" t="inlineStr">
        <is>
          <t>SC05</t>
        </is>
      </c>
      <c r="E656" s="46" t="inlineStr">
        <is>
          <t>Ransomware</t>
        </is>
      </c>
      <c r="F656" s="74" t="n"/>
    </row>
    <row r="657" ht="13.5" customHeight="1" s="38">
      <c r="A657" s="46" t="inlineStr">
        <is>
          <t>R_0654</t>
        </is>
      </c>
      <c r="B657" s="46" t="inlineStr">
        <is>
          <t>R_S3_SC03_I03</t>
        </is>
      </c>
      <c r="C657" s="46" t="inlineStr">
        <is>
          <t>Strategy 3 – One-Shot + Structured Template</t>
        </is>
      </c>
      <c r="D657" s="75" t="inlineStr">
        <is>
          <t>SC03</t>
        </is>
      </c>
      <c r="E657" s="46" t="inlineStr">
        <is>
          <t>Ransomware</t>
        </is>
      </c>
      <c r="F657" s="74" t="n"/>
    </row>
    <row r="658" ht="13.5" customHeight="1" s="38">
      <c r="A658" s="46" t="inlineStr">
        <is>
          <t>R_0655</t>
        </is>
      </c>
      <c r="B658" s="46" t="inlineStr">
        <is>
          <t>R_S4_SC01_I07</t>
        </is>
      </c>
      <c r="C658" s="46" t="inlineStr">
        <is>
          <t>Strategy 4 – One-Shot + Template + BLUF</t>
        </is>
      </c>
      <c r="D658" s="75" t="inlineStr">
        <is>
          <t>SC01</t>
        </is>
      </c>
      <c r="E658" s="46" t="inlineStr">
        <is>
          <t>Ransomware</t>
        </is>
      </c>
      <c r="F658" s="74" t="n"/>
    </row>
    <row r="659" ht="13.5" customHeight="1" s="38">
      <c r="A659" s="46" t="inlineStr">
        <is>
          <t>R_0656</t>
        </is>
      </c>
      <c r="B659" s="46" t="inlineStr">
        <is>
          <t>S_S4_SC05_I09</t>
        </is>
      </c>
      <c r="C659" s="46" t="inlineStr">
        <is>
          <t>Strategy 4 – One-Shot + Template + BLUF</t>
        </is>
      </c>
      <c r="D659" s="75" t="inlineStr">
        <is>
          <t>SC05</t>
        </is>
      </c>
      <c r="E659" s="46" t="inlineStr">
        <is>
          <t>Supply Chain</t>
        </is>
      </c>
      <c r="F659" s="74" t="n"/>
    </row>
    <row r="660" ht="13.5" customHeight="1" s="38">
      <c r="A660" s="46" t="inlineStr">
        <is>
          <t>R_0657</t>
        </is>
      </c>
      <c r="B660" s="46" t="inlineStr">
        <is>
          <t>R_S4_SC03_I05</t>
        </is>
      </c>
      <c r="C660" s="46" t="inlineStr">
        <is>
          <t>Strategy 4 – One-Shot + Template + BLUF</t>
        </is>
      </c>
      <c r="D660" s="75" t="inlineStr">
        <is>
          <t>SC03</t>
        </is>
      </c>
      <c r="E660" s="46" t="inlineStr">
        <is>
          <t>Ransomware</t>
        </is>
      </c>
      <c r="F660" s="74" t="n"/>
    </row>
    <row r="661" ht="13.5" customHeight="1" s="38">
      <c r="A661" s="46" t="inlineStr">
        <is>
          <t>R_0658</t>
        </is>
      </c>
      <c r="B661" s="46" t="inlineStr">
        <is>
          <t>Z_S2_SC01_I04</t>
        </is>
      </c>
      <c r="C661" s="46" t="inlineStr">
        <is>
          <t>Strategy 2 – Zero-Shot + Template + BLUF</t>
        </is>
      </c>
      <c r="D661" s="75" t="inlineStr">
        <is>
          <t>SC01</t>
        </is>
      </c>
      <c r="E661" s="46" t="inlineStr">
        <is>
          <t>Zero-Day / Edge Device</t>
        </is>
      </c>
      <c r="F661" s="74" t="n"/>
    </row>
    <row r="662" ht="13.5" customHeight="1" s="38">
      <c r="A662" s="46" t="inlineStr">
        <is>
          <t>R_0659</t>
        </is>
      </c>
      <c r="B662" s="46" t="inlineStr">
        <is>
          <t>S_S4_SC03_I03</t>
        </is>
      </c>
      <c r="C662" s="46" t="inlineStr">
        <is>
          <t>Strategy 4 – One-Shot + Template + BLUF</t>
        </is>
      </c>
      <c r="D662" s="75" t="inlineStr">
        <is>
          <t>SC03</t>
        </is>
      </c>
      <c r="E662" s="46" t="inlineStr">
        <is>
          <t>Supply Chain</t>
        </is>
      </c>
      <c r="F662" s="74" t="n"/>
    </row>
    <row r="663" ht="13.5" customHeight="1" s="38">
      <c r="A663" s="46" t="inlineStr">
        <is>
          <t>R_0660</t>
        </is>
      </c>
      <c r="B663" s="46" t="inlineStr">
        <is>
          <t>B_S0_SC04_I10</t>
        </is>
      </c>
      <c r="C663" s="46" t="inlineStr">
        <is>
          <t>Baseline – Zero-Shot (minimal instruction)</t>
        </is>
      </c>
      <c r="D663" s="75" t="inlineStr">
        <is>
          <t>SC04</t>
        </is>
      </c>
      <c r="E663" s="46" t="inlineStr">
        <is>
          <t>Business Email Compromise</t>
        </is>
      </c>
      <c r="F663" s="74" t="n"/>
    </row>
    <row r="664" ht="13.5" customHeight="1" s="38">
      <c r="A664" s="46" t="inlineStr">
        <is>
          <t>R_0661</t>
        </is>
      </c>
      <c r="B664" s="46" t="inlineStr">
        <is>
          <t>R_S2_SC04_I10</t>
        </is>
      </c>
      <c r="C664" s="46" t="inlineStr">
        <is>
          <t>Strategy 2 – Zero-Shot + Template + BLUF</t>
        </is>
      </c>
      <c r="D664" s="75" t="inlineStr">
        <is>
          <t>SC04</t>
        </is>
      </c>
      <c r="E664" s="46" t="inlineStr">
        <is>
          <t>Ransomware</t>
        </is>
      </c>
      <c r="F664" s="74" t="n"/>
    </row>
    <row r="665" ht="13.5" customHeight="1" s="38">
      <c r="A665" s="46" t="inlineStr">
        <is>
          <t>R_0662</t>
        </is>
      </c>
      <c r="B665" s="46" t="inlineStr">
        <is>
          <t>Z_S3_SC01_I06</t>
        </is>
      </c>
      <c r="C665" s="46" t="inlineStr">
        <is>
          <t>Strategy 3 – One-Shot + Structured Template</t>
        </is>
      </c>
      <c r="D665" s="75" t="inlineStr">
        <is>
          <t>SC01</t>
        </is>
      </c>
      <c r="E665" s="46" t="inlineStr">
        <is>
          <t>Zero-Day / Edge Device</t>
        </is>
      </c>
      <c r="F665" s="74" t="n"/>
    </row>
    <row r="666" ht="13.5" customHeight="1" s="38">
      <c r="A666" s="46" t="inlineStr">
        <is>
          <t>R_0663</t>
        </is>
      </c>
      <c r="B666" s="46" t="inlineStr">
        <is>
          <t>R_S1_SC04_I04</t>
        </is>
      </c>
      <c r="C666" s="46" t="inlineStr">
        <is>
          <t>Strategy 1 – Zero-Shot + Structured Template</t>
        </is>
      </c>
      <c r="D666" s="75" t="inlineStr">
        <is>
          <t>SC04</t>
        </is>
      </c>
      <c r="E666" s="46" t="inlineStr">
        <is>
          <t>Ransomware</t>
        </is>
      </c>
      <c r="F666" s="74" t="n"/>
    </row>
    <row r="667" ht="13.5" customHeight="1" s="38">
      <c r="A667" s="46" t="inlineStr">
        <is>
          <t>R_0664</t>
        </is>
      </c>
      <c r="B667" s="46" t="inlineStr">
        <is>
          <t>Z_S4_SC02_I01</t>
        </is>
      </c>
      <c r="C667" s="46" t="inlineStr">
        <is>
          <t>Strategy 4 – One-Shot + Template + BLUF</t>
        </is>
      </c>
      <c r="D667" s="75" t="inlineStr">
        <is>
          <t>SC02</t>
        </is>
      </c>
      <c r="E667" s="46" t="inlineStr">
        <is>
          <t>Zero-Day / Edge Device</t>
        </is>
      </c>
      <c r="F667" s="74" t="n"/>
    </row>
    <row r="668" ht="13.5" customHeight="1" s="38">
      <c r="A668" s="46" t="inlineStr">
        <is>
          <t>R_0665</t>
        </is>
      </c>
      <c r="B668" s="46" t="inlineStr">
        <is>
          <t>B_S2_SC03_I03</t>
        </is>
      </c>
      <c r="C668" s="46" t="inlineStr">
        <is>
          <t>Strategy 2 – Zero-Shot + Template + BLUF</t>
        </is>
      </c>
      <c r="D668" s="75" t="inlineStr">
        <is>
          <t>SC03</t>
        </is>
      </c>
      <c r="E668" s="46" t="inlineStr">
        <is>
          <t>Business Email Compromise</t>
        </is>
      </c>
      <c r="F668" s="74" t="n"/>
    </row>
    <row r="669" ht="13.5" customHeight="1" s="38">
      <c r="A669" s="46" t="inlineStr">
        <is>
          <t>R_0666</t>
        </is>
      </c>
      <c r="B669" s="46" t="inlineStr">
        <is>
          <t>B_S4_SC04_I07</t>
        </is>
      </c>
      <c r="C669" s="46" t="inlineStr">
        <is>
          <t>Strategy 4 – One-Shot + Template + BLUF</t>
        </is>
      </c>
      <c r="D669" s="75" t="inlineStr">
        <is>
          <t>SC04</t>
        </is>
      </c>
      <c r="E669" s="46" t="inlineStr">
        <is>
          <t>Business Email Compromise</t>
        </is>
      </c>
      <c r="F669" s="74" t="n"/>
    </row>
    <row r="670" ht="13.5" customHeight="1" s="38">
      <c r="A670" s="46" t="inlineStr">
        <is>
          <t>R_0667</t>
        </is>
      </c>
      <c r="B670" s="46" t="inlineStr">
        <is>
          <t>R_S0_SC01_I01</t>
        </is>
      </c>
      <c r="C670" s="46" t="inlineStr">
        <is>
          <t>Baseline – Zero-Shot (minimal instruction)</t>
        </is>
      </c>
      <c r="D670" s="75" t="inlineStr">
        <is>
          <t>SC01</t>
        </is>
      </c>
      <c r="E670" s="46" t="inlineStr">
        <is>
          <t>Ransomware</t>
        </is>
      </c>
      <c r="F670" s="74" t="n"/>
    </row>
    <row r="671" ht="13.5" customHeight="1" s="38">
      <c r="A671" s="46" t="inlineStr">
        <is>
          <t>R_0668</t>
        </is>
      </c>
      <c r="B671" s="46" t="inlineStr">
        <is>
          <t>S_S3_SC04_I04</t>
        </is>
      </c>
      <c r="C671" s="46" t="inlineStr">
        <is>
          <t>Strategy 3 – One-Shot + Structured Template</t>
        </is>
      </c>
      <c r="D671" s="75" t="inlineStr">
        <is>
          <t>SC04</t>
        </is>
      </c>
      <c r="E671" s="46" t="inlineStr">
        <is>
          <t>Supply Chain</t>
        </is>
      </c>
      <c r="F671" s="74" t="n"/>
    </row>
    <row r="672" ht="13.5" customHeight="1" s="38">
      <c r="A672" s="46" t="inlineStr">
        <is>
          <t>R_0669</t>
        </is>
      </c>
      <c r="B672" s="46" t="inlineStr">
        <is>
          <t>R_S1_SC04_I06</t>
        </is>
      </c>
      <c r="C672" s="46" t="inlineStr">
        <is>
          <t>Strategy 1 – Zero-Shot + Structured Template</t>
        </is>
      </c>
      <c r="D672" s="75" t="inlineStr">
        <is>
          <t>SC04</t>
        </is>
      </c>
      <c r="E672" s="46" t="inlineStr">
        <is>
          <t>Ransomware</t>
        </is>
      </c>
      <c r="F672" s="74" t="n"/>
    </row>
    <row r="673" ht="13.5" customHeight="1" s="38">
      <c r="A673" s="46" t="inlineStr">
        <is>
          <t>R_0670</t>
        </is>
      </c>
      <c r="B673" s="46" t="inlineStr">
        <is>
          <t>Z_S3_SC01_I07</t>
        </is>
      </c>
      <c r="C673" s="46" t="inlineStr">
        <is>
          <t>Strategy 3 – One-Shot + Structured Template</t>
        </is>
      </c>
      <c r="D673" s="75" t="inlineStr">
        <is>
          <t>SC01</t>
        </is>
      </c>
      <c r="E673" s="46" t="inlineStr">
        <is>
          <t>Zero-Day / Edge Device</t>
        </is>
      </c>
      <c r="F673" s="74" t="n"/>
    </row>
    <row r="674" ht="13.5" customHeight="1" s="38">
      <c r="A674" s="46" t="inlineStr">
        <is>
          <t>R_0671</t>
        </is>
      </c>
      <c r="B674" s="46" t="inlineStr">
        <is>
          <t>S_S0_SC01_I05</t>
        </is>
      </c>
      <c r="C674" s="46" t="inlineStr">
        <is>
          <t>Baseline – Zero-Shot (minimal instruction)</t>
        </is>
      </c>
      <c r="D674" s="75" t="inlineStr">
        <is>
          <t>SC01</t>
        </is>
      </c>
      <c r="E674" s="46" t="inlineStr">
        <is>
          <t>Supply Chain</t>
        </is>
      </c>
      <c r="F674" s="74" t="n"/>
    </row>
    <row r="675" ht="13.5" customHeight="1" s="38">
      <c r="A675" s="46" t="inlineStr">
        <is>
          <t>R_0672</t>
        </is>
      </c>
      <c r="B675" s="46" t="inlineStr">
        <is>
          <t>S_S4_SC03_I06</t>
        </is>
      </c>
      <c r="C675" s="46" t="inlineStr">
        <is>
          <t>Strategy 4 – One-Shot + Template + BLUF</t>
        </is>
      </c>
      <c r="D675" s="75" t="inlineStr">
        <is>
          <t>SC03</t>
        </is>
      </c>
      <c r="E675" s="46" t="inlineStr">
        <is>
          <t>Supply Chain</t>
        </is>
      </c>
      <c r="F675" s="74" t="n"/>
    </row>
    <row r="676" ht="13.5" customHeight="1" s="38">
      <c r="A676" s="46" t="inlineStr">
        <is>
          <t>R_0673</t>
        </is>
      </c>
      <c r="B676" s="46" t="inlineStr">
        <is>
          <t>Z_S0_SC03_I04</t>
        </is>
      </c>
      <c r="C676" s="46" t="inlineStr">
        <is>
          <t>Baseline – Zero-Shot (minimal instruction)</t>
        </is>
      </c>
      <c r="D676" s="75" t="inlineStr">
        <is>
          <t>SC03</t>
        </is>
      </c>
      <c r="E676" s="46" t="inlineStr">
        <is>
          <t>Zero-Day / Edge Device</t>
        </is>
      </c>
      <c r="F676" s="74" t="n"/>
    </row>
    <row r="677" ht="13.5" customHeight="1" s="38">
      <c r="A677" s="46" t="inlineStr">
        <is>
          <t>R_0674</t>
        </is>
      </c>
      <c r="B677" s="46" t="inlineStr">
        <is>
          <t>B_S0_SC01_I03</t>
        </is>
      </c>
      <c r="C677" s="46" t="inlineStr">
        <is>
          <t>Baseline – Zero-Shot (minimal instruction)</t>
        </is>
      </c>
      <c r="D677" s="75" t="inlineStr">
        <is>
          <t>SC01</t>
        </is>
      </c>
      <c r="E677" s="46" t="inlineStr">
        <is>
          <t>Business Email Compromise</t>
        </is>
      </c>
      <c r="F677" s="74" t="n"/>
    </row>
    <row r="678" ht="13.5" customHeight="1" s="38">
      <c r="A678" s="46" t="inlineStr">
        <is>
          <t>R_0675</t>
        </is>
      </c>
      <c r="B678" s="46" t="inlineStr">
        <is>
          <t>Z_S3_SC02_I05</t>
        </is>
      </c>
      <c r="C678" s="46" t="inlineStr">
        <is>
          <t>Strategy 3 – One-Shot + Structured Template</t>
        </is>
      </c>
      <c r="D678" s="75" t="inlineStr">
        <is>
          <t>SC02</t>
        </is>
      </c>
      <c r="E678" s="46" t="inlineStr">
        <is>
          <t>Zero-Day / Edge Device</t>
        </is>
      </c>
      <c r="F678" s="74" t="n"/>
    </row>
    <row r="679" ht="13.5" customHeight="1" s="38">
      <c r="A679" s="46" t="inlineStr">
        <is>
          <t>R_0676</t>
        </is>
      </c>
      <c r="B679" s="46" t="inlineStr">
        <is>
          <t>B_S3_SC03_I05</t>
        </is>
      </c>
      <c r="C679" s="46" t="inlineStr">
        <is>
          <t>Strategy 3 – One-Shot + Structured Template</t>
        </is>
      </c>
      <c r="D679" s="75" t="inlineStr">
        <is>
          <t>SC03</t>
        </is>
      </c>
      <c r="E679" s="46" t="inlineStr">
        <is>
          <t>Business Email Compromise</t>
        </is>
      </c>
      <c r="F679" s="74" t="n"/>
    </row>
    <row r="680" ht="13.5" customHeight="1" s="38">
      <c r="A680" s="46" t="inlineStr">
        <is>
          <t>R_0677</t>
        </is>
      </c>
      <c r="B680" s="46" t="inlineStr">
        <is>
          <t>R_S0_SC04_I06</t>
        </is>
      </c>
      <c r="C680" s="46" t="inlineStr">
        <is>
          <t>Baseline – Zero-Shot (minimal instruction)</t>
        </is>
      </c>
      <c r="D680" s="75" t="inlineStr">
        <is>
          <t>SC04</t>
        </is>
      </c>
      <c r="E680" s="46" t="inlineStr">
        <is>
          <t>Ransomware</t>
        </is>
      </c>
      <c r="F680" s="74" t="n"/>
    </row>
    <row r="681" ht="13.5" customHeight="1" s="38">
      <c r="A681" s="46" t="inlineStr">
        <is>
          <t>R_0678</t>
        </is>
      </c>
      <c r="B681" s="46" t="inlineStr">
        <is>
          <t>Z_S4_SC04_I04</t>
        </is>
      </c>
      <c r="C681" s="46" t="inlineStr">
        <is>
          <t>Strategy 4 – One-Shot + Template + BLUF</t>
        </is>
      </c>
      <c r="D681" s="75" t="inlineStr">
        <is>
          <t>SC04</t>
        </is>
      </c>
      <c r="E681" s="46" t="inlineStr">
        <is>
          <t>Zero-Day / Edge Device</t>
        </is>
      </c>
      <c r="F681" s="74" t="n"/>
    </row>
    <row r="682" ht="13.5" customHeight="1" s="38">
      <c r="A682" s="46" t="inlineStr">
        <is>
          <t>R_0679</t>
        </is>
      </c>
      <c r="B682" s="46" t="inlineStr">
        <is>
          <t>R_S0_SC04_I09</t>
        </is>
      </c>
      <c r="C682" s="46" t="inlineStr">
        <is>
          <t>Baseline – Zero-Shot (minimal instruction)</t>
        </is>
      </c>
      <c r="D682" s="75" t="inlineStr">
        <is>
          <t>SC04</t>
        </is>
      </c>
      <c r="E682" s="46" t="inlineStr">
        <is>
          <t>Ransomware</t>
        </is>
      </c>
      <c r="F682" s="74" t="n"/>
    </row>
    <row r="683" ht="13.5" customHeight="1" s="38">
      <c r="A683" s="46" t="inlineStr">
        <is>
          <t>R_0680</t>
        </is>
      </c>
      <c r="B683" s="46" t="inlineStr">
        <is>
          <t>Z_S2_SC05_I02</t>
        </is>
      </c>
      <c r="C683" s="46" t="inlineStr">
        <is>
          <t>Strategy 2 – Zero-Shot + Template + BLUF</t>
        </is>
      </c>
      <c r="D683" s="75" t="inlineStr">
        <is>
          <t>SC05</t>
        </is>
      </c>
      <c r="E683" s="46" t="inlineStr">
        <is>
          <t>Zero-Day / Edge Device</t>
        </is>
      </c>
      <c r="F683" s="74" t="n"/>
    </row>
    <row r="684" ht="13.5" customHeight="1" s="38">
      <c r="A684" s="46" t="inlineStr">
        <is>
          <t>R_0681</t>
        </is>
      </c>
      <c r="B684" s="46" t="inlineStr">
        <is>
          <t>Z_S0_SC02_I09</t>
        </is>
      </c>
      <c r="C684" s="46" t="inlineStr">
        <is>
          <t>Baseline – Zero-Shot (minimal instruction)</t>
        </is>
      </c>
      <c r="D684" s="75" t="inlineStr">
        <is>
          <t>SC02</t>
        </is>
      </c>
      <c r="E684" s="46" t="inlineStr">
        <is>
          <t>Zero-Day / Edge Device</t>
        </is>
      </c>
      <c r="F684" s="74" t="n"/>
    </row>
    <row r="685" ht="13.5" customHeight="1" s="38">
      <c r="A685" s="46" t="inlineStr">
        <is>
          <t>R_0682</t>
        </is>
      </c>
      <c r="B685" s="46" t="inlineStr">
        <is>
          <t>Z_S0_SC01_I09</t>
        </is>
      </c>
      <c r="C685" s="46" t="inlineStr">
        <is>
          <t>Baseline – Zero-Shot (minimal instruction)</t>
        </is>
      </c>
      <c r="D685" s="75" t="inlineStr">
        <is>
          <t>SC01</t>
        </is>
      </c>
      <c r="E685" s="46" t="inlineStr">
        <is>
          <t>Zero-Day / Edge Device</t>
        </is>
      </c>
      <c r="F685" s="74" t="n"/>
    </row>
    <row r="686" ht="13.5" customHeight="1" s="38">
      <c r="A686" s="46" t="inlineStr">
        <is>
          <t>R_0683</t>
        </is>
      </c>
      <c r="B686" s="46" t="inlineStr">
        <is>
          <t>S_S2_SC03_I10</t>
        </is>
      </c>
      <c r="C686" s="46" t="inlineStr">
        <is>
          <t>Strategy 2 – Zero-Shot + Template + BLUF</t>
        </is>
      </c>
      <c r="D686" s="75" t="inlineStr">
        <is>
          <t>SC03</t>
        </is>
      </c>
      <c r="E686" s="46" t="inlineStr">
        <is>
          <t>Supply Chain</t>
        </is>
      </c>
      <c r="F686" s="74" t="n"/>
    </row>
    <row r="687" ht="13.5" customHeight="1" s="38">
      <c r="A687" s="46" t="inlineStr">
        <is>
          <t>R_0684</t>
        </is>
      </c>
      <c r="B687" s="46" t="inlineStr">
        <is>
          <t>R_S3_SC03_I01</t>
        </is>
      </c>
      <c r="C687" s="46" t="inlineStr">
        <is>
          <t>Strategy 3 – One-Shot + Structured Template</t>
        </is>
      </c>
      <c r="D687" s="75" t="inlineStr">
        <is>
          <t>SC03</t>
        </is>
      </c>
      <c r="E687" s="46" t="inlineStr">
        <is>
          <t>Ransomware</t>
        </is>
      </c>
      <c r="F687" s="74" t="n"/>
    </row>
    <row r="688" ht="13.5" customHeight="1" s="38">
      <c r="A688" s="46" t="inlineStr">
        <is>
          <t>R_0685</t>
        </is>
      </c>
      <c r="B688" s="46" t="inlineStr">
        <is>
          <t>S_S3_SC01_I02</t>
        </is>
      </c>
      <c r="C688" s="46" t="inlineStr">
        <is>
          <t>Strategy 3 – One-Shot + Structured Template</t>
        </is>
      </c>
      <c r="D688" s="75" t="inlineStr">
        <is>
          <t>SC01</t>
        </is>
      </c>
      <c r="E688" s="46" t="inlineStr">
        <is>
          <t>Supply Chain</t>
        </is>
      </c>
      <c r="F688" s="74" t="n"/>
    </row>
    <row r="689" ht="13.5" customHeight="1" s="38">
      <c r="A689" s="46" t="inlineStr">
        <is>
          <t>R_0686</t>
        </is>
      </c>
      <c r="B689" s="46" t="inlineStr">
        <is>
          <t>Z_S3_SC03_I09</t>
        </is>
      </c>
      <c r="C689" s="46" t="inlineStr">
        <is>
          <t>Strategy 3 – One-Shot + Structured Template</t>
        </is>
      </c>
      <c r="D689" s="75" t="inlineStr">
        <is>
          <t>SC03</t>
        </is>
      </c>
      <c r="E689" s="46" t="inlineStr">
        <is>
          <t>Zero-Day / Edge Device</t>
        </is>
      </c>
      <c r="F689" s="74" t="n"/>
    </row>
    <row r="690" ht="13.5" customHeight="1" s="38">
      <c r="A690" s="46" t="inlineStr">
        <is>
          <t>R_0687</t>
        </is>
      </c>
      <c r="B690" s="46" t="inlineStr">
        <is>
          <t>Z_S4_SC02_I05</t>
        </is>
      </c>
      <c r="C690" s="46" t="inlineStr">
        <is>
          <t>Strategy 4 – One-Shot + Template + BLUF</t>
        </is>
      </c>
      <c r="D690" s="75" t="inlineStr">
        <is>
          <t>SC02</t>
        </is>
      </c>
      <c r="E690" s="46" t="inlineStr">
        <is>
          <t>Zero-Day / Edge Device</t>
        </is>
      </c>
      <c r="F690" s="74" t="n"/>
    </row>
    <row r="691" ht="13.5" customHeight="1" s="38">
      <c r="A691" s="46" t="inlineStr">
        <is>
          <t>R_0688</t>
        </is>
      </c>
      <c r="B691" s="46" t="inlineStr">
        <is>
          <t>B_S3_SC01_I09</t>
        </is>
      </c>
      <c r="C691" s="46" t="inlineStr">
        <is>
          <t>Strategy 3 – One-Shot + Structured Template</t>
        </is>
      </c>
      <c r="D691" s="75" t="inlineStr">
        <is>
          <t>SC01</t>
        </is>
      </c>
      <c r="E691" s="46" t="inlineStr">
        <is>
          <t>Business Email Compromise</t>
        </is>
      </c>
      <c r="F691" s="74" t="n"/>
    </row>
    <row r="692" ht="13.5" customHeight="1" s="38">
      <c r="A692" s="46" t="inlineStr">
        <is>
          <t>R_0689</t>
        </is>
      </c>
      <c r="B692" s="46" t="inlineStr">
        <is>
          <t>B_S2_SC02_I01</t>
        </is>
      </c>
      <c r="C692" s="46" t="inlineStr">
        <is>
          <t>Strategy 2 – Zero-Shot + Template + BLUF</t>
        </is>
      </c>
      <c r="D692" s="75" t="inlineStr">
        <is>
          <t>SC02</t>
        </is>
      </c>
      <c r="E692" s="46" t="inlineStr">
        <is>
          <t>Business Email Compromise</t>
        </is>
      </c>
      <c r="F692" s="74" t="n"/>
    </row>
    <row r="693" ht="13.5" customHeight="1" s="38">
      <c r="A693" s="46" t="inlineStr">
        <is>
          <t>R_0690</t>
        </is>
      </c>
      <c r="B693" s="46" t="inlineStr">
        <is>
          <t>Z_S3_SC01_I08</t>
        </is>
      </c>
      <c r="C693" s="46" t="inlineStr">
        <is>
          <t>Strategy 3 – One-Shot + Structured Template</t>
        </is>
      </c>
      <c r="D693" s="75" t="inlineStr">
        <is>
          <t>SC01</t>
        </is>
      </c>
      <c r="E693" s="46" t="inlineStr">
        <is>
          <t>Zero-Day / Edge Device</t>
        </is>
      </c>
      <c r="F693" s="74" t="n"/>
    </row>
    <row r="694" ht="13.5" customHeight="1" s="38">
      <c r="A694" s="46" t="inlineStr">
        <is>
          <t>R_0691</t>
        </is>
      </c>
      <c r="B694" s="46" t="inlineStr">
        <is>
          <t>S_S2_SC03_I04</t>
        </is>
      </c>
      <c r="C694" s="46" t="inlineStr">
        <is>
          <t>Strategy 2 – Zero-Shot + Template + BLUF</t>
        </is>
      </c>
      <c r="D694" s="75" t="inlineStr">
        <is>
          <t>SC03</t>
        </is>
      </c>
      <c r="E694" s="46" t="inlineStr">
        <is>
          <t>Supply Chain</t>
        </is>
      </c>
      <c r="F694" s="74" t="n"/>
    </row>
    <row r="695" ht="13.5" customHeight="1" s="38">
      <c r="A695" s="46" t="inlineStr">
        <is>
          <t>R_0692</t>
        </is>
      </c>
      <c r="B695" s="46" t="inlineStr">
        <is>
          <t>Z_S2_SC02_I06</t>
        </is>
      </c>
      <c r="C695" s="46" t="inlineStr">
        <is>
          <t>Strategy 2 – Zero-Shot + Template + BLUF</t>
        </is>
      </c>
      <c r="D695" s="75" t="inlineStr">
        <is>
          <t>SC02</t>
        </is>
      </c>
      <c r="E695" s="46" t="inlineStr">
        <is>
          <t>Zero-Day / Edge Device</t>
        </is>
      </c>
      <c r="F695" s="74" t="n"/>
    </row>
    <row r="696" ht="13.5" customHeight="1" s="38">
      <c r="A696" s="46" t="inlineStr">
        <is>
          <t>R_0693</t>
        </is>
      </c>
      <c r="B696" s="46" t="inlineStr">
        <is>
          <t>Z_S0_SC04_I09</t>
        </is>
      </c>
      <c r="C696" s="46" t="inlineStr">
        <is>
          <t>Baseline – Zero-Shot (minimal instruction)</t>
        </is>
      </c>
      <c r="D696" s="75" t="inlineStr">
        <is>
          <t>SC04</t>
        </is>
      </c>
      <c r="E696" s="46" t="inlineStr">
        <is>
          <t>Zero-Day / Edge Device</t>
        </is>
      </c>
      <c r="F696" s="74" t="n"/>
    </row>
    <row r="697" ht="13.5" customHeight="1" s="38">
      <c r="A697" s="46" t="inlineStr">
        <is>
          <t>R_0694</t>
        </is>
      </c>
      <c r="B697" s="46" t="inlineStr">
        <is>
          <t>S_S1_SC04_I08</t>
        </is>
      </c>
      <c r="C697" s="46" t="inlineStr">
        <is>
          <t>Strategy 1 – Zero-Shot + Structured Template</t>
        </is>
      </c>
      <c r="D697" s="75" t="inlineStr">
        <is>
          <t>SC04</t>
        </is>
      </c>
      <c r="E697" s="46" t="inlineStr">
        <is>
          <t>Supply Chain</t>
        </is>
      </c>
      <c r="F697" s="74" t="n"/>
    </row>
    <row r="698" ht="13.5" customHeight="1" s="38">
      <c r="A698" s="46" t="inlineStr">
        <is>
          <t>R_0695</t>
        </is>
      </c>
      <c r="B698" s="46" t="inlineStr">
        <is>
          <t>S_S0_SC05_I10</t>
        </is>
      </c>
      <c r="C698" s="46" t="inlineStr">
        <is>
          <t>Baseline – Zero-Shot (minimal instruction)</t>
        </is>
      </c>
      <c r="D698" s="75" t="inlineStr">
        <is>
          <t>SC05</t>
        </is>
      </c>
      <c r="E698" s="46" t="inlineStr">
        <is>
          <t>Supply Chain</t>
        </is>
      </c>
      <c r="F698" s="74" t="n"/>
    </row>
    <row r="699" ht="13.5" customHeight="1" s="38">
      <c r="A699" s="46" t="inlineStr">
        <is>
          <t>R_0696</t>
        </is>
      </c>
      <c r="B699" s="46" t="inlineStr">
        <is>
          <t>R_S1_SC05_I05</t>
        </is>
      </c>
      <c r="C699" s="46" t="inlineStr">
        <is>
          <t>Strategy 1 – Zero-Shot + Structured Template</t>
        </is>
      </c>
      <c r="D699" s="75" t="inlineStr">
        <is>
          <t>SC05</t>
        </is>
      </c>
      <c r="E699" s="46" t="inlineStr">
        <is>
          <t>Ransomware</t>
        </is>
      </c>
      <c r="F699" s="74" t="n"/>
    </row>
    <row r="700" ht="13.5" customHeight="1" s="38">
      <c r="A700" s="46" t="inlineStr">
        <is>
          <t>R_0697</t>
        </is>
      </c>
      <c r="B700" s="46" t="inlineStr">
        <is>
          <t>R_S4_SC05_I05</t>
        </is>
      </c>
      <c r="C700" s="46" t="inlineStr">
        <is>
          <t>Strategy 4 – One-Shot + Template + BLUF</t>
        </is>
      </c>
      <c r="D700" s="75" t="inlineStr">
        <is>
          <t>SC05</t>
        </is>
      </c>
      <c r="E700" s="46" t="inlineStr">
        <is>
          <t>Ransomware</t>
        </is>
      </c>
      <c r="F700" s="74" t="n"/>
    </row>
    <row r="701" ht="13.5" customHeight="1" s="38">
      <c r="A701" s="46" t="inlineStr">
        <is>
          <t>R_0698</t>
        </is>
      </c>
      <c r="B701" s="46" t="inlineStr">
        <is>
          <t>S_S3_SC02_I01</t>
        </is>
      </c>
      <c r="C701" s="46" t="inlineStr">
        <is>
          <t>Strategy 3 – One-Shot + Structured Template</t>
        </is>
      </c>
      <c r="D701" s="75" t="inlineStr">
        <is>
          <t>SC02</t>
        </is>
      </c>
      <c r="E701" s="46" t="inlineStr">
        <is>
          <t>Supply Chain</t>
        </is>
      </c>
      <c r="F701" s="74" t="n"/>
    </row>
    <row r="702" ht="13.5" customHeight="1" s="38">
      <c r="A702" s="46" t="inlineStr">
        <is>
          <t>R_0699</t>
        </is>
      </c>
      <c r="B702" s="46" t="inlineStr">
        <is>
          <t>R_S4_SC03_I10</t>
        </is>
      </c>
      <c r="C702" s="46" t="inlineStr">
        <is>
          <t>Strategy 4 – One-Shot + Template + BLUF</t>
        </is>
      </c>
      <c r="D702" s="75" t="inlineStr">
        <is>
          <t>SC03</t>
        </is>
      </c>
      <c r="E702" s="46" t="inlineStr">
        <is>
          <t>Ransomware</t>
        </is>
      </c>
      <c r="F702" s="74" t="n"/>
    </row>
    <row r="703" ht="13.5" customHeight="1" s="38">
      <c r="A703" s="46" t="inlineStr">
        <is>
          <t>R_0700</t>
        </is>
      </c>
      <c r="B703" s="46" t="inlineStr">
        <is>
          <t>Z_S4_SC02_I02</t>
        </is>
      </c>
      <c r="C703" s="46" t="inlineStr">
        <is>
          <t>Strategy 4 – One-Shot + Template + BLUF</t>
        </is>
      </c>
      <c r="D703" s="75" t="inlineStr">
        <is>
          <t>SC02</t>
        </is>
      </c>
      <c r="E703" s="46" t="inlineStr">
        <is>
          <t>Zero-Day / Edge Device</t>
        </is>
      </c>
      <c r="F703" s="74" t="n"/>
    </row>
    <row r="704" ht="13.5" customHeight="1" s="38">
      <c r="A704" s="46" t="inlineStr">
        <is>
          <t>R_0701</t>
        </is>
      </c>
      <c r="B704" s="46" t="inlineStr">
        <is>
          <t>B_S0_SC03_I10</t>
        </is>
      </c>
      <c r="C704" s="46" t="inlineStr">
        <is>
          <t>Baseline – Zero-Shot (minimal instruction)</t>
        </is>
      </c>
      <c r="D704" s="75" t="inlineStr">
        <is>
          <t>SC03</t>
        </is>
      </c>
      <c r="E704" s="46" t="inlineStr">
        <is>
          <t>Business Email Compromise</t>
        </is>
      </c>
      <c r="F704" s="74" t="n"/>
    </row>
    <row r="705" ht="13.5" customHeight="1" s="38">
      <c r="A705" s="46" t="inlineStr">
        <is>
          <t>R_0702</t>
        </is>
      </c>
      <c r="B705" s="46" t="inlineStr">
        <is>
          <t>S_S4_SC05_I05</t>
        </is>
      </c>
      <c r="C705" s="46" t="inlineStr">
        <is>
          <t>Strategy 4 – One-Shot + Template + BLUF</t>
        </is>
      </c>
      <c r="D705" s="75" t="inlineStr">
        <is>
          <t>SC05</t>
        </is>
      </c>
      <c r="E705" s="46" t="inlineStr">
        <is>
          <t>Supply Chain</t>
        </is>
      </c>
      <c r="F705" s="74" t="n"/>
    </row>
    <row r="706" ht="13.5" customHeight="1" s="38">
      <c r="A706" s="46" t="inlineStr">
        <is>
          <t>R_0703</t>
        </is>
      </c>
      <c r="B706" s="46" t="inlineStr">
        <is>
          <t>S_S2_SC03_I03</t>
        </is>
      </c>
      <c r="C706" s="46" t="inlineStr">
        <is>
          <t>Strategy 2 – Zero-Shot + Template + BLUF</t>
        </is>
      </c>
      <c r="D706" s="75" t="inlineStr">
        <is>
          <t>SC03</t>
        </is>
      </c>
      <c r="E706" s="46" t="inlineStr">
        <is>
          <t>Supply Chain</t>
        </is>
      </c>
      <c r="F706" s="74" t="n"/>
    </row>
    <row r="707" ht="13.5" customHeight="1" s="38">
      <c r="A707" s="46" t="inlineStr">
        <is>
          <t>R_0704</t>
        </is>
      </c>
      <c r="B707" s="46" t="inlineStr">
        <is>
          <t>S_S3_SC01_I05</t>
        </is>
      </c>
      <c r="C707" s="46" t="inlineStr">
        <is>
          <t>Strategy 3 – One-Shot + Structured Template</t>
        </is>
      </c>
      <c r="D707" s="75" t="inlineStr">
        <is>
          <t>SC01</t>
        </is>
      </c>
      <c r="E707" s="46" t="inlineStr">
        <is>
          <t>Supply Chain</t>
        </is>
      </c>
      <c r="F707" s="74" t="n"/>
    </row>
    <row r="708" ht="13.5" customHeight="1" s="38">
      <c r="A708" s="46" t="inlineStr">
        <is>
          <t>R_0705</t>
        </is>
      </c>
      <c r="B708" s="46" t="inlineStr">
        <is>
          <t>S_S4_SC05_I08</t>
        </is>
      </c>
      <c r="C708" s="46" t="inlineStr">
        <is>
          <t>Strategy 4 – One-Shot + Template + BLUF</t>
        </is>
      </c>
      <c r="D708" s="75" t="inlineStr">
        <is>
          <t>SC05</t>
        </is>
      </c>
      <c r="E708" s="46" t="inlineStr">
        <is>
          <t>Supply Chain</t>
        </is>
      </c>
      <c r="F708" s="74" t="n"/>
    </row>
    <row r="709" ht="13.5" customHeight="1" s="38">
      <c r="A709" s="46" t="inlineStr">
        <is>
          <t>R_0706</t>
        </is>
      </c>
      <c r="B709" s="46" t="inlineStr">
        <is>
          <t>Z_S2_SC05_I03</t>
        </is>
      </c>
      <c r="C709" s="46" t="inlineStr">
        <is>
          <t>Strategy 2 – Zero-Shot + Template + BLUF</t>
        </is>
      </c>
      <c r="D709" s="75" t="inlineStr">
        <is>
          <t>SC05</t>
        </is>
      </c>
      <c r="E709" s="46" t="inlineStr">
        <is>
          <t>Zero-Day / Edge Device</t>
        </is>
      </c>
      <c r="F709" s="74" t="n"/>
    </row>
    <row r="710" ht="13.5" customHeight="1" s="38">
      <c r="A710" s="46" t="inlineStr">
        <is>
          <t>R_0707</t>
        </is>
      </c>
      <c r="B710" s="46" t="inlineStr">
        <is>
          <t>B_S3_SC02_I04</t>
        </is>
      </c>
      <c r="C710" s="46" t="inlineStr">
        <is>
          <t>Strategy 3 – One-Shot + Structured Template</t>
        </is>
      </c>
      <c r="D710" s="75" t="inlineStr">
        <is>
          <t>SC02</t>
        </is>
      </c>
      <c r="E710" s="46" t="inlineStr">
        <is>
          <t>Business Email Compromise</t>
        </is>
      </c>
      <c r="F710" s="74" t="n"/>
    </row>
    <row r="711" ht="13.5" customHeight="1" s="38">
      <c r="A711" s="46" t="inlineStr">
        <is>
          <t>R_0708</t>
        </is>
      </c>
      <c r="B711" s="46" t="inlineStr">
        <is>
          <t>Z_S2_SC05_I07</t>
        </is>
      </c>
      <c r="C711" s="46" t="inlineStr">
        <is>
          <t>Strategy 2 – Zero-Shot + Template + BLUF</t>
        </is>
      </c>
      <c r="D711" s="75" t="inlineStr">
        <is>
          <t>SC05</t>
        </is>
      </c>
      <c r="E711" s="46" t="inlineStr">
        <is>
          <t>Zero-Day / Edge Device</t>
        </is>
      </c>
      <c r="F711" s="74" t="n"/>
    </row>
    <row r="712" ht="13.5" customHeight="1" s="38">
      <c r="A712" s="46" t="inlineStr">
        <is>
          <t>R_0709</t>
        </is>
      </c>
      <c r="B712" s="46" t="inlineStr">
        <is>
          <t>S_S2_SC05_I05</t>
        </is>
      </c>
      <c r="C712" s="46" t="inlineStr">
        <is>
          <t>Strategy 2 – Zero-Shot + Template + BLUF</t>
        </is>
      </c>
      <c r="D712" s="75" t="inlineStr">
        <is>
          <t>SC05</t>
        </is>
      </c>
      <c r="E712" s="46" t="inlineStr">
        <is>
          <t>Supply Chain</t>
        </is>
      </c>
      <c r="F712" s="74" t="n"/>
    </row>
    <row r="713" ht="13.5" customHeight="1" s="38">
      <c r="A713" s="46" t="inlineStr">
        <is>
          <t>R_0710</t>
        </is>
      </c>
      <c r="B713" s="46" t="inlineStr">
        <is>
          <t>B_S0_SC02_I06</t>
        </is>
      </c>
      <c r="C713" s="46" t="inlineStr">
        <is>
          <t>Baseline – Zero-Shot (minimal instruction)</t>
        </is>
      </c>
      <c r="D713" s="75" t="inlineStr">
        <is>
          <t>SC02</t>
        </is>
      </c>
      <c r="E713" s="46" t="inlineStr">
        <is>
          <t>Business Email Compromise</t>
        </is>
      </c>
      <c r="F713" s="74" t="n"/>
    </row>
    <row r="714" ht="13.5" customHeight="1" s="38">
      <c r="A714" s="46" t="inlineStr">
        <is>
          <t>R_0711</t>
        </is>
      </c>
      <c r="B714" s="46" t="inlineStr">
        <is>
          <t>Z_S0_SC05_I08</t>
        </is>
      </c>
      <c r="C714" s="46" t="inlineStr">
        <is>
          <t>Baseline – Zero-Shot (minimal instruction)</t>
        </is>
      </c>
      <c r="D714" s="75" t="inlineStr">
        <is>
          <t>SC05</t>
        </is>
      </c>
      <c r="E714" s="46" t="inlineStr">
        <is>
          <t>Zero-Day / Edge Device</t>
        </is>
      </c>
      <c r="F714" s="74" t="n"/>
    </row>
    <row r="715" ht="13.5" customHeight="1" s="38">
      <c r="A715" s="46" t="inlineStr">
        <is>
          <t>R_0712</t>
        </is>
      </c>
      <c r="B715" s="46" t="inlineStr">
        <is>
          <t>S_S3_SC02_I05</t>
        </is>
      </c>
      <c r="C715" s="46" t="inlineStr">
        <is>
          <t>Strategy 3 – One-Shot + Structured Template</t>
        </is>
      </c>
      <c r="D715" s="75" t="inlineStr">
        <is>
          <t>SC02</t>
        </is>
      </c>
      <c r="E715" s="46" t="inlineStr">
        <is>
          <t>Supply Chain</t>
        </is>
      </c>
      <c r="F715" s="74" t="n"/>
    </row>
    <row r="716" ht="13.5" customHeight="1" s="38">
      <c r="A716" s="46" t="inlineStr">
        <is>
          <t>R_0713</t>
        </is>
      </c>
      <c r="B716" s="46" t="inlineStr">
        <is>
          <t>Z_S2_SC05_I05</t>
        </is>
      </c>
      <c r="C716" s="46" t="inlineStr">
        <is>
          <t>Strategy 2 – Zero-Shot + Template + BLUF</t>
        </is>
      </c>
      <c r="D716" s="75" t="inlineStr">
        <is>
          <t>SC05</t>
        </is>
      </c>
      <c r="E716" s="46" t="inlineStr">
        <is>
          <t>Zero-Day / Edge Device</t>
        </is>
      </c>
      <c r="F716" s="74" t="n"/>
    </row>
    <row r="717" ht="13.5" customHeight="1" s="38">
      <c r="A717" s="46" t="inlineStr">
        <is>
          <t>R_0714</t>
        </is>
      </c>
      <c r="B717" s="46" t="inlineStr">
        <is>
          <t>Z_S1_SC02_I01</t>
        </is>
      </c>
      <c r="C717" s="46" t="inlineStr">
        <is>
          <t>Strategy 1 – Zero-Shot + Structured Template</t>
        </is>
      </c>
      <c r="D717" s="75" t="inlineStr">
        <is>
          <t>SC02</t>
        </is>
      </c>
      <c r="E717" s="46" t="inlineStr">
        <is>
          <t>Zero-Day / Edge Device</t>
        </is>
      </c>
      <c r="F717" s="74" t="n"/>
    </row>
    <row r="718" ht="13.5" customHeight="1" s="38">
      <c r="A718" s="46" t="inlineStr">
        <is>
          <t>R_0715</t>
        </is>
      </c>
      <c r="B718" s="46" t="inlineStr">
        <is>
          <t>B_S4_SC03_I03</t>
        </is>
      </c>
      <c r="C718" s="46" t="inlineStr">
        <is>
          <t>Strategy 4 – One-Shot + Template + BLUF</t>
        </is>
      </c>
      <c r="D718" s="75" t="inlineStr">
        <is>
          <t>SC03</t>
        </is>
      </c>
      <c r="E718" s="46" t="inlineStr">
        <is>
          <t>Business Email Compromise</t>
        </is>
      </c>
      <c r="F718" s="74" t="n"/>
    </row>
    <row r="719" ht="13.5" customHeight="1" s="38">
      <c r="A719" s="46" t="inlineStr">
        <is>
          <t>R_0716</t>
        </is>
      </c>
      <c r="B719" s="46" t="inlineStr">
        <is>
          <t>B_S1_SC04_I03</t>
        </is>
      </c>
      <c r="C719" s="46" t="inlineStr">
        <is>
          <t>Strategy 1 – Zero-Shot + Structured Template</t>
        </is>
      </c>
      <c r="D719" s="75" t="inlineStr">
        <is>
          <t>SC04</t>
        </is>
      </c>
      <c r="E719" s="46" t="inlineStr">
        <is>
          <t>Business Email Compromise</t>
        </is>
      </c>
      <c r="F719" s="74" t="n"/>
    </row>
    <row r="720" ht="13.5" customHeight="1" s="38">
      <c r="A720" s="46" t="inlineStr">
        <is>
          <t>R_0717</t>
        </is>
      </c>
      <c r="B720" s="46" t="inlineStr">
        <is>
          <t>R_S1_SC02_I08</t>
        </is>
      </c>
      <c r="C720" s="46" t="inlineStr">
        <is>
          <t>Strategy 1 – Zero-Shot + Structured Template</t>
        </is>
      </c>
      <c r="D720" s="75" t="inlineStr">
        <is>
          <t>SC02</t>
        </is>
      </c>
      <c r="E720" s="46" t="inlineStr">
        <is>
          <t>Ransomware</t>
        </is>
      </c>
      <c r="F720" s="74" t="n"/>
    </row>
    <row r="721" ht="13.5" customHeight="1" s="38">
      <c r="A721" s="46" t="inlineStr">
        <is>
          <t>R_0718</t>
        </is>
      </c>
      <c r="B721" s="46" t="inlineStr">
        <is>
          <t>S_S3_SC05_I08</t>
        </is>
      </c>
      <c r="C721" s="46" t="inlineStr">
        <is>
          <t>Strategy 3 – One-Shot + Structured Template</t>
        </is>
      </c>
      <c r="D721" s="75" t="inlineStr">
        <is>
          <t>SC05</t>
        </is>
      </c>
      <c r="E721" s="46" t="inlineStr">
        <is>
          <t>Supply Chain</t>
        </is>
      </c>
      <c r="F721" s="74" t="n"/>
    </row>
    <row r="722" ht="13.5" customHeight="1" s="38">
      <c r="A722" s="46" t="inlineStr">
        <is>
          <t>R_0719</t>
        </is>
      </c>
      <c r="B722" s="46" t="inlineStr">
        <is>
          <t>B_S4_SC04_I06</t>
        </is>
      </c>
      <c r="C722" s="46" t="inlineStr">
        <is>
          <t>Strategy 4 – One-Shot + Template + BLUF</t>
        </is>
      </c>
      <c r="D722" s="75" t="inlineStr">
        <is>
          <t>SC04</t>
        </is>
      </c>
      <c r="E722" s="46" t="inlineStr">
        <is>
          <t>Business Email Compromise</t>
        </is>
      </c>
      <c r="F722" s="74" t="n"/>
    </row>
    <row r="723" ht="13.5" customHeight="1" s="38">
      <c r="A723" s="46" t="inlineStr">
        <is>
          <t>R_0720</t>
        </is>
      </c>
      <c r="B723" s="46" t="inlineStr">
        <is>
          <t>R_S0_SC02_I01</t>
        </is>
      </c>
      <c r="C723" s="46" t="inlineStr">
        <is>
          <t>Baseline – Zero-Shot (minimal instruction)</t>
        </is>
      </c>
      <c r="D723" s="75" t="inlineStr">
        <is>
          <t>SC02</t>
        </is>
      </c>
      <c r="E723" s="46" t="inlineStr">
        <is>
          <t>Ransomware</t>
        </is>
      </c>
      <c r="F723" s="74" t="n"/>
    </row>
    <row r="724" ht="13.5" customHeight="1" s="38">
      <c r="A724" s="46" t="inlineStr">
        <is>
          <t>R_0721</t>
        </is>
      </c>
      <c r="B724" s="46" t="inlineStr">
        <is>
          <t>Z_S1_SC04_I09</t>
        </is>
      </c>
      <c r="C724" s="46" t="inlineStr">
        <is>
          <t>Strategy 1 – Zero-Shot + Structured Template</t>
        </is>
      </c>
      <c r="D724" s="75" t="inlineStr">
        <is>
          <t>SC04</t>
        </is>
      </c>
      <c r="E724" s="46" t="inlineStr">
        <is>
          <t>Zero-Day / Edge Device</t>
        </is>
      </c>
      <c r="F724" s="74" t="n"/>
    </row>
    <row r="725" ht="13.5" customHeight="1" s="38">
      <c r="A725" s="46" t="inlineStr">
        <is>
          <t>R_0722</t>
        </is>
      </c>
      <c r="B725" s="46" t="inlineStr">
        <is>
          <t>Z_S4_SC04_I07</t>
        </is>
      </c>
      <c r="C725" s="46" t="inlineStr">
        <is>
          <t>Strategy 4 – One-Shot + Template + BLUF</t>
        </is>
      </c>
      <c r="D725" s="75" t="inlineStr">
        <is>
          <t>SC04</t>
        </is>
      </c>
      <c r="E725" s="46" t="inlineStr">
        <is>
          <t>Zero-Day / Edge Device</t>
        </is>
      </c>
      <c r="F725" s="74" t="n"/>
    </row>
    <row r="726" ht="13.5" customHeight="1" s="38">
      <c r="A726" s="46" t="inlineStr">
        <is>
          <t>R_0723</t>
        </is>
      </c>
      <c r="B726" s="46" t="inlineStr">
        <is>
          <t>S_S0_SC05_I09</t>
        </is>
      </c>
      <c r="C726" s="46" t="inlineStr">
        <is>
          <t>Baseline – Zero-Shot (minimal instruction)</t>
        </is>
      </c>
      <c r="D726" s="75" t="inlineStr">
        <is>
          <t>SC05</t>
        </is>
      </c>
      <c r="E726" s="46" t="inlineStr">
        <is>
          <t>Supply Chain</t>
        </is>
      </c>
      <c r="F726" s="74" t="n"/>
    </row>
    <row r="727" ht="13.5" customHeight="1" s="38">
      <c r="A727" s="46" t="inlineStr">
        <is>
          <t>R_0724</t>
        </is>
      </c>
      <c r="B727" s="46" t="inlineStr">
        <is>
          <t>R_S1_SC05_I08</t>
        </is>
      </c>
      <c r="C727" s="46" t="inlineStr">
        <is>
          <t>Strategy 1 – Zero-Shot + Structured Template</t>
        </is>
      </c>
      <c r="D727" s="75" t="inlineStr">
        <is>
          <t>SC05</t>
        </is>
      </c>
      <c r="E727" s="46" t="inlineStr">
        <is>
          <t>Ransomware</t>
        </is>
      </c>
      <c r="F727" s="74" t="n"/>
    </row>
    <row r="728" ht="13.5" customHeight="1" s="38">
      <c r="A728" s="46" t="inlineStr">
        <is>
          <t>R_0725</t>
        </is>
      </c>
      <c r="B728" s="46" t="inlineStr">
        <is>
          <t>Z_S3_SC04_I10</t>
        </is>
      </c>
      <c r="C728" s="46" t="inlineStr">
        <is>
          <t>Strategy 3 – One-Shot + Structured Template</t>
        </is>
      </c>
      <c r="D728" s="75" t="inlineStr">
        <is>
          <t>SC04</t>
        </is>
      </c>
      <c r="E728" s="46" t="inlineStr">
        <is>
          <t>Zero-Day / Edge Device</t>
        </is>
      </c>
      <c r="F728" s="74" t="n"/>
    </row>
    <row r="729" ht="13.5" customHeight="1" s="38">
      <c r="A729" s="46" t="inlineStr">
        <is>
          <t>R_0726</t>
        </is>
      </c>
      <c r="B729" s="46" t="inlineStr">
        <is>
          <t>S_S1_SC03_I10</t>
        </is>
      </c>
      <c r="C729" s="46" t="inlineStr">
        <is>
          <t>Strategy 1 – Zero-Shot + Structured Template</t>
        </is>
      </c>
      <c r="D729" s="75" t="inlineStr">
        <is>
          <t>SC03</t>
        </is>
      </c>
      <c r="E729" s="46" t="inlineStr">
        <is>
          <t>Supply Chain</t>
        </is>
      </c>
      <c r="F729" s="74" t="n"/>
    </row>
    <row r="730" ht="13.5" customHeight="1" s="38">
      <c r="A730" s="46" t="inlineStr">
        <is>
          <t>R_0727</t>
        </is>
      </c>
      <c r="B730" s="46" t="inlineStr">
        <is>
          <t>S_S1_SC03_I09</t>
        </is>
      </c>
      <c r="C730" s="46" t="inlineStr">
        <is>
          <t>Strategy 1 – Zero-Shot + Structured Template</t>
        </is>
      </c>
      <c r="D730" s="75" t="inlineStr">
        <is>
          <t>SC03</t>
        </is>
      </c>
      <c r="E730" s="46" t="inlineStr">
        <is>
          <t>Supply Chain</t>
        </is>
      </c>
      <c r="F730" s="74" t="n"/>
    </row>
    <row r="731" ht="13.5" customHeight="1" s="38">
      <c r="A731" s="46" t="inlineStr">
        <is>
          <t>R_0728</t>
        </is>
      </c>
      <c r="B731" s="46" t="inlineStr">
        <is>
          <t>S_S3_SC03_I07</t>
        </is>
      </c>
      <c r="C731" s="46" t="inlineStr">
        <is>
          <t>Strategy 3 – One-Shot + Structured Template</t>
        </is>
      </c>
      <c r="D731" s="75" t="inlineStr">
        <is>
          <t>SC03</t>
        </is>
      </c>
      <c r="E731" s="46" t="inlineStr">
        <is>
          <t>Supply Chain</t>
        </is>
      </c>
      <c r="F731" s="74" t="n"/>
    </row>
    <row r="732" ht="13.5" customHeight="1" s="38">
      <c r="A732" s="46" t="inlineStr">
        <is>
          <t>R_0729</t>
        </is>
      </c>
      <c r="B732" s="46" t="inlineStr">
        <is>
          <t>S_S2_SC02_I06</t>
        </is>
      </c>
      <c r="C732" s="46" t="inlineStr">
        <is>
          <t>Strategy 2 – Zero-Shot + Template + BLUF</t>
        </is>
      </c>
      <c r="D732" s="75" t="inlineStr">
        <is>
          <t>SC02</t>
        </is>
      </c>
      <c r="E732" s="46" t="inlineStr">
        <is>
          <t>Supply Chain</t>
        </is>
      </c>
      <c r="F732" s="74" t="n"/>
    </row>
    <row r="733" ht="13.5" customHeight="1" s="38">
      <c r="A733" s="46" t="inlineStr">
        <is>
          <t>R_0730</t>
        </is>
      </c>
      <c r="B733" s="46" t="inlineStr">
        <is>
          <t>S_S3_SC05_I02</t>
        </is>
      </c>
      <c r="C733" s="46" t="inlineStr">
        <is>
          <t>Strategy 3 – One-Shot + Structured Template</t>
        </is>
      </c>
      <c r="D733" s="75" t="inlineStr">
        <is>
          <t>SC05</t>
        </is>
      </c>
      <c r="E733" s="46" t="inlineStr">
        <is>
          <t>Supply Chain</t>
        </is>
      </c>
      <c r="F733" s="74" t="n"/>
    </row>
    <row r="734" ht="13.5" customHeight="1" s="38">
      <c r="A734" s="46" t="inlineStr">
        <is>
          <t>R_0731</t>
        </is>
      </c>
      <c r="B734" s="46" t="inlineStr">
        <is>
          <t>B_S3_SC02_I02</t>
        </is>
      </c>
      <c r="C734" s="46" t="inlineStr">
        <is>
          <t>Strategy 3 – One-Shot + Structured Template</t>
        </is>
      </c>
      <c r="D734" s="75" t="inlineStr">
        <is>
          <t>SC02</t>
        </is>
      </c>
      <c r="E734" s="46" t="inlineStr">
        <is>
          <t>Business Email Compromise</t>
        </is>
      </c>
      <c r="F734" s="74" t="n"/>
    </row>
    <row r="735" ht="13.5" customHeight="1" s="38">
      <c r="A735" s="46" t="inlineStr">
        <is>
          <t>R_0732</t>
        </is>
      </c>
      <c r="B735" s="46" t="inlineStr">
        <is>
          <t>R_S0_SC01_I03</t>
        </is>
      </c>
      <c r="C735" s="46" t="inlineStr">
        <is>
          <t>Baseline – Zero-Shot (minimal instruction)</t>
        </is>
      </c>
      <c r="D735" s="75" t="inlineStr">
        <is>
          <t>SC01</t>
        </is>
      </c>
      <c r="E735" s="46" t="inlineStr">
        <is>
          <t>Ransomware</t>
        </is>
      </c>
      <c r="F735" s="74" t="n"/>
    </row>
    <row r="736" ht="13.5" customHeight="1" s="38">
      <c r="A736" s="46" t="inlineStr">
        <is>
          <t>R_0733</t>
        </is>
      </c>
      <c r="B736" s="46" t="inlineStr">
        <is>
          <t>R_S0_SC01_I05</t>
        </is>
      </c>
      <c r="C736" s="46" t="inlineStr">
        <is>
          <t>Baseline – Zero-Shot (minimal instruction)</t>
        </is>
      </c>
      <c r="D736" s="75" t="inlineStr">
        <is>
          <t>SC01</t>
        </is>
      </c>
      <c r="E736" s="46" t="inlineStr">
        <is>
          <t>Ransomware</t>
        </is>
      </c>
      <c r="F736" s="74" t="n"/>
    </row>
    <row r="737" ht="13.5" customHeight="1" s="38">
      <c r="A737" s="46" t="inlineStr">
        <is>
          <t>R_0734</t>
        </is>
      </c>
      <c r="B737" s="46" t="inlineStr">
        <is>
          <t>B_S4_SC04_I08</t>
        </is>
      </c>
      <c r="C737" s="46" t="inlineStr">
        <is>
          <t>Strategy 4 – One-Shot + Template + BLUF</t>
        </is>
      </c>
      <c r="D737" s="75" t="inlineStr">
        <is>
          <t>SC04</t>
        </is>
      </c>
      <c r="E737" s="46" t="inlineStr">
        <is>
          <t>Business Email Compromise</t>
        </is>
      </c>
      <c r="F737" s="74" t="n"/>
    </row>
    <row r="738" ht="13.5" customHeight="1" s="38">
      <c r="A738" s="46" t="inlineStr">
        <is>
          <t>R_0735</t>
        </is>
      </c>
      <c r="B738" s="46" t="inlineStr">
        <is>
          <t>Z_S1_SC02_I10</t>
        </is>
      </c>
      <c r="C738" s="46" t="inlineStr">
        <is>
          <t>Strategy 1 – Zero-Shot + Structured Template</t>
        </is>
      </c>
      <c r="D738" s="75" t="inlineStr">
        <is>
          <t>SC02</t>
        </is>
      </c>
      <c r="E738" s="46" t="inlineStr">
        <is>
          <t>Zero-Day / Edge Device</t>
        </is>
      </c>
      <c r="F738" s="74" t="n"/>
    </row>
    <row r="739" ht="13.5" customHeight="1" s="38">
      <c r="A739" s="46" t="inlineStr">
        <is>
          <t>R_0736</t>
        </is>
      </c>
      <c r="B739" s="46" t="inlineStr">
        <is>
          <t>S_S4_SC03_I09</t>
        </is>
      </c>
      <c r="C739" s="46" t="inlineStr">
        <is>
          <t>Strategy 4 – One-Shot + Template + BLUF</t>
        </is>
      </c>
      <c r="D739" s="75" t="inlineStr">
        <is>
          <t>SC03</t>
        </is>
      </c>
      <c r="E739" s="46" t="inlineStr">
        <is>
          <t>Supply Chain</t>
        </is>
      </c>
      <c r="F739" s="74" t="n"/>
    </row>
    <row r="740" ht="13.5" customHeight="1" s="38">
      <c r="A740" s="46" t="inlineStr">
        <is>
          <t>R_0737</t>
        </is>
      </c>
      <c r="B740" s="46" t="inlineStr">
        <is>
          <t>R_S4_SC02_I06</t>
        </is>
      </c>
      <c r="C740" s="46" t="inlineStr">
        <is>
          <t>Strategy 4 – One-Shot + Template + BLUF</t>
        </is>
      </c>
      <c r="D740" s="75" t="inlineStr">
        <is>
          <t>SC02</t>
        </is>
      </c>
      <c r="E740" s="46" t="inlineStr">
        <is>
          <t>Ransomware</t>
        </is>
      </c>
      <c r="F740" s="74" t="n"/>
    </row>
    <row r="741" ht="13.5" customHeight="1" s="38">
      <c r="A741" s="46" t="inlineStr">
        <is>
          <t>R_0738</t>
        </is>
      </c>
      <c r="B741" s="46" t="inlineStr">
        <is>
          <t>S_S3_SC03_I03</t>
        </is>
      </c>
      <c r="C741" s="46" t="inlineStr">
        <is>
          <t>Strategy 3 – One-Shot + Structured Template</t>
        </is>
      </c>
      <c r="D741" s="75" t="inlineStr">
        <is>
          <t>SC03</t>
        </is>
      </c>
      <c r="E741" s="46" t="inlineStr">
        <is>
          <t>Supply Chain</t>
        </is>
      </c>
      <c r="F741" s="74" t="n"/>
    </row>
    <row r="742" ht="13.5" customHeight="1" s="38">
      <c r="A742" s="46" t="inlineStr">
        <is>
          <t>R_0739</t>
        </is>
      </c>
      <c r="B742" s="46" t="inlineStr">
        <is>
          <t>R_S4_SC04_I02</t>
        </is>
      </c>
      <c r="C742" s="46" t="inlineStr">
        <is>
          <t>Strategy 4 – One-Shot + Template + BLUF</t>
        </is>
      </c>
      <c r="D742" s="75" t="inlineStr">
        <is>
          <t>SC04</t>
        </is>
      </c>
      <c r="E742" s="46" t="inlineStr">
        <is>
          <t>Ransomware</t>
        </is>
      </c>
      <c r="F742" s="74" t="n"/>
    </row>
    <row r="743" ht="13.5" customHeight="1" s="38">
      <c r="A743" s="46" t="inlineStr">
        <is>
          <t>R_0740</t>
        </is>
      </c>
      <c r="B743" s="46" t="inlineStr">
        <is>
          <t>R_S4_SC02_I07</t>
        </is>
      </c>
      <c r="C743" s="46" t="inlineStr">
        <is>
          <t>Strategy 4 – One-Shot + Template + BLUF</t>
        </is>
      </c>
      <c r="D743" s="75" t="inlineStr">
        <is>
          <t>SC02</t>
        </is>
      </c>
      <c r="E743" s="46" t="inlineStr">
        <is>
          <t>Ransomware</t>
        </is>
      </c>
      <c r="F743" s="74" t="n"/>
    </row>
    <row r="744" ht="13.5" customHeight="1" s="38">
      <c r="A744" s="46" t="inlineStr">
        <is>
          <t>R_0741</t>
        </is>
      </c>
      <c r="B744" s="46" t="inlineStr">
        <is>
          <t>Z_S3_SC04_I03</t>
        </is>
      </c>
      <c r="C744" s="46" t="inlineStr">
        <is>
          <t>Strategy 3 – One-Shot + Structured Template</t>
        </is>
      </c>
      <c r="D744" s="75" t="inlineStr">
        <is>
          <t>SC04</t>
        </is>
      </c>
      <c r="E744" s="46" t="inlineStr">
        <is>
          <t>Zero-Day / Edge Device</t>
        </is>
      </c>
      <c r="F744" s="74" t="n"/>
    </row>
    <row r="745" ht="13.5" customHeight="1" s="38">
      <c r="A745" s="46" t="inlineStr">
        <is>
          <t>R_0742</t>
        </is>
      </c>
      <c r="B745" s="46" t="inlineStr">
        <is>
          <t>S_S1_SC01_I04</t>
        </is>
      </c>
      <c r="C745" s="46" t="inlineStr">
        <is>
          <t>Strategy 1 – Zero-Shot + Structured Template</t>
        </is>
      </c>
      <c r="D745" s="75" t="inlineStr">
        <is>
          <t>SC01</t>
        </is>
      </c>
      <c r="E745" s="46" t="inlineStr">
        <is>
          <t>Supply Chain</t>
        </is>
      </c>
      <c r="F745" s="74" t="n"/>
    </row>
    <row r="746" ht="13.5" customHeight="1" s="38">
      <c r="A746" s="46" t="inlineStr">
        <is>
          <t>R_0743</t>
        </is>
      </c>
      <c r="B746" s="46" t="inlineStr">
        <is>
          <t>Z_S1_SC04_I05</t>
        </is>
      </c>
      <c r="C746" s="46" t="inlineStr">
        <is>
          <t>Strategy 1 – Zero-Shot + Structured Template</t>
        </is>
      </c>
      <c r="D746" s="75" t="inlineStr">
        <is>
          <t>SC04</t>
        </is>
      </c>
      <c r="E746" s="46" t="inlineStr">
        <is>
          <t>Zero-Day / Edge Device</t>
        </is>
      </c>
      <c r="F746" s="74" t="n"/>
    </row>
    <row r="747" ht="13.5" customHeight="1" s="38">
      <c r="A747" s="46" t="inlineStr">
        <is>
          <t>R_0744</t>
        </is>
      </c>
      <c r="B747" s="46" t="inlineStr">
        <is>
          <t>Z_S1_SC03_I06</t>
        </is>
      </c>
      <c r="C747" s="46" t="inlineStr">
        <is>
          <t>Strategy 1 – Zero-Shot + Structured Template</t>
        </is>
      </c>
      <c r="D747" s="75" t="inlineStr">
        <is>
          <t>SC03</t>
        </is>
      </c>
      <c r="E747" s="46" t="inlineStr">
        <is>
          <t>Zero-Day / Edge Device</t>
        </is>
      </c>
      <c r="F747" s="74" t="n"/>
    </row>
    <row r="748" ht="13.5" customHeight="1" s="38">
      <c r="A748" s="46" t="inlineStr">
        <is>
          <t>R_0745</t>
        </is>
      </c>
      <c r="B748" s="46" t="inlineStr">
        <is>
          <t>S_S0_SC04_I06</t>
        </is>
      </c>
      <c r="C748" s="46" t="inlineStr">
        <is>
          <t>Baseline – Zero-Shot (minimal instruction)</t>
        </is>
      </c>
      <c r="D748" s="75" t="inlineStr">
        <is>
          <t>SC04</t>
        </is>
      </c>
      <c r="E748" s="46" t="inlineStr">
        <is>
          <t>Supply Chain</t>
        </is>
      </c>
      <c r="F748" s="74" t="n"/>
    </row>
    <row r="749" ht="13.5" customHeight="1" s="38">
      <c r="A749" s="46" t="inlineStr">
        <is>
          <t>R_0746</t>
        </is>
      </c>
      <c r="B749" s="46" t="inlineStr">
        <is>
          <t>B_S2_SC05_I03</t>
        </is>
      </c>
      <c r="C749" s="46" t="inlineStr">
        <is>
          <t>Strategy 2 – Zero-Shot + Template + BLUF</t>
        </is>
      </c>
      <c r="D749" s="75" t="inlineStr">
        <is>
          <t>SC05</t>
        </is>
      </c>
      <c r="E749" s="46" t="inlineStr">
        <is>
          <t>Business Email Compromise</t>
        </is>
      </c>
      <c r="F749" s="74" t="n"/>
    </row>
    <row r="750" ht="13.5" customHeight="1" s="38">
      <c r="A750" s="46" t="inlineStr">
        <is>
          <t>R_0747</t>
        </is>
      </c>
      <c r="B750" s="46" t="inlineStr">
        <is>
          <t>Z_S4_SC01_I05</t>
        </is>
      </c>
      <c r="C750" s="46" t="inlineStr">
        <is>
          <t>Strategy 4 – One-Shot + Template + BLUF</t>
        </is>
      </c>
      <c r="D750" s="75" t="inlineStr">
        <is>
          <t>SC01</t>
        </is>
      </c>
      <c r="E750" s="46" t="inlineStr">
        <is>
          <t>Zero-Day / Edge Device</t>
        </is>
      </c>
      <c r="F750" s="74" t="n"/>
    </row>
    <row r="751" ht="13.5" customHeight="1" s="38">
      <c r="A751" s="46" t="inlineStr">
        <is>
          <t>R_0748</t>
        </is>
      </c>
      <c r="B751" s="46" t="inlineStr">
        <is>
          <t>B_S4_SC01_I04</t>
        </is>
      </c>
      <c r="C751" s="46" t="inlineStr">
        <is>
          <t>Strategy 4 – One-Shot + Template + BLUF</t>
        </is>
      </c>
      <c r="D751" s="75" t="inlineStr">
        <is>
          <t>SC01</t>
        </is>
      </c>
      <c r="E751" s="46" t="inlineStr">
        <is>
          <t>Business Email Compromise</t>
        </is>
      </c>
      <c r="F751" s="74" t="n"/>
    </row>
    <row r="752" ht="13.5" customHeight="1" s="38">
      <c r="A752" s="46" t="inlineStr">
        <is>
          <t>R_0749</t>
        </is>
      </c>
      <c r="B752" s="46" t="inlineStr">
        <is>
          <t>R_S2_SC04_I09</t>
        </is>
      </c>
      <c r="C752" s="46" t="inlineStr">
        <is>
          <t>Strategy 2 – Zero-Shot + Template + BLUF</t>
        </is>
      </c>
      <c r="D752" s="75" t="inlineStr">
        <is>
          <t>SC04</t>
        </is>
      </c>
      <c r="E752" s="46" t="inlineStr">
        <is>
          <t>Ransomware</t>
        </is>
      </c>
      <c r="F752" s="74" t="n"/>
    </row>
    <row r="753" ht="13.5" customHeight="1" s="38">
      <c r="A753" s="46" t="inlineStr">
        <is>
          <t>R_0750</t>
        </is>
      </c>
      <c r="B753" s="46" t="inlineStr">
        <is>
          <t>B_S3_SC04_I02</t>
        </is>
      </c>
      <c r="C753" s="46" t="inlineStr">
        <is>
          <t>Strategy 3 – One-Shot + Structured Template</t>
        </is>
      </c>
      <c r="D753" s="75" t="inlineStr">
        <is>
          <t>SC04</t>
        </is>
      </c>
      <c r="E753" s="46" t="inlineStr">
        <is>
          <t>Business Email Compromise</t>
        </is>
      </c>
      <c r="F753" s="74" t="n"/>
    </row>
    <row r="754" ht="13.5" customHeight="1" s="38">
      <c r="A754" s="46" t="inlineStr">
        <is>
          <t>R_0751</t>
        </is>
      </c>
      <c r="B754" s="46" t="inlineStr">
        <is>
          <t>Z_S1_SC05_I05</t>
        </is>
      </c>
      <c r="C754" s="46" t="inlineStr">
        <is>
          <t>Strategy 1 – Zero-Shot + Structured Template</t>
        </is>
      </c>
      <c r="D754" s="75" t="inlineStr">
        <is>
          <t>SC05</t>
        </is>
      </c>
      <c r="E754" s="46" t="inlineStr">
        <is>
          <t>Zero-Day / Edge Device</t>
        </is>
      </c>
      <c r="F754" s="74" t="n"/>
    </row>
    <row r="755" ht="13.5" customHeight="1" s="38">
      <c r="A755" s="46" t="inlineStr">
        <is>
          <t>R_0752</t>
        </is>
      </c>
      <c r="B755" s="46" t="inlineStr">
        <is>
          <t>B_S1_SC03_I09</t>
        </is>
      </c>
      <c r="C755" s="46" t="inlineStr">
        <is>
          <t>Strategy 1 – Zero-Shot + Structured Template</t>
        </is>
      </c>
      <c r="D755" s="75" t="inlineStr">
        <is>
          <t>SC03</t>
        </is>
      </c>
      <c r="E755" s="46" t="inlineStr">
        <is>
          <t>Business Email Compromise</t>
        </is>
      </c>
      <c r="F755" s="74" t="n"/>
    </row>
    <row r="756" ht="13.5" customHeight="1" s="38">
      <c r="A756" s="46" t="inlineStr">
        <is>
          <t>R_0753</t>
        </is>
      </c>
      <c r="B756" s="46" t="inlineStr">
        <is>
          <t>B_S0_SC03_I03</t>
        </is>
      </c>
      <c r="C756" s="46" t="inlineStr">
        <is>
          <t>Baseline – Zero-Shot (minimal instruction)</t>
        </is>
      </c>
      <c r="D756" s="75" t="inlineStr">
        <is>
          <t>SC03</t>
        </is>
      </c>
      <c r="E756" s="46" t="inlineStr">
        <is>
          <t>Business Email Compromise</t>
        </is>
      </c>
      <c r="F756" s="74" t="n"/>
    </row>
    <row r="757" ht="13.5" customHeight="1" s="38">
      <c r="A757" s="46" t="inlineStr">
        <is>
          <t>R_0754</t>
        </is>
      </c>
      <c r="B757" s="46" t="inlineStr">
        <is>
          <t>S_S1_SC01_I07</t>
        </is>
      </c>
      <c r="C757" s="46" t="inlineStr">
        <is>
          <t>Strategy 1 – Zero-Shot + Structured Template</t>
        </is>
      </c>
      <c r="D757" s="75" t="inlineStr">
        <is>
          <t>SC01</t>
        </is>
      </c>
      <c r="E757" s="46" t="inlineStr">
        <is>
          <t>Supply Chain</t>
        </is>
      </c>
      <c r="F757" s="74" t="n"/>
    </row>
    <row r="758" ht="13.5" customHeight="1" s="38">
      <c r="A758" s="46" t="inlineStr">
        <is>
          <t>R_0755</t>
        </is>
      </c>
      <c r="B758" s="46" t="inlineStr">
        <is>
          <t>Z_S0_SC04_I03</t>
        </is>
      </c>
      <c r="C758" s="46" t="inlineStr">
        <is>
          <t>Baseline – Zero-Shot (minimal instruction)</t>
        </is>
      </c>
      <c r="D758" s="75" t="inlineStr">
        <is>
          <t>SC04</t>
        </is>
      </c>
      <c r="E758" s="46" t="inlineStr">
        <is>
          <t>Zero-Day / Edge Device</t>
        </is>
      </c>
      <c r="F758" s="74" t="n"/>
    </row>
    <row r="759" ht="13.5" customHeight="1" s="38">
      <c r="A759" s="46" t="inlineStr">
        <is>
          <t>R_0756</t>
        </is>
      </c>
      <c r="B759" s="46" t="inlineStr">
        <is>
          <t>B_S2_SC05_I08</t>
        </is>
      </c>
      <c r="C759" s="46" t="inlineStr">
        <is>
          <t>Strategy 2 – Zero-Shot + Template + BLUF</t>
        </is>
      </c>
      <c r="D759" s="75" t="inlineStr">
        <is>
          <t>SC05</t>
        </is>
      </c>
      <c r="E759" s="46" t="inlineStr">
        <is>
          <t>Business Email Compromise</t>
        </is>
      </c>
      <c r="F759" s="74" t="n"/>
    </row>
    <row r="760" ht="13.5" customHeight="1" s="38">
      <c r="A760" s="46" t="inlineStr">
        <is>
          <t>R_0757</t>
        </is>
      </c>
      <c r="B760" s="46" t="inlineStr">
        <is>
          <t>S_S0_SC02_I05</t>
        </is>
      </c>
      <c r="C760" s="46" t="inlineStr">
        <is>
          <t>Baseline – Zero-Shot (minimal instruction)</t>
        </is>
      </c>
      <c r="D760" s="75" t="inlineStr">
        <is>
          <t>SC02</t>
        </is>
      </c>
      <c r="E760" s="46" t="inlineStr">
        <is>
          <t>Supply Chain</t>
        </is>
      </c>
      <c r="F760" s="74" t="n"/>
    </row>
    <row r="761" ht="13.5" customHeight="1" s="38">
      <c r="A761" s="46" t="inlineStr">
        <is>
          <t>R_0758</t>
        </is>
      </c>
      <c r="B761" s="46" t="inlineStr">
        <is>
          <t>B_S0_SC04_I07</t>
        </is>
      </c>
      <c r="C761" s="46" t="inlineStr">
        <is>
          <t>Baseline – Zero-Shot (minimal instruction)</t>
        </is>
      </c>
      <c r="D761" s="75" t="inlineStr">
        <is>
          <t>SC04</t>
        </is>
      </c>
      <c r="E761" s="46" t="inlineStr">
        <is>
          <t>Business Email Compromise</t>
        </is>
      </c>
      <c r="F761" s="74" t="n"/>
    </row>
    <row r="762" ht="13.5" customHeight="1" s="38">
      <c r="A762" s="46" t="inlineStr">
        <is>
          <t>R_0759</t>
        </is>
      </c>
      <c r="B762" s="46" t="inlineStr">
        <is>
          <t>R_S1_SC01_I04</t>
        </is>
      </c>
      <c r="C762" s="46" t="inlineStr">
        <is>
          <t>Strategy 1 – Zero-Shot + Structured Template</t>
        </is>
      </c>
      <c r="D762" s="75" t="inlineStr">
        <is>
          <t>SC01</t>
        </is>
      </c>
      <c r="E762" s="46" t="inlineStr">
        <is>
          <t>Ransomware</t>
        </is>
      </c>
      <c r="F762" s="74" t="n"/>
    </row>
    <row r="763" ht="13.5" customHeight="1" s="38">
      <c r="A763" s="46" t="inlineStr">
        <is>
          <t>R_0760</t>
        </is>
      </c>
      <c r="B763" s="46" t="inlineStr">
        <is>
          <t>Z_S2_SC02_I08</t>
        </is>
      </c>
      <c r="C763" s="46" t="inlineStr">
        <is>
          <t>Strategy 2 – Zero-Shot + Template + BLUF</t>
        </is>
      </c>
      <c r="D763" s="75" t="inlineStr">
        <is>
          <t>SC02</t>
        </is>
      </c>
      <c r="E763" s="46" t="inlineStr">
        <is>
          <t>Zero-Day / Edge Device</t>
        </is>
      </c>
      <c r="F763" s="74" t="n"/>
    </row>
    <row r="764" ht="13.5" customHeight="1" s="38">
      <c r="A764" s="46" t="inlineStr">
        <is>
          <t>R_0761</t>
        </is>
      </c>
      <c r="B764" s="46" t="inlineStr">
        <is>
          <t>S_S2_SC01_I10</t>
        </is>
      </c>
      <c r="C764" s="46" t="inlineStr">
        <is>
          <t>Strategy 2 – Zero-Shot + Template + BLUF</t>
        </is>
      </c>
      <c r="D764" s="75" t="inlineStr">
        <is>
          <t>SC01</t>
        </is>
      </c>
      <c r="E764" s="46" t="inlineStr">
        <is>
          <t>Supply Chain</t>
        </is>
      </c>
      <c r="F764" s="74" t="n"/>
    </row>
    <row r="765" ht="13.5" customHeight="1" s="38">
      <c r="A765" s="46" t="inlineStr">
        <is>
          <t>R_0762</t>
        </is>
      </c>
      <c r="B765" s="46" t="inlineStr">
        <is>
          <t>B_S1_SC04_I10</t>
        </is>
      </c>
      <c r="C765" s="46" t="inlineStr">
        <is>
          <t>Strategy 1 – Zero-Shot + Structured Template</t>
        </is>
      </c>
      <c r="D765" s="75" t="inlineStr">
        <is>
          <t>SC04</t>
        </is>
      </c>
      <c r="E765" s="46" t="inlineStr">
        <is>
          <t>Business Email Compromise</t>
        </is>
      </c>
      <c r="F765" s="74" t="n"/>
    </row>
    <row r="766" ht="13.5" customHeight="1" s="38">
      <c r="A766" s="46" t="inlineStr">
        <is>
          <t>R_0763</t>
        </is>
      </c>
      <c r="B766" s="46" t="inlineStr">
        <is>
          <t>S_S4_SC02_I07</t>
        </is>
      </c>
      <c r="C766" s="46" t="inlineStr">
        <is>
          <t>Strategy 4 – One-Shot + Template + BLUF</t>
        </is>
      </c>
      <c r="D766" s="75" t="inlineStr">
        <is>
          <t>SC02</t>
        </is>
      </c>
      <c r="E766" s="46" t="inlineStr">
        <is>
          <t>Supply Chain</t>
        </is>
      </c>
      <c r="F766" s="74" t="n"/>
    </row>
    <row r="767" ht="13.5" customHeight="1" s="38">
      <c r="A767" s="46" t="inlineStr">
        <is>
          <t>R_0764</t>
        </is>
      </c>
      <c r="B767" s="46" t="inlineStr">
        <is>
          <t>B_S1_SC03_I03</t>
        </is>
      </c>
      <c r="C767" s="46" t="inlineStr">
        <is>
          <t>Strategy 1 – Zero-Shot + Structured Template</t>
        </is>
      </c>
      <c r="D767" s="75" t="inlineStr">
        <is>
          <t>SC03</t>
        </is>
      </c>
      <c r="E767" s="46" t="inlineStr">
        <is>
          <t>Business Email Compromise</t>
        </is>
      </c>
      <c r="F767" s="74" t="n"/>
    </row>
    <row r="768" ht="13.5" customHeight="1" s="38">
      <c r="A768" s="46" t="inlineStr">
        <is>
          <t>R_0765</t>
        </is>
      </c>
      <c r="B768" s="46" t="inlineStr">
        <is>
          <t>S_S4_SC02_I03</t>
        </is>
      </c>
      <c r="C768" s="46" t="inlineStr">
        <is>
          <t>Strategy 4 – One-Shot + Template + BLUF</t>
        </is>
      </c>
      <c r="D768" s="75" t="inlineStr">
        <is>
          <t>SC02</t>
        </is>
      </c>
      <c r="E768" s="46" t="inlineStr">
        <is>
          <t>Supply Chain</t>
        </is>
      </c>
      <c r="F768" s="74" t="n"/>
    </row>
    <row r="769" ht="13.5" customHeight="1" s="38">
      <c r="A769" s="46" t="inlineStr">
        <is>
          <t>R_0766</t>
        </is>
      </c>
      <c r="B769" s="46" t="inlineStr">
        <is>
          <t>Z_S3_SC03_I06</t>
        </is>
      </c>
      <c r="C769" s="46" t="inlineStr">
        <is>
          <t>Strategy 3 – One-Shot + Structured Template</t>
        </is>
      </c>
      <c r="D769" s="75" t="inlineStr">
        <is>
          <t>SC03</t>
        </is>
      </c>
      <c r="E769" s="46" t="inlineStr">
        <is>
          <t>Zero-Day / Edge Device</t>
        </is>
      </c>
      <c r="F769" s="74" t="n"/>
    </row>
    <row r="770" ht="13.5" customHeight="1" s="38">
      <c r="A770" s="46" t="inlineStr">
        <is>
          <t>R_0767</t>
        </is>
      </c>
      <c r="B770" s="46" t="inlineStr">
        <is>
          <t>R_S0_SC04_I02</t>
        </is>
      </c>
      <c r="C770" s="46" t="inlineStr">
        <is>
          <t>Baseline – Zero-Shot (minimal instruction)</t>
        </is>
      </c>
      <c r="D770" s="75" t="inlineStr">
        <is>
          <t>SC04</t>
        </is>
      </c>
      <c r="E770" s="46" t="inlineStr">
        <is>
          <t>Ransomware</t>
        </is>
      </c>
      <c r="F770" s="74" t="n"/>
    </row>
    <row r="771" ht="13.5" customHeight="1" s="38">
      <c r="A771" s="46" t="inlineStr">
        <is>
          <t>R_0768</t>
        </is>
      </c>
      <c r="B771" s="46" t="inlineStr">
        <is>
          <t>Z_S3_SC02_I02</t>
        </is>
      </c>
      <c r="C771" s="46" t="inlineStr">
        <is>
          <t>Strategy 3 – One-Shot + Structured Template</t>
        </is>
      </c>
      <c r="D771" s="75" t="inlineStr">
        <is>
          <t>SC02</t>
        </is>
      </c>
      <c r="E771" s="46" t="inlineStr">
        <is>
          <t>Zero-Day / Edge Device</t>
        </is>
      </c>
      <c r="F771" s="74" t="n"/>
    </row>
    <row r="772" ht="13.5" customHeight="1" s="38">
      <c r="A772" s="46" t="inlineStr">
        <is>
          <t>R_0769</t>
        </is>
      </c>
      <c r="B772" s="46" t="inlineStr">
        <is>
          <t>R_S4_SC03_I08</t>
        </is>
      </c>
      <c r="C772" s="46" t="inlineStr">
        <is>
          <t>Strategy 4 – One-Shot + Template + BLUF</t>
        </is>
      </c>
      <c r="D772" s="75" t="inlineStr">
        <is>
          <t>SC03</t>
        </is>
      </c>
      <c r="E772" s="46" t="inlineStr">
        <is>
          <t>Ransomware</t>
        </is>
      </c>
      <c r="F772" s="74" t="n"/>
    </row>
    <row r="773" ht="13.5" customHeight="1" s="38">
      <c r="A773" s="46" t="inlineStr">
        <is>
          <t>R_0770</t>
        </is>
      </c>
      <c r="B773" s="46" t="inlineStr">
        <is>
          <t>B_S0_SC03_I07</t>
        </is>
      </c>
      <c r="C773" s="46" t="inlineStr">
        <is>
          <t>Baseline – Zero-Shot (minimal instruction)</t>
        </is>
      </c>
      <c r="D773" s="75" t="inlineStr">
        <is>
          <t>SC03</t>
        </is>
      </c>
      <c r="E773" s="46" t="inlineStr">
        <is>
          <t>Business Email Compromise</t>
        </is>
      </c>
      <c r="F773" s="74" t="n"/>
    </row>
    <row r="774" ht="13.5" customHeight="1" s="38">
      <c r="A774" s="46" t="inlineStr">
        <is>
          <t>R_0771</t>
        </is>
      </c>
      <c r="B774" s="46" t="inlineStr">
        <is>
          <t>S_S3_SC02_I08</t>
        </is>
      </c>
      <c r="C774" s="46" t="inlineStr">
        <is>
          <t>Strategy 3 – One-Shot + Structured Template</t>
        </is>
      </c>
      <c r="D774" s="75" t="inlineStr">
        <is>
          <t>SC02</t>
        </is>
      </c>
      <c r="E774" s="46" t="inlineStr">
        <is>
          <t>Supply Chain</t>
        </is>
      </c>
      <c r="F774" s="74" t="n"/>
    </row>
    <row r="775" ht="13.5" customHeight="1" s="38">
      <c r="A775" s="46" t="inlineStr">
        <is>
          <t>R_0772</t>
        </is>
      </c>
      <c r="B775" s="46" t="inlineStr">
        <is>
          <t>Z_S2_SC01_I07</t>
        </is>
      </c>
      <c r="C775" s="46" t="inlineStr">
        <is>
          <t>Strategy 2 – Zero-Shot + Template + BLUF</t>
        </is>
      </c>
      <c r="D775" s="75" t="inlineStr">
        <is>
          <t>SC01</t>
        </is>
      </c>
      <c r="E775" s="46" t="inlineStr">
        <is>
          <t>Zero-Day / Edge Device</t>
        </is>
      </c>
      <c r="F775" s="74" t="n"/>
    </row>
    <row r="776" ht="13.5" customHeight="1" s="38">
      <c r="A776" s="46" t="inlineStr">
        <is>
          <t>R_0773</t>
        </is>
      </c>
      <c r="B776" s="46" t="inlineStr">
        <is>
          <t>S_S1_SC02_I01</t>
        </is>
      </c>
      <c r="C776" s="46" t="inlineStr">
        <is>
          <t>Strategy 1 – Zero-Shot + Structured Template</t>
        </is>
      </c>
      <c r="D776" s="75" t="inlineStr">
        <is>
          <t>SC02</t>
        </is>
      </c>
      <c r="E776" s="46" t="inlineStr">
        <is>
          <t>Supply Chain</t>
        </is>
      </c>
      <c r="F776" s="74" t="n"/>
    </row>
    <row r="777" ht="13.5" customHeight="1" s="38">
      <c r="A777" s="46" t="inlineStr">
        <is>
          <t>R_0774</t>
        </is>
      </c>
      <c r="B777" s="46" t="inlineStr">
        <is>
          <t>S_S4_SC01_I02</t>
        </is>
      </c>
      <c r="C777" s="46" t="inlineStr">
        <is>
          <t>Strategy 4 – One-Shot + Template + BLUF</t>
        </is>
      </c>
      <c r="D777" s="75" t="inlineStr">
        <is>
          <t>SC01</t>
        </is>
      </c>
      <c r="E777" s="46" t="inlineStr">
        <is>
          <t>Supply Chain</t>
        </is>
      </c>
      <c r="F777" s="74" t="n"/>
    </row>
    <row r="778" ht="13.5" customHeight="1" s="38">
      <c r="A778" s="46" t="inlineStr">
        <is>
          <t>R_0775</t>
        </is>
      </c>
      <c r="B778" s="46" t="inlineStr">
        <is>
          <t>S_S2_SC05_I08</t>
        </is>
      </c>
      <c r="C778" s="46" t="inlineStr">
        <is>
          <t>Strategy 2 – Zero-Shot + Template + BLUF</t>
        </is>
      </c>
      <c r="D778" s="75" t="inlineStr">
        <is>
          <t>SC05</t>
        </is>
      </c>
      <c r="E778" s="46" t="inlineStr">
        <is>
          <t>Supply Chain</t>
        </is>
      </c>
      <c r="F778" s="74" t="n"/>
    </row>
    <row r="779" ht="13.5" customHeight="1" s="38">
      <c r="A779" s="46" t="inlineStr">
        <is>
          <t>R_0776</t>
        </is>
      </c>
      <c r="B779" s="46" t="inlineStr">
        <is>
          <t>S_S0_SC05_I03</t>
        </is>
      </c>
      <c r="C779" s="46" t="inlineStr">
        <is>
          <t>Baseline – Zero-Shot (minimal instruction)</t>
        </is>
      </c>
      <c r="D779" s="75" t="inlineStr">
        <is>
          <t>SC05</t>
        </is>
      </c>
      <c r="E779" s="46" t="inlineStr">
        <is>
          <t>Supply Chain</t>
        </is>
      </c>
      <c r="F779" s="74" t="n"/>
    </row>
    <row r="780" ht="13.5" customHeight="1" s="38">
      <c r="A780" s="46" t="inlineStr">
        <is>
          <t>R_0777</t>
        </is>
      </c>
      <c r="B780" s="46" t="inlineStr">
        <is>
          <t>S_S0_SC03_I03</t>
        </is>
      </c>
      <c r="C780" s="46" t="inlineStr">
        <is>
          <t>Baseline – Zero-Shot (minimal instruction)</t>
        </is>
      </c>
      <c r="D780" s="75" t="inlineStr">
        <is>
          <t>SC03</t>
        </is>
      </c>
      <c r="E780" s="46" t="inlineStr">
        <is>
          <t>Supply Chain</t>
        </is>
      </c>
      <c r="F780" s="74" t="n"/>
    </row>
    <row r="781" ht="13.5" customHeight="1" s="38">
      <c r="A781" s="46" t="inlineStr">
        <is>
          <t>R_0778</t>
        </is>
      </c>
      <c r="B781" s="46" t="inlineStr">
        <is>
          <t>B_S4_SC03_I06</t>
        </is>
      </c>
      <c r="C781" s="46" t="inlineStr">
        <is>
          <t>Strategy 4 – One-Shot + Template + BLUF</t>
        </is>
      </c>
      <c r="D781" s="75" t="inlineStr">
        <is>
          <t>SC03</t>
        </is>
      </c>
      <c r="E781" s="46" t="inlineStr">
        <is>
          <t>Business Email Compromise</t>
        </is>
      </c>
      <c r="F781" s="74" t="n"/>
    </row>
    <row r="782" ht="13.5" customHeight="1" s="38">
      <c r="A782" s="46" t="inlineStr">
        <is>
          <t>R_0779</t>
        </is>
      </c>
      <c r="B782" s="46" t="inlineStr">
        <is>
          <t>B_S3_SC03_I09</t>
        </is>
      </c>
      <c r="C782" s="46" t="inlineStr">
        <is>
          <t>Strategy 3 – One-Shot + Structured Template</t>
        </is>
      </c>
      <c r="D782" s="75" t="inlineStr">
        <is>
          <t>SC03</t>
        </is>
      </c>
      <c r="E782" s="46" t="inlineStr">
        <is>
          <t>Business Email Compromise</t>
        </is>
      </c>
      <c r="F782" s="74" t="n"/>
    </row>
    <row r="783" ht="13.5" customHeight="1" s="38">
      <c r="A783" s="46" t="inlineStr">
        <is>
          <t>R_0780</t>
        </is>
      </c>
      <c r="B783" s="46" t="inlineStr">
        <is>
          <t>R_S3_SC05_I02</t>
        </is>
      </c>
      <c r="C783" s="46" t="inlineStr">
        <is>
          <t>Strategy 3 – One-Shot + Structured Template</t>
        </is>
      </c>
      <c r="D783" s="75" t="inlineStr">
        <is>
          <t>SC05</t>
        </is>
      </c>
      <c r="E783" s="46" t="inlineStr">
        <is>
          <t>Ransomware</t>
        </is>
      </c>
      <c r="F783" s="74" t="n"/>
    </row>
    <row r="784" ht="13.5" customHeight="1" s="38">
      <c r="A784" s="46" t="inlineStr">
        <is>
          <t>R_0781</t>
        </is>
      </c>
      <c r="B784" s="46" t="inlineStr">
        <is>
          <t>R_S4_SC02_I03</t>
        </is>
      </c>
      <c r="C784" s="46" t="inlineStr">
        <is>
          <t>Strategy 4 – One-Shot + Template + BLUF</t>
        </is>
      </c>
      <c r="D784" s="75" t="inlineStr">
        <is>
          <t>SC02</t>
        </is>
      </c>
      <c r="E784" s="46" t="inlineStr">
        <is>
          <t>Ransomware</t>
        </is>
      </c>
      <c r="F784" s="74" t="n"/>
    </row>
    <row r="785" ht="13.5" customHeight="1" s="38">
      <c r="A785" s="46" t="inlineStr">
        <is>
          <t>R_0782</t>
        </is>
      </c>
      <c r="B785" s="46" t="inlineStr">
        <is>
          <t>B_S4_SC02_I07</t>
        </is>
      </c>
      <c r="C785" s="46" t="inlineStr">
        <is>
          <t>Strategy 4 – One-Shot + Template + BLUF</t>
        </is>
      </c>
      <c r="D785" s="75" t="inlineStr">
        <is>
          <t>SC02</t>
        </is>
      </c>
      <c r="E785" s="46" t="inlineStr">
        <is>
          <t>Business Email Compromise</t>
        </is>
      </c>
      <c r="F785" s="74" t="n"/>
    </row>
    <row r="786" ht="13.5" customHeight="1" s="38">
      <c r="A786" s="46" t="inlineStr">
        <is>
          <t>R_0783</t>
        </is>
      </c>
      <c r="B786" s="46" t="inlineStr">
        <is>
          <t>B_S0_SC05_I01</t>
        </is>
      </c>
      <c r="C786" s="46" t="inlineStr">
        <is>
          <t>Baseline – Zero-Shot (minimal instruction)</t>
        </is>
      </c>
      <c r="D786" s="75" t="inlineStr">
        <is>
          <t>SC05</t>
        </is>
      </c>
      <c r="E786" s="46" t="inlineStr">
        <is>
          <t>Business Email Compromise</t>
        </is>
      </c>
      <c r="F786" s="74" t="n"/>
    </row>
    <row r="787" ht="13.5" customHeight="1" s="38">
      <c r="A787" s="46" t="inlineStr">
        <is>
          <t>R_0784</t>
        </is>
      </c>
      <c r="B787" s="46" t="inlineStr">
        <is>
          <t>S_S0_SC02_I02</t>
        </is>
      </c>
      <c r="C787" s="46" t="inlineStr">
        <is>
          <t>Baseline – Zero-Shot (minimal instruction)</t>
        </is>
      </c>
      <c r="D787" s="75" t="inlineStr">
        <is>
          <t>SC02</t>
        </is>
      </c>
      <c r="E787" s="46" t="inlineStr">
        <is>
          <t>Supply Chain</t>
        </is>
      </c>
      <c r="F787" s="74" t="n"/>
    </row>
    <row r="788" ht="13.5" customHeight="1" s="38">
      <c r="A788" s="46" t="inlineStr">
        <is>
          <t>R_0785</t>
        </is>
      </c>
      <c r="B788" s="46" t="inlineStr">
        <is>
          <t>S_S2_SC03_I01</t>
        </is>
      </c>
      <c r="C788" s="46" t="inlineStr">
        <is>
          <t>Strategy 2 – Zero-Shot + Template + BLUF</t>
        </is>
      </c>
      <c r="D788" s="75" t="inlineStr">
        <is>
          <t>SC03</t>
        </is>
      </c>
      <c r="E788" s="46" t="inlineStr">
        <is>
          <t>Supply Chain</t>
        </is>
      </c>
      <c r="F788" s="74" t="n"/>
    </row>
    <row r="789" ht="13.5" customHeight="1" s="38">
      <c r="A789" s="46" t="inlineStr">
        <is>
          <t>R_0786</t>
        </is>
      </c>
      <c r="B789" s="46" t="inlineStr">
        <is>
          <t>B_S0_SC04_I01</t>
        </is>
      </c>
      <c r="C789" s="46" t="inlineStr">
        <is>
          <t>Baseline – Zero-Shot (minimal instruction)</t>
        </is>
      </c>
      <c r="D789" s="75" t="inlineStr">
        <is>
          <t>SC04</t>
        </is>
      </c>
      <c r="E789" s="46" t="inlineStr">
        <is>
          <t>Business Email Compromise</t>
        </is>
      </c>
      <c r="F789" s="74" t="n"/>
    </row>
    <row r="790" ht="13.5" customHeight="1" s="38">
      <c r="A790" s="46" t="inlineStr">
        <is>
          <t>R_0787</t>
        </is>
      </c>
      <c r="B790" s="46" t="inlineStr">
        <is>
          <t>S_S4_SC05_I02</t>
        </is>
      </c>
      <c r="C790" s="46" t="inlineStr">
        <is>
          <t>Strategy 4 – One-Shot + Template + BLUF</t>
        </is>
      </c>
      <c r="D790" s="75" t="inlineStr">
        <is>
          <t>SC05</t>
        </is>
      </c>
      <c r="E790" s="46" t="inlineStr">
        <is>
          <t>Supply Chain</t>
        </is>
      </c>
      <c r="F790" s="74" t="n"/>
    </row>
    <row r="791" ht="13.5" customHeight="1" s="38">
      <c r="A791" s="46" t="inlineStr">
        <is>
          <t>R_0788</t>
        </is>
      </c>
      <c r="B791" s="46" t="inlineStr">
        <is>
          <t>R_S4_SC03_I06</t>
        </is>
      </c>
      <c r="C791" s="46" t="inlineStr">
        <is>
          <t>Strategy 4 – One-Shot + Template + BLUF</t>
        </is>
      </c>
      <c r="D791" s="75" t="inlineStr">
        <is>
          <t>SC03</t>
        </is>
      </c>
      <c r="E791" s="46" t="inlineStr">
        <is>
          <t>Ransomware</t>
        </is>
      </c>
      <c r="F791" s="74" t="n"/>
    </row>
    <row r="792" ht="13.5" customHeight="1" s="38">
      <c r="A792" s="46" t="inlineStr">
        <is>
          <t>R_0789</t>
        </is>
      </c>
      <c r="B792" s="46" t="inlineStr">
        <is>
          <t>B_S0_SC03_I02</t>
        </is>
      </c>
      <c r="C792" s="46" t="inlineStr">
        <is>
          <t>Baseline – Zero-Shot (minimal instruction)</t>
        </is>
      </c>
      <c r="D792" s="75" t="inlineStr">
        <is>
          <t>SC03</t>
        </is>
      </c>
      <c r="E792" s="46" t="inlineStr">
        <is>
          <t>Business Email Compromise</t>
        </is>
      </c>
      <c r="F792" s="74" t="n"/>
    </row>
    <row r="793" ht="13.5" customHeight="1" s="38">
      <c r="A793" s="46" t="inlineStr">
        <is>
          <t>R_0790</t>
        </is>
      </c>
      <c r="B793" s="46" t="inlineStr">
        <is>
          <t>B_S0_SC01_I02</t>
        </is>
      </c>
      <c r="C793" s="46" t="inlineStr">
        <is>
          <t>Baseline – Zero-Shot (minimal instruction)</t>
        </is>
      </c>
      <c r="D793" s="75" t="inlineStr">
        <is>
          <t>SC01</t>
        </is>
      </c>
      <c r="E793" s="46" t="inlineStr">
        <is>
          <t>Business Email Compromise</t>
        </is>
      </c>
      <c r="F793" s="74" t="n"/>
    </row>
    <row r="794" ht="13.5" customHeight="1" s="38">
      <c r="A794" s="46" t="inlineStr">
        <is>
          <t>R_0791</t>
        </is>
      </c>
      <c r="B794" s="46" t="inlineStr">
        <is>
          <t>B_S2_SC02_I02</t>
        </is>
      </c>
      <c r="C794" s="46" t="inlineStr">
        <is>
          <t>Strategy 2 – Zero-Shot + Template + BLUF</t>
        </is>
      </c>
      <c r="D794" s="75" t="inlineStr">
        <is>
          <t>SC02</t>
        </is>
      </c>
      <c r="E794" s="46" t="inlineStr">
        <is>
          <t>Business Email Compromise</t>
        </is>
      </c>
      <c r="F794" s="74" t="n"/>
    </row>
    <row r="795" ht="13.5" customHeight="1" s="38">
      <c r="A795" s="46" t="inlineStr">
        <is>
          <t>R_0792</t>
        </is>
      </c>
      <c r="B795" s="46" t="inlineStr">
        <is>
          <t>Z_S4_SC04_I02</t>
        </is>
      </c>
      <c r="C795" s="46" t="inlineStr">
        <is>
          <t>Strategy 4 – One-Shot + Template + BLUF</t>
        </is>
      </c>
      <c r="D795" s="75" t="inlineStr">
        <is>
          <t>SC04</t>
        </is>
      </c>
      <c r="E795" s="46" t="inlineStr">
        <is>
          <t>Zero-Day / Edge Device</t>
        </is>
      </c>
      <c r="F795" s="74" t="n"/>
    </row>
    <row r="796" ht="13.5" customHeight="1" s="38">
      <c r="A796" s="46" t="inlineStr">
        <is>
          <t>R_0793</t>
        </is>
      </c>
      <c r="B796" s="46" t="inlineStr">
        <is>
          <t>B_S2_SC03_I07</t>
        </is>
      </c>
      <c r="C796" s="46" t="inlineStr">
        <is>
          <t>Strategy 2 – Zero-Shot + Template + BLUF</t>
        </is>
      </c>
      <c r="D796" s="75" t="inlineStr">
        <is>
          <t>SC03</t>
        </is>
      </c>
      <c r="E796" s="46" t="inlineStr">
        <is>
          <t>Business Email Compromise</t>
        </is>
      </c>
      <c r="F796" s="74" t="n"/>
    </row>
    <row r="797" ht="13.5" customHeight="1" s="38">
      <c r="A797" s="46" t="inlineStr">
        <is>
          <t>R_0794</t>
        </is>
      </c>
      <c r="B797" s="46" t="inlineStr">
        <is>
          <t>R_S0_SC02_I09</t>
        </is>
      </c>
      <c r="C797" s="46" t="inlineStr">
        <is>
          <t>Baseline – Zero-Shot (minimal instruction)</t>
        </is>
      </c>
      <c r="D797" s="75" t="inlineStr">
        <is>
          <t>SC02</t>
        </is>
      </c>
      <c r="E797" s="46" t="inlineStr">
        <is>
          <t>Ransomware</t>
        </is>
      </c>
      <c r="F797" s="74" t="n"/>
    </row>
    <row r="798" ht="13.5" customHeight="1" s="38">
      <c r="A798" s="46" t="inlineStr">
        <is>
          <t>R_0795</t>
        </is>
      </c>
      <c r="B798" s="46" t="inlineStr">
        <is>
          <t>S_S4_SC05_I01</t>
        </is>
      </c>
      <c r="C798" s="46" t="inlineStr">
        <is>
          <t>Strategy 4 – One-Shot + Template + BLUF</t>
        </is>
      </c>
      <c r="D798" s="75" t="inlineStr">
        <is>
          <t>SC05</t>
        </is>
      </c>
      <c r="E798" s="46" t="inlineStr">
        <is>
          <t>Supply Chain</t>
        </is>
      </c>
      <c r="F798" s="74" t="n"/>
    </row>
    <row r="799" ht="13.5" customHeight="1" s="38">
      <c r="A799" s="46" t="inlineStr">
        <is>
          <t>R_0796</t>
        </is>
      </c>
      <c r="B799" s="46" t="inlineStr">
        <is>
          <t>S_S2_SC03_I06</t>
        </is>
      </c>
      <c r="C799" s="46" t="inlineStr">
        <is>
          <t>Strategy 2 – Zero-Shot + Template + BLUF</t>
        </is>
      </c>
      <c r="D799" s="75" t="inlineStr">
        <is>
          <t>SC03</t>
        </is>
      </c>
      <c r="E799" s="46" t="inlineStr">
        <is>
          <t>Supply Chain</t>
        </is>
      </c>
      <c r="F799" s="74" t="n"/>
    </row>
    <row r="800" ht="13.5" customHeight="1" s="38">
      <c r="A800" s="46" t="inlineStr">
        <is>
          <t>R_0797</t>
        </is>
      </c>
      <c r="B800" s="46" t="inlineStr">
        <is>
          <t>R_S3_SC05_I08</t>
        </is>
      </c>
      <c r="C800" s="46" t="inlineStr">
        <is>
          <t>Strategy 3 – One-Shot + Structured Template</t>
        </is>
      </c>
      <c r="D800" s="75" t="inlineStr">
        <is>
          <t>SC05</t>
        </is>
      </c>
      <c r="E800" s="46" t="inlineStr">
        <is>
          <t>Ransomware</t>
        </is>
      </c>
      <c r="F800" s="74" t="n"/>
    </row>
    <row r="801" ht="13.5" customHeight="1" s="38">
      <c r="A801" s="46" t="inlineStr">
        <is>
          <t>R_0798</t>
        </is>
      </c>
      <c r="B801" s="46" t="inlineStr">
        <is>
          <t>B_S3_SC05_I08</t>
        </is>
      </c>
      <c r="C801" s="46" t="inlineStr">
        <is>
          <t>Strategy 3 – One-Shot + Structured Template</t>
        </is>
      </c>
      <c r="D801" s="75" t="inlineStr">
        <is>
          <t>SC05</t>
        </is>
      </c>
      <c r="E801" s="46" t="inlineStr">
        <is>
          <t>Business Email Compromise</t>
        </is>
      </c>
      <c r="F801" s="74" t="n"/>
    </row>
    <row r="802" ht="13.5" customHeight="1" s="38">
      <c r="A802" s="46" t="inlineStr">
        <is>
          <t>R_0799</t>
        </is>
      </c>
      <c r="B802" s="46" t="inlineStr">
        <is>
          <t>B_S3_SC02_I06</t>
        </is>
      </c>
      <c r="C802" s="46" t="inlineStr">
        <is>
          <t>Strategy 3 – One-Shot + Structured Template</t>
        </is>
      </c>
      <c r="D802" s="75" t="inlineStr">
        <is>
          <t>SC02</t>
        </is>
      </c>
      <c r="E802" s="46" t="inlineStr">
        <is>
          <t>Business Email Compromise</t>
        </is>
      </c>
      <c r="F802" s="74" t="n"/>
    </row>
    <row r="803" ht="13.5" customHeight="1" s="38">
      <c r="A803" s="46" t="inlineStr">
        <is>
          <t>R_0800</t>
        </is>
      </c>
      <c r="B803" s="46" t="inlineStr">
        <is>
          <t>B_S2_SC02_I06</t>
        </is>
      </c>
      <c r="C803" s="46" t="inlineStr">
        <is>
          <t>Strategy 2 – Zero-Shot + Template + BLUF</t>
        </is>
      </c>
      <c r="D803" s="75" t="inlineStr">
        <is>
          <t>SC02</t>
        </is>
      </c>
      <c r="E803" s="46" t="inlineStr">
        <is>
          <t>Business Email Compromise</t>
        </is>
      </c>
      <c r="F803" s="74" t="n"/>
    </row>
    <row r="804" ht="13.5" customHeight="1" s="38">
      <c r="A804" s="46" t="inlineStr">
        <is>
          <t>R_0801</t>
        </is>
      </c>
      <c r="B804" s="46" t="inlineStr">
        <is>
          <t>Z_S3_SC03_I08</t>
        </is>
      </c>
      <c r="C804" s="46" t="inlineStr">
        <is>
          <t>Strategy 3 – One-Shot + Structured Template</t>
        </is>
      </c>
      <c r="D804" s="75" t="inlineStr">
        <is>
          <t>SC03</t>
        </is>
      </c>
      <c r="E804" s="46" t="inlineStr">
        <is>
          <t>Zero-Day / Edge Device</t>
        </is>
      </c>
      <c r="F804" s="74" t="n"/>
    </row>
    <row r="805" ht="13.5" customHeight="1" s="38">
      <c r="A805" s="46" t="inlineStr">
        <is>
          <t>R_0802</t>
        </is>
      </c>
      <c r="B805" s="46" t="inlineStr">
        <is>
          <t>B_S3_SC01_I07</t>
        </is>
      </c>
      <c r="C805" s="46" t="inlineStr">
        <is>
          <t>Strategy 3 – One-Shot + Structured Template</t>
        </is>
      </c>
      <c r="D805" s="75" t="inlineStr">
        <is>
          <t>SC01</t>
        </is>
      </c>
      <c r="E805" s="46" t="inlineStr">
        <is>
          <t>Business Email Compromise</t>
        </is>
      </c>
      <c r="F805" s="74" t="n"/>
    </row>
    <row r="806" ht="13.5" customHeight="1" s="38">
      <c r="A806" s="46" t="inlineStr">
        <is>
          <t>R_0803</t>
        </is>
      </c>
      <c r="B806" s="46" t="inlineStr">
        <is>
          <t>B_S0_SC01_I10</t>
        </is>
      </c>
      <c r="C806" s="46" t="inlineStr">
        <is>
          <t>Baseline – Zero-Shot (minimal instruction)</t>
        </is>
      </c>
      <c r="D806" s="75" t="inlineStr">
        <is>
          <t>SC01</t>
        </is>
      </c>
      <c r="E806" s="46" t="inlineStr">
        <is>
          <t>Business Email Compromise</t>
        </is>
      </c>
      <c r="F806" s="74" t="n"/>
    </row>
    <row r="807" ht="13.5" customHeight="1" s="38">
      <c r="A807" s="46" t="inlineStr">
        <is>
          <t>R_0804</t>
        </is>
      </c>
      <c r="B807" s="46" t="inlineStr">
        <is>
          <t>S_S0_SC04_I05</t>
        </is>
      </c>
      <c r="C807" s="46" t="inlineStr">
        <is>
          <t>Baseline – Zero-Shot (minimal instruction)</t>
        </is>
      </c>
      <c r="D807" s="75" t="inlineStr">
        <is>
          <t>SC04</t>
        </is>
      </c>
      <c r="E807" s="46" t="inlineStr">
        <is>
          <t>Supply Chain</t>
        </is>
      </c>
      <c r="F807" s="74" t="n"/>
    </row>
    <row r="808" ht="13.5" customHeight="1" s="38">
      <c r="A808" s="46" t="inlineStr">
        <is>
          <t>R_0805</t>
        </is>
      </c>
      <c r="B808" s="46" t="inlineStr">
        <is>
          <t>R_S2_SC05_I10</t>
        </is>
      </c>
      <c r="C808" s="46" t="inlineStr">
        <is>
          <t>Strategy 2 – Zero-Shot + Template + BLUF</t>
        </is>
      </c>
      <c r="D808" s="75" t="inlineStr">
        <is>
          <t>SC05</t>
        </is>
      </c>
      <c r="E808" s="46" t="inlineStr">
        <is>
          <t>Ransomware</t>
        </is>
      </c>
      <c r="F808" s="74" t="n"/>
    </row>
    <row r="809" ht="13.5" customHeight="1" s="38">
      <c r="A809" s="46" t="inlineStr">
        <is>
          <t>R_0806</t>
        </is>
      </c>
      <c r="B809" s="46" t="inlineStr">
        <is>
          <t>Z_S0_SC01_I07</t>
        </is>
      </c>
      <c r="C809" s="46" t="inlineStr">
        <is>
          <t>Baseline – Zero-Shot (minimal instruction)</t>
        </is>
      </c>
      <c r="D809" s="75" t="inlineStr">
        <is>
          <t>SC01</t>
        </is>
      </c>
      <c r="E809" s="46" t="inlineStr">
        <is>
          <t>Zero-Day / Edge Device</t>
        </is>
      </c>
      <c r="F809" s="74" t="n"/>
    </row>
    <row r="810" ht="13.5" customHeight="1" s="38">
      <c r="A810" s="46" t="inlineStr">
        <is>
          <t>R_0807</t>
        </is>
      </c>
      <c r="B810" s="46" t="inlineStr">
        <is>
          <t>B_S1_SC02_I02</t>
        </is>
      </c>
      <c r="C810" s="46" t="inlineStr">
        <is>
          <t>Strategy 1 – Zero-Shot + Structured Template</t>
        </is>
      </c>
      <c r="D810" s="75" t="inlineStr">
        <is>
          <t>SC02</t>
        </is>
      </c>
      <c r="E810" s="46" t="inlineStr">
        <is>
          <t>Business Email Compromise</t>
        </is>
      </c>
      <c r="F810" s="74" t="n"/>
    </row>
    <row r="811" ht="13.5" customHeight="1" s="38">
      <c r="A811" s="46" t="inlineStr">
        <is>
          <t>R_0808</t>
        </is>
      </c>
      <c r="B811" s="46" t="inlineStr">
        <is>
          <t>S_S2_SC05_I04</t>
        </is>
      </c>
      <c r="C811" s="46" t="inlineStr">
        <is>
          <t>Strategy 2 – Zero-Shot + Template + BLUF</t>
        </is>
      </c>
      <c r="D811" s="75" t="inlineStr">
        <is>
          <t>SC05</t>
        </is>
      </c>
      <c r="E811" s="46" t="inlineStr">
        <is>
          <t>Supply Chain</t>
        </is>
      </c>
      <c r="F811" s="74" t="n"/>
    </row>
    <row r="812" ht="13.5" customHeight="1" s="38">
      <c r="A812" s="46" t="inlineStr">
        <is>
          <t>R_0809</t>
        </is>
      </c>
      <c r="B812" s="46" t="inlineStr">
        <is>
          <t>B_S1_SC05_I04</t>
        </is>
      </c>
      <c r="C812" s="46" t="inlineStr">
        <is>
          <t>Strategy 1 – Zero-Shot + Structured Template</t>
        </is>
      </c>
      <c r="D812" s="75" t="inlineStr">
        <is>
          <t>SC05</t>
        </is>
      </c>
      <c r="E812" s="46" t="inlineStr">
        <is>
          <t>Business Email Compromise</t>
        </is>
      </c>
      <c r="F812" s="74" t="n"/>
    </row>
    <row r="813" ht="13.5" customHeight="1" s="38">
      <c r="A813" s="46" t="inlineStr">
        <is>
          <t>R_0810</t>
        </is>
      </c>
      <c r="B813" s="46" t="inlineStr">
        <is>
          <t>S_S1_SC03_I01</t>
        </is>
      </c>
      <c r="C813" s="46" t="inlineStr">
        <is>
          <t>Strategy 1 – Zero-Shot + Structured Template</t>
        </is>
      </c>
      <c r="D813" s="75" t="inlineStr">
        <is>
          <t>SC03</t>
        </is>
      </c>
      <c r="E813" s="46" t="inlineStr">
        <is>
          <t>Supply Chain</t>
        </is>
      </c>
      <c r="F813" s="74" t="n"/>
    </row>
    <row r="814" ht="13.5" customHeight="1" s="38">
      <c r="A814" s="46" t="inlineStr">
        <is>
          <t>R_0811</t>
        </is>
      </c>
      <c r="B814" s="46" t="inlineStr">
        <is>
          <t>R_S4_SC01_I06</t>
        </is>
      </c>
      <c r="C814" s="46" t="inlineStr">
        <is>
          <t>Strategy 4 – One-Shot + Template + BLUF</t>
        </is>
      </c>
      <c r="D814" s="75" t="inlineStr">
        <is>
          <t>SC01</t>
        </is>
      </c>
      <c r="E814" s="46" t="inlineStr">
        <is>
          <t>Ransomware</t>
        </is>
      </c>
      <c r="F814" s="74" t="n"/>
    </row>
    <row r="815" ht="13.5" customHeight="1" s="38">
      <c r="A815" s="46" t="inlineStr">
        <is>
          <t>R_0812</t>
        </is>
      </c>
      <c r="B815" s="46" t="inlineStr">
        <is>
          <t>R_S4_SC05_I06</t>
        </is>
      </c>
      <c r="C815" s="46" t="inlineStr">
        <is>
          <t>Strategy 4 – One-Shot + Template + BLUF</t>
        </is>
      </c>
      <c r="D815" s="75" t="inlineStr">
        <is>
          <t>SC05</t>
        </is>
      </c>
      <c r="E815" s="46" t="inlineStr">
        <is>
          <t>Ransomware</t>
        </is>
      </c>
      <c r="F815" s="74" t="n"/>
    </row>
    <row r="816" ht="13.5" customHeight="1" s="38">
      <c r="A816" s="46" t="inlineStr">
        <is>
          <t>R_0813</t>
        </is>
      </c>
      <c r="B816" s="46" t="inlineStr">
        <is>
          <t>R_S4_SC01_I01</t>
        </is>
      </c>
      <c r="C816" s="46" t="inlineStr">
        <is>
          <t>Strategy 4 – One-Shot + Template + BLUF</t>
        </is>
      </c>
      <c r="D816" s="75" t="inlineStr">
        <is>
          <t>SC01</t>
        </is>
      </c>
      <c r="E816" s="46" t="inlineStr">
        <is>
          <t>Ransomware</t>
        </is>
      </c>
      <c r="F816" s="74" t="n"/>
    </row>
    <row r="817" ht="13.5" customHeight="1" s="38">
      <c r="A817" s="46" t="inlineStr">
        <is>
          <t>R_0814</t>
        </is>
      </c>
      <c r="B817" s="46" t="inlineStr">
        <is>
          <t>B_S0_SC02_I09</t>
        </is>
      </c>
      <c r="C817" s="46" t="inlineStr">
        <is>
          <t>Baseline – Zero-Shot (minimal instruction)</t>
        </is>
      </c>
      <c r="D817" s="75" t="inlineStr">
        <is>
          <t>SC02</t>
        </is>
      </c>
      <c r="E817" s="46" t="inlineStr">
        <is>
          <t>Business Email Compromise</t>
        </is>
      </c>
      <c r="F817" s="74" t="n"/>
    </row>
    <row r="818" ht="13.5" customHeight="1" s="38">
      <c r="A818" s="46" t="inlineStr">
        <is>
          <t>R_0815</t>
        </is>
      </c>
      <c r="B818" s="46" t="inlineStr">
        <is>
          <t>R_S1_SC04_I02</t>
        </is>
      </c>
      <c r="C818" s="46" t="inlineStr">
        <is>
          <t>Strategy 1 – Zero-Shot + Structured Template</t>
        </is>
      </c>
      <c r="D818" s="75" t="inlineStr">
        <is>
          <t>SC04</t>
        </is>
      </c>
      <c r="E818" s="46" t="inlineStr">
        <is>
          <t>Ransomware</t>
        </is>
      </c>
      <c r="F818" s="74" t="n"/>
    </row>
    <row r="819" ht="13.5" customHeight="1" s="38">
      <c r="A819" s="46" t="inlineStr">
        <is>
          <t>R_0816</t>
        </is>
      </c>
      <c r="B819" s="46" t="inlineStr">
        <is>
          <t>B_S0_SC05_I05</t>
        </is>
      </c>
      <c r="C819" s="46" t="inlineStr">
        <is>
          <t>Baseline – Zero-Shot (minimal instruction)</t>
        </is>
      </c>
      <c r="D819" s="75" t="inlineStr">
        <is>
          <t>SC05</t>
        </is>
      </c>
      <c r="E819" s="46" t="inlineStr">
        <is>
          <t>Business Email Compromise</t>
        </is>
      </c>
      <c r="F819" s="74" t="n"/>
    </row>
    <row r="820" ht="13.5" customHeight="1" s="38">
      <c r="A820" s="46" t="inlineStr">
        <is>
          <t>R_0817</t>
        </is>
      </c>
      <c r="B820" s="46" t="inlineStr">
        <is>
          <t>R_S3_SC01_I05</t>
        </is>
      </c>
      <c r="C820" s="46" t="inlineStr">
        <is>
          <t>Strategy 3 – One-Shot + Structured Template</t>
        </is>
      </c>
      <c r="D820" s="75" t="inlineStr">
        <is>
          <t>SC01</t>
        </is>
      </c>
      <c r="E820" s="46" t="inlineStr">
        <is>
          <t>Ransomware</t>
        </is>
      </c>
      <c r="F820" s="74" t="n"/>
    </row>
    <row r="821" ht="13.5" customHeight="1" s="38">
      <c r="A821" s="46" t="inlineStr">
        <is>
          <t>R_0818</t>
        </is>
      </c>
      <c r="B821" s="46" t="inlineStr">
        <is>
          <t>B_S2_SC02_I10</t>
        </is>
      </c>
      <c r="C821" s="46" t="inlineStr">
        <is>
          <t>Strategy 2 – Zero-Shot + Template + BLUF</t>
        </is>
      </c>
      <c r="D821" s="75" t="inlineStr">
        <is>
          <t>SC02</t>
        </is>
      </c>
      <c r="E821" s="46" t="inlineStr">
        <is>
          <t>Business Email Compromise</t>
        </is>
      </c>
      <c r="F821" s="74" t="n"/>
    </row>
    <row r="822" ht="13.5" customHeight="1" s="38">
      <c r="A822" s="46" t="inlineStr">
        <is>
          <t>R_0819</t>
        </is>
      </c>
      <c r="B822" s="46" t="inlineStr">
        <is>
          <t>S_S0_SC05_I08</t>
        </is>
      </c>
      <c r="C822" s="46" t="inlineStr">
        <is>
          <t>Baseline – Zero-Shot (minimal instruction)</t>
        </is>
      </c>
      <c r="D822" s="75" t="inlineStr">
        <is>
          <t>SC05</t>
        </is>
      </c>
      <c r="E822" s="46" t="inlineStr">
        <is>
          <t>Supply Chain</t>
        </is>
      </c>
      <c r="F822" s="74" t="n"/>
    </row>
    <row r="823" ht="13.5" customHeight="1" s="38">
      <c r="A823" s="46" t="inlineStr">
        <is>
          <t>R_0820</t>
        </is>
      </c>
      <c r="B823" s="46" t="inlineStr">
        <is>
          <t>R_S3_SC05_I07</t>
        </is>
      </c>
      <c r="C823" s="46" t="inlineStr">
        <is>
          <t>Strategy 3 – One-Shot + Structured Template</t>
        </is>
      </c>
      <c r="D823" s="75" t="inlineStr">
        <is>
          <t>SC05</t>
        </is>
      </c>
      <c r="E823" s="46" t="inlineStr">
        <is>
          <t>Ransomware</t>
        </is>
      </c>
      <c r="F823" s="74" t="n"/>
    </row>
    <row r="824" ht="13.5" customHeight="1" s="38">
      <c r="A824" s="46" t="inlineStr">
        <is>
          <t>R_0821</t>
        </is>
      </c>
      <c r="B824" s="46" t="inlineStr">
        <is>
          <t>R_S1_SC02_I03</t>
        </is>
      </c>
      <c r="C824" s="46" t="inlineStr">
        <is>
          <t>Strategy 1 – Zero-Shot + Structured Template</t>
        </is>
      </c>
      <c r="D824" s="75" t="inlineStr">
        <is>
          <t>SC02</t>
        </is>
      </c>
      <c r="E824" s="46" t="inlineStr">
        <is>
          <t>Ransomware</t>
        </is>
      </c>
      <c r="F824" s="74" t="n"/>
    </row>
    <row r="825" ht="13.5" customHeight="1" s="38">
      <c r="A825" s="46" t="inlineStr">
        <is>
          <t>R_0822</t>
        </is>
      </c>
      <c r="B825" s="46" t="inlineStr">
        <is>
          <t>S_S1_SC04_I10</t>
        </is>
      </c>
      <c r="C825" s="46" t="inlineStr">
        <is>
          <t>Strategy 1 – Zero-Shot + Structured Template</t>
        </is>
      </c>
      <c r="D825" s="75" t="inlineStr">
        <is>
          <t>SC04</t>
        </is>
      </c>
      <c r="E825" s="46" t="inlineStr">
        <is>
          <t>Supply Chain</t>
        </is>
      </c>
      <c r="F825" s="74" t="n"/>
    </row>
    <row r="826" ht="13.5" customHeight="1" s="38">
      <c r="A826" s="46" t="inlineStr">
        <is>
          <t>R_0823</t>
        </is>
      </c>
      <c r="B826" s="46" t="inlineStr">
        <is>
          <t>B_S3_SC05_I01</t>
        </is>
      </c>
      <c r="C826" s="46" t="inlineStr">
        <is>
          <t>Strategy 3 – One-Shot + Structured Template</t>
        </is>
      </c>
      <c r="D826" s="75" t="inlineStr">
        <is>
          <t>SC05</t>
        </is>
      </c>
      <c r="E826" s="46" t="inlineStr">
        <is>
          <t>Business Email Compromise</t>
        </is>
      </c>
      <c r="F826" s="74" t="n"/>
    </row>
    <row r="827" ht="13.5" customHeight="1" s="38">
      <c r="A827" s="46" t="inlineStr">
        <is>
          <t>R_0824</t>
        </is>
      </c>
      <c r="B827" s="46" t="inlineStr">
        <is>
          <t>S_S0_SC03_I02</t>
        </is>
      </c>
      <c r="C827" s="46" t="inlineStr">
        <is>
          <t>Baseline – Zero-Shot (minimal instruction)</t>
        </is>
      </c>
      <c r="D827" s="75" t="inlineStr">
        <is>
          <t>SC03</t>
        </is>
      </c>
      <c r="E827" s="46" t="inlineStr">
        <is>
          <t>Supply Chain</t>
        </is>
      </c>
      <c r="F827" s="74" t="n"/>
    </row>
    <row r="828" ht="13.5" customHeight="1" s="38">
      <c r="A828" s="46" t="inlineStr">
        <is>
          <t>R_0825</t>
        </is>
      </c>
      <c r="B828" s="46" t="inlineStr">
        <is>
          <t>S_S4_SC04_I06</t>
        </is>
      </c>
      <c r="C828" s="46" t="inlineStr">
        <is>
          <t>Strategy 4 – One-Shot + Template + BLUF</t>
        </is>
      </c>
      <c r="D828" s="75" t="inlineStr">
        <is>
          <t>SC04</t>
        </is>
      </c>
      <c r="E828" s="46" t="inlineStr">
        <is>
          <t>Supply Chain</t>
        </is>
      </c>
      <c r="F828" s="74" t="n"/>
    </row>
    <row r="829" ht="13.5" customHeight="1" s="38">
      <c r="A829" s="46" t="inlineStr">
        <is>
          <t>R_0826</t>
        </is>
      </c>
      <c r="B829" s="46" t="inlineStr">
        <is>
          <t>B_S4_SC03_I05</t>
        </is>
      </c>
      <c r="C829" s="46" t="inlineStr">
        <is>
          <t>Strategy 4 – One-Shot + Template + BLUF</t>
        </is>
      </c>
      <c r="D829" s="75" t="inlineStr">
        <is>
          <t>SC03</t>
        </is>
      </c>
      <c r="E829" s="46" t="inlineStr">
        <is>
          <t>Business Email Compromise</t>
        </is>
      </c>
      <c r="F829" s="74" t="n"/>
    </row>
    <row r="830" ht="13.5" customHeight="1" s="38">
      <c r="A830" s="46" t="inlineStr">
        <is>
          <t>R_0827</t>
        </is>
      </c>
      <c r="B830" s="46" t="inlineStr">
        <is>
          <t>B_S4_SC01_I06</t>
        </is>
      </c>
      <c r="C830" s="46" t="inlineStr">
        <is>
          <t>Strategy 4 – One-Shot + Template + BLUF</t>
        </is>
      </c>
      <c r="D830" s="75" t="inlineStr">
        <is>
          <t>SC01</t>
        </is>
      </c>
      <c r="E830" s="46" t="inlineStr">
        <is>
          <t>Business Email Compromise</t>
        </is>
      </c>
      <c r="F830" s="74" t="n"/>
    </row>
    <row r="831" ht="13.5" customHeight="1" s="38">
      <c r="A831" s="46" t="inlineStr">
        <is>
          <t>R_0828</t>
        </is>
      </c>
      <c r="B831" s="46" t="inlineStr">
        <is>
          <t>Z_S1_SC01_I05</t>
        </is>
      </c>
      <c r="C831" s="46" t="inlineStr">
        <is>
          <t>Strategy 1 – Zero-Shot + Structured Template</t>
        </is>
      </c>
      <c r="D831" s="75" t="inlineStr">
        <is>
          <t>SC01</t>
        </is>
      </c>
      <c r="E831" s="46" t="inlineStr">
        <is>
          <t>Zero-Day / Edge Device</t>
        </is>
      </c>
      <c r="F831" s="74" t="n"/>
    </row>
    <row r="832" ht="13.5" customHeight="1" s="38">
      <c r="A832" s="46" t="inlineStr">
        <is>
          <t>R_0829</t>
        </is>
      </c>
      <c r="B832" s="46" t="inlineStr">
        <is>
          <t>B_S4_SC03_I09</t>
        </is>
      </c>
      <c r="C832" s="46" t="inlineStr">
        <is>
          <t>Strategy 4 – One-Shot + Template + BLUF</t>
        </is>
      </c>
      <c r="D832" s="75" t="inlineStr">
        <is>
          <t>SC03</t>
        </is>
      </c>
      <c r="E832" s="46" t="inlineStr">
        <is>
          <t>Business Email Compromise</t>
        </is>
      </c>
      <c r="F832" s="74" t="n"/>
    </row>
    <row r="833" ht="13.5" customHeight="1" s="38">
      <c r="A833" s="46" t="inlineStr">
        <is>
          <t>R_0830</t>
        </is>
      </c>
      <c r="B833" s="46" t="inlineStr">
        <is>
          <t>B_S1_SC03_I10</t>
        </is>
      </c>
      <c r="C833" s="46" t="inlineStr">
        <is>
          <t>Strategy 1 – Zero-Shot + Structured Template</t>
        </is>
      </c>
      <c r="D833" s="75" t="inlineStr">
        <is>
          <t>SC03</t>
        </is>
      </c>
      <c r="E833" s="46" t="inlineStr">
        <is>
          <t>Business Email Compromise</t>
        </is>
      </c>
      <c r="F833" s="74" t="n"/>
    </row>
    <row r="834" ht="13.5" customHeight="1" s="38">
      <c r="A834" s="46" t="inlineStr">
        <is>
          <t>R_0831</t>
        </is>
      </c>
      <c r="B834" s="46" t="inlineStr">
        <is>
          <t>B_S0_SC04_I03</t>
        </is>
      </c>
      <c r="C834" s="46" t="inlineStr">
        <is>
          <t>Baseline – Zero-Shot (minimal instruction)</t>
        </is>
      </c>
      <c r="D834" s="75" t="inlineStr">
        <is>
          <t>SC04</t>
        </is>
      </c>
      <c r="E834" s="46" t="inlineStr">
        <is>
          <t>Business Email Compromise</t>
        </is>
      </c>
      <c r="F834" s="74" t="n"/>
    </row>
    <row r="835" ht="13.5" customHeight="1" s="38">
      <c r="A835" s="46" t="inlineStr">
        <is>
          <t>R_0832</t>
        </is>
      </c>
      <c r="B835" s="46" t="inlineStr">
        <is>
          <t>B_S2_SC05_I09</t>
        </is>
      </c>
      <c r="C835" s="46" t="inlineStr">
        <is>
          <t>Strategy 2 – Zero-Shot + Template + BLUF</t>
        </is>
      </c>
      <c r="D835" s="75" t="inlineStr">
        <is>
          <t>SC05</t>
        </is>
      </c>
      <c r="E835" s="46" t="inlineStr">
        <is>
          <t>Business Email Compromise</t>
        </is>
      </c>
      <c r="F835" s="74" t="n"/>
    </row>
    <row r="836" ht="13.5" customHeight="1" s="38">
      <c r="A836" s="46" t="inlineStr">
        <is>
          <t>R_0833</t>
        </is>
      </c>
      <c r="B836" s="46" t="inlineStr">
        <is>
          <t>Z_S0_SC01_I06</t>
        </is>
      </c>
      <c r="C836" s="46" t="inlineStr">
        <is>
          <t>Baseline – Zero-Shot (minimal instruction)</t>
        </is>
      </c>
      <c r="D836" s="75" t="inlineStr">
        <is>
          <t>SC01</t>
        </is>
      </c>
      <c r="E836" s="46" t="inlineStr">
        <is>
          <t>Zero-Day / Edge Device</t>
        </is>
      </c>
      <c r="F836" s="74" t="n"/>
    </row>
    <row r="837" ht="13.5" customHeight="1" s="38">
      <c r="A837" s="46" t="inlineStr">
        <is>
          <t>R_0834</t>
        </is>
      </c>
      <c r="B837" s="46" t="inlineStr">
        <is>
          <t>R_S0_SC01_I10</t>
        </is>
      </c>
      <c r="C837" s="46" t="inlineStr">
        <is>
          <t>Baseline – Zero-Shot (minimal instruction)</t>
        </is>
      </c>
      <c r="D837" s="75" t="inlineStr">
        <is>
          <t>SC01</t>
        </is>
      </c>
      <c r="E837" s="46" t="inlineStr">
        <is>
          <t>Ransomware</t>
        </is>
      </c>
      <c r="F837" s="74" t="n"/>
    </row>
    <row r="838" ht="13.5" customHeight="1" s="38">
      <c r="A838" s="46" t="inlineStr">
        <is>
          <t>R_0835</t>
        </is>
      </c>
      <c r="B838" s="46" t="inlineStr">
        <is>
          <t>B_S2_SC04_I06</t>
        </is>
      </c>
      <c r="C838" s="46" t="inlineStr">
        <is>
          <t>Strategy 2 – Zero-Shot + Template + BLUF</t>
        </is>
      </c>
      <c r="D838" s="75" t="inlineStr">
        <is>
          <t>SC04</t>
        </is>
      </c>
      <c r="E838" s="46" t="inlineStr">
        <is>
          <t>Business Email Compromise</t>
        </is>
      </c>
      <c r="F838" s="74" t="n"/>
    </row>
    <row r="839" ht="13.5" customHeight="1" s="38">
      <c r="A839" s="46" t="inlineStr">
        <is>
          <t>R_0836</t>
        </is>
      </c>
      <c r="B839" s="46" t="inlineStr">
        <is>
          <t>B_S2_SC03_I06</t>
        </is>
      </c>
      <c r="C839" s="46" t="inlineStr">
        <is>
          <t>Strategy 2 – Zero-Shot + Template + BLUF</t>
        </is>
      </c>
      <c r="D839" s="75" t="inlineStr">
        <is>
          <t>SC03</t>
        </is>
      </c>
      <c r="E839" s="46" t="inlineStr">
        <is>
          <t>Business Email Compromise</t>
        </is>
      </c>
      <c r="F839" s="74" t="n"/>
    </row>
    <row r="840" ht="13.5" customHeight="1" s="38">
      <c r="A840" s="46" t="inlineStr">
        <is>
          <t>R_0837</t>
        </is>
      </c>
      <c r="B840" s="46" t="inlineStr">
        <is>
          <t>B_S2_SC05_I05</t>
        </is>
      </c>
      <c r="C840" s="46" t="inlineStr">
        <is>
          <t>Strategy 2 – Zero-Shot + Template + BLUF</t>
        </is>
      </c>
      <c r="D840" s="75" t="inlineStr">
        <is>
          <t>SC05</t>
        </is>
      </c>
      <c r="E840" s="46" t="inlineStr">
        <is>
          <t>Business Email Compromise</t>
        </is>
      </c>
      <c r="F840" s="74" t="n"/>
    </row>
    <row r="841" ht="13.5" customHeight="1" s="38">
      <c r="A841" s="46" t="inlineStr">
        <is>
          <t>R_0838</t>
        </is>
      </c>
      <c r="B841" s="46" t="inlineStr">
        <is>
          <t>S_S0_SC02_I07</t>
        </is>
      </c>
      <c r="C841" s="46" t="inlineStr">
        <is>
          <t>Baseline – Zero-Shot (minimal instruction)</t>
        </is>
      </c>
      <c r="D841" s="75" t="inlineStr">
        <is>
          <t>SC02</t>
        </is>
      </c>
      <c r="E841" s="46" t="inlineStr">
        <is>
          <t>Supply Chain</t>
        </is>
      </c>
      <c r="F841" s="74" t="n"/>
    </row>
    <row r="842" ht="13.5" customHeight="1" s="38">
      <c r="A842" s="46" t="inlineStr">
        <is>
          <t>R_0839</t>
        </is>
      </c>
      <c r="B842" s="46" t="inlineStr">
        <is>
          <t>S_S0_SC04_I01</t>
        </is>
      </c>
      <c r="C842" s="46" t="inlineStr">
        <is>
          <t>Baseline – Zero-Shot (minimal instruction)</t>
        </is>
      </c>
      <c r="D842" s="75" t="inlineStr">
        <is>
          <t>SC04</t>
        </is>
      </c>
      <c r="E842" s="46" t="inlineStr">
        <is>
          <t>Supply Chain</t>
        </is>
      </c>
      <c r="F842" s="74" t="n"/>
    </row>
    <row r="843" ht="13.5" customHeight="1" s="38">
      <c r="A843" s="46" t="inlineStr">
        <is>
          <t>R_0840</t>
        </is>
      </c>
      <c r="B843" s="46" t="inlineStr">
        <is>
          <t>B_S0_SC04_I08</t>
        </is>
      </c>
      <c r="C843" s="46" t="inlineStr">
        <is>
          <t>Baseline – Zero-Shot (minimal instruction)</t>
        </is>
      </c>
      <c r="D843" s="75" t="inlineStr">
        <is>
          <t>SC04</t>
        </is>
      </c>
      <c r="E843" s="46" t="inlineStr">
        <is>
          <t>Business Email Compromise</t>
        </is>
      </c>
      <c r="F843" s="74" t="n"/>
    </row>
    <row r="844" ht="13.5" customHeight="1" s="38">
      <c r="A844" s="46" t="inlineStr">
        <is>
          <t>R_0841</t>
        </is>
      </c>
      <c r="B844" s="46" t="inlineStr">
        <is>
          <t>R_S1_SC02_I07</t>
        </is>
      </c>
      <c r="C844" s="46" t="inlineStr">
        <is>
          <t>Strategy 1 – Zero-Shot + Structured Template</t>
        </is>
      </c>
      <c r="D844" s="75" t="inlineStr">
        <is>
          <t>SC02</t>
        </is>
      </c>
      <c r="E844" s="46" t="inlineStr">
        <is>
          <t>Ransomware</t>
        </is>
      </c>
      <c r="F844" s="74" t="n"/>
    </row>
    <row r="845" ht="13.5" customHeight="1" s="38">
      <c r="A845" s="46" t="inlineStr">
        <is>
          <t>R_0842</t>
        </is>
      </c>
      <c r="B845" s="46" t="inlineStr">
        <is>
          <t>S_S4_SC04_I08</t>
        </is>
      </c>
      <c r="C845" s="46" t="inlineStr">
        <is>
          <t>Strategy 4 – One-Shot + Template + BLUF</t>
        </is>
      </c>
      <c r="D845" s="75" t="inlineStr">
        <is>
          <t>SC04</t>
        </is>
      </c>
      <c r="E845" s="46" t="inlineStr">
        <is>
          <t>Supply Chain</t>
        </is>
      </c>
      <c r="F845" s="74" t="n"/>
    </row>
    <row r="846" ht="13.5" customHeight="1" s="38">
      <c r="A846" s="46" t="inlineStr">
        <is>
          <t>R_0843</t>
        </is>
      </c>
      <c r="B846" s="46" t="inlineStr">
        <is>
          <t>R_S4_SC04_I09</t>
        </is>
      </c>
      <c r="C846" s="46" t="inlineStr">
        <is>
          <t>Strategy 4 – One-Shot + Template + BLUF</t>
        </is>
      </c>
      <c r="D846" s="75" t="inlineStr">
        <is>
          <t>SC04</t>
        </is>
      </c>
      <c r="E846" s="46" t="inlineStr">
        <is>
          <t>Ransomware</t>
        </is>
      </c>
      <c r="F846" s="74" t="n"/>
    </row>
    <row r="847" ht="13.5" customHeight="1" s="38">
      <c r="A847" s="46" t="inlineStr">
        <is>
          <t>R_0844</t>
        </is>
      </c>
      <c r="B847" s="46" t="inlineStr">
        <is>
          <t>S_S3_SC05_I04</t>
        </is>
      </c>
      <c r="C847" s="46" t="inlineStr">
        <is>
          <t>Strategy 3 – One-Shot + Structured Template</t>
        </is>
      </c>
      <c r="D847" s="75" t="inlineStr">
        <is>
          <t>SC05</t>
        </is>
      </c>
      <c r="E847" s="46" t="inlineStr">
        <is>
          <t>Supply Chain</t>
        </is>
      </c>
      <c r="F847" s="74" t="n"/>
    </row>
    <row r="848" ht="13.5" customHeight="1" s="38">
      <c r="A848" s="46" t="inlineStr">
        <is>
          <t>R_0845</t>
        </is>
      </c>
      <c r="B848" s="46" t="inlineStr">
        <is>
          <t>R_S4_SC04_I03</t>
        </is>
      </c>
      <c r="C848" s="46" t="inlineStr">
        <is>
          <t>Strategy 4 – One-Shot + Template + BLUF</t>
        </is>
      </c>
      <c r="D848" s="75" t="inlineStr">
        <is>
          <t>SC04</t>
        </is>
      </c>
      <c r="E848" s="46" t="inlineStr">
        <is>
          <t>Ransomware</t>
        </is>
      </c>
      <c r="F848" s="74" t="n"/>
    </row>
    <row r="849" ht="13.5" customHeight="1" s="38">
      <c r="A849" s="46" t="inlineStr">
        <is>
          <t>R_0846</t>
        </is>
      </c>
      <c r="B849" s="46" t="inlineStr">
        <is>
          <t>S_S0_SC03_I06</t>
        </is>
      </c>
      <c r="C849" s="46" t="inlineStr">
        <is>
          <t>Baseline – Zero-Shot (minimal instruction)</t>
        </is>
      </c>
      <c r="D849" s="75" t="inlineStr">
        <is>
          <t>SC03</t>
        </is>
      </c>
      <c r="E849" s="46" t="inlineStr">
        <is>
          <t>Supply Chain</t>
        </is>
      </c>
      <c r="F849" s="74" t="n"/>
    </row>
    <row r="850" ht="13.5" customHeight="1" s="38">
      <c r="A850" s="46" t="inlineStr">
        <is>
          <t>R_0847</t>
        </is>
      </c>
      <c r="B850" s="46" t="inlineStr">
        <is>
          <t>Z_S2_SC04_I02</t>
        </is>
      </c>
      <c r="C850" s="46" t="inlineStr">
        <is>
          <t>Strategy 2 – Zero-Shot + Template + BLUF</t>
        </is>
      </c>
      <c r="D850" s="75" t="inlineStr">
        <is>
          <t>SC04</t>
        </is>
      </c>
      <c r="E850" s="46" t="inlineStr">
        <is>
          <t>Zero-Day / Edge Device</t>
        </is>
      </c>
      <c r="F850" s="74" t="n"/>
    </row>
    <row r="851" ht="13.5" customHeight="1" s="38">
      <c r="A851" s="46" t="inlineStr">
        <is>
          <t>R_0848</t>
        </is>
      </c>
      <c r="B851" s="46" t="inlineStr">
        <is>
          <t>Z_S0_SC05_I09</t>
        </is>
      </c>
      <c r="C851" s="46" t="inlineStr">
        <is>
          <t>Baseline – Zero-Shot (minimal instruction)</t>
        </is>
      </c>
      <c r="D851" s="75" t="inlineStr">
        <is>
          <t>SC05</t>
        </is>
      </c>
      <c r="E851" s="46" t="inlineStr">
        <is>
          <t>Zero-Day / Edge Device</t>
        </is>
      </c>
      <c r="F851" s="74" t="n"/>
    </row>
    <row r="852" ht="13.5" customHeight="1" s="38">
      <c r="A852" s="46" t="inlineStr">
        <is>
          <t>R_0849</t>
        </is>
      </c>
      <c r="B852" s="46" t="inlineStr">
        <is>
          <t>R_S4_SC01_I03</t>
        </is>
      </c>
      <c r="C852" s="46" t="inlineStr">
        <is>
          <t>Strategy 4 – One-Shot + Template + BLUF</t>
        </is>
      </c>
      <c r="D852" s="75" t="inlineStr">
        <is>
          <t>SC01</t>
        </is>
      </c>
      <c r="E852" s="46" t="inlineStr">
        <is>
          <t>Ransomware</t>
        </is>
      </c>
      <c r="F852" s="74" t="n"/>
    </row>
    <row r="853" ht="13.5" customHeight="1" s="38">
      <c r="A853" s="46" t="inlineStr">
        <is>
          <t>R_0850</t>
        </is>
      </c>
      <c r="B853" s="46" t="inlineStr">
        <is>
          <t>Z_S4_SC05_I05</t>
        </is>
      </c>
      <c r="C853" s="46" t="inlineStr">
        <is>
          <t>Strategy 4 – One-Shot + Template + BLUF</t>
        </is>
      </c>
      <c r="D853" s="75" t="inlineStr">
        <is>
          <t>SC05</t>
        </is>
      </c>
      <c r="E853" s="46" t="inlineStr">
        <is>
          <t>Zero-Day / Edge Device</t>
        </is>
      </c>
      <c r="F853" s="74" t="n"/>
    </row>
    <row r="854" ht="13.5" customHeight="1" s="38">
      <c r="A854" s="46" t="inlineStr">
        <is>
          <t>R_0851</t>
        </is>
      </c>
      <c r="B854" s="46" t="inlineStr">
        <is>
          <t>Z_S0_SC05_I03</t>
        </is>
      </c>
      <c r="C854" s="46" t="inlineStr">
        <is>
          <t>Baseline – Zero-Shot (minimal instruction)</t>
        </is>
      </c>
      <c r="D854" s="75" t="inlineStr">
        <is>
          <t>SC05</t>
        </is>
      </c>
      <c r="E854" s="46" t="inlineStr">
        <is>
          <t>Zero-Day / Edge Device</t>
        </is>
      </c>
      <c r="F854" s="74" t="n"/>
    </row>
    <row r="855" ht="13.5" customHeight="1" s="38">
      <c r="A855" s="46" t="inlineStr">
        <is>
          <t>R_0852</t>
        </is>
      </c>
      <c r="B855" s="46" t="inlineStr">
        <is>
          <t>R_S2_SC03_I03</t>
        </is>
      </c>
      <c r="C855" s="46" t="inlineStr">
        <is>
          <t>Strategy 2 – Zero-Shot + Template + BLUF</t>
        </is>
      </c>
      <c r="D855" s="75" t="inlineStr">
        <is>
          <t>SC03</t>
        </is>
      </c>
      <c r="E855" s="46" t="inlineStr">
        <is>
          <t>Ransomware</t>
        </is>
      </c>
      <c r="F855" s="74" t="n"/>
    </row>
    <row r="856" ht="13.5" customHeight="1" s="38">
      <c r="A856" s="46" t="inlineStr">
        <is>
          <t>R_0853</t>
        </is>
      </c>
      <c r="B856" s="46" t="inlineStr">
        <is>
          <t>S_S1_SC03_I06</t>
        </is>
      </c>
      <c r="C856" s="46" t="inlineStr">
        <is>
          <t>Strategy 1 – Zero-Shot + Structured Template</t>
        </is>
      </c>
      <c r="D856" s="75" t="inlineStr">
        <is>
          <t>SC03</t>
        </is>
      </c>
      <c r="E856" s="46" t="inlineStr">
        <is>
          <t>Supply Chain</t>
        </is>
      </c>
      <c r="F856" s="74" t="n"/>
    </row>
    <row r="857" ht="13.5" customHeight="1" s="38">
      <c r="A857" s="46" t="inlineStr">
        <is>
          <t>R_0854</t>
        </is>
      </c>
      <c r="B857" s="46" t="inlineStr">
        <is>
          <t>B_S0_SC01_I09</t>
        </is>
      </c>
      <c r="C857" s="46" t="inlineStr">
        <is>
          <t>Baseline – Zero-Shot (minimal instruction)</t>
        </is>
      </c>
      <c r="D857" s="75" t="inlineStr">
        <is>
          <t>SC01</t>
        </is>
      </c>
      <c r="E857" s="46" t="inlineStr">
        <is>
          <t>Business Email Compromise</t>
        </is>
      </c>
      <c r="F857" s="74" t="n"/>
    </row>
    <row r="858" ht="13.5" customHeight="1" s="38">
      <c r="A858" s="46" t="inlineStr">
        <is>
          <t>R_0855</t>
        </is>
      </c>
      <c r="B858" s="46" t="inlineStr">
        <is>
          <t>Z_S4_SC03_I01</t>
        </is>
      </c>
      <c r="C858" s="46" t="inlineStr">
        <is>
          <t>Strategy 4 – One-Shot + Template + BLUF</t>
        </is>
      </c>
      <c r="D858" s="75" t="inlineStr">
        <is>
          <t>SC03</t>
        </is>
      </c>
      <c r="E858" s="46" t="inlineStr">
        <is>
          <t>Zero-Day / Edge Device</t>
        </is>
      </c>
      <c r="F858" s="74" t="n"/>
    </row>
    <row r="859" ht="13.5" customHeight="1" s="38">
      <c r="A859" s="46" t="inlineStr">
        <is>
          <t>R_0856</t>
        </is>
      </c>
      <c r="B859" s="46" t="inlineStr">
        <is>
          <t>Z_S1_SC05_I01</t>
        </is>
      </c>
      <c r="C859" s="46" t="inlineStr">
        <is>
          <t>Strategy 1 – Zero-Shot + Structured Template</t>
        </is>
      </c>
      <c r="D859" s="75" t="inlineStr">
        <is>
          <t>SC05</t>
        </is>
      </c>
      <c r="E859" s="46" t="inlineStr">
        <is>
          <t>Zero-Day / Edge Device</t>
        </is>
      </c>
      <c r="F859" s="74" t="n"/>
    </row>
    <row r="860" ht="13.5" customHeight="1" s="38">
      <c r="A860" s="46" t="inlineStr">
        <is>
          <t>R_0857</t>
        </is>
      </c>
      <c r="B860" s="46" t="inlineStr">
        <is>
          <t>R_S1_SC03_I01</t>
        </is>
      </c>
      <c r="C860" s="46" t="inlineStr">
        <is>
          <t>Strategy 1 – Zero-Shot + Structured Template</t>
        </is>
      </c>
      <c r="D860" s="75" t="inlineStr">
        <is>
          <t>SC03</t>
        </is>
      </c>
      <c r="E860" s="46" t="inlineStr">
        <is>
          <t>Ransomware</t>
        </is>
      </c>
      <c r="F860" s="74" t="n"/>
    </row>
    <row r="861" ht="13.5" customHeight="1" s="38">
      <c r="A861" s="46" t="inlineStr">
        <is>
          <t>R_0858</t>
        </is>
      </c>
      <c r="B861" s="46" t="inlineStr">
        <is>
          <t>S_S0_SC03_I09</t>
        </is>
      </c>
      <c r="C861" s="46" t="inlineStr">
        <is>
          <t>Baseline – Zero-Shot (minimal instruction)</t>
        </is>
      </c>
      <c r="D861" s="75" t="inlineStr">
        <is>
          <t>SC03</t>
        </is>
      </c>
      <c r="E861" s="46" t="inlineStr">
        <is>
          <t>Supply Chain</t>
        </is>
      </c>
      <c r="F861" s="74" t="n"/>
    </row>
    <row r="862" ht="13.5" customHeight="1" s="38">
      <c r="A862" s="46" t="inlineStr">
        <is>
          <t>R_0859</t>
        </is>
      </c>
      <c r="B862" s="46" t="inlineStr">
        <is>
          <t>B_S3_SC01_I10</t>
        </is>
      </c>
      <c r="C862" s="46" t="inlineStr">
        <is>
          <t>Strategy 3 – One-Shot + Structured Template</t>
        </is>
      </c>
      <c r="D862" s="75" t="inlineStr">
        <is>
          <t>SC01</t>
        </is>
      </c>
      <c r="E862" s="46" t="inlineStr">
        <is>
          <t>Business Email Compromise</t>
        </is>
      </c>
      <c r="F862" s="74" t="n"/>
    </row>
    <row r="863" ht="13.5" customHeight="1" s="38">
      <c r="A863" s="46" t="inlineStr">
        <is>
          <t>R_0860</t>
        </is>
      </c>
      <c r="B863" s="46" t="inlineStr">
        <is>
          <t>R_S3_SC03_I09</t>
        </is>
      </c>
      <c r="C863" s="46" t="inlineStr">
        <is>
          <t>Strategy 3 – One-Shot + Structured Template</t>
        </is>
      </c>
      <c r="D863" s="75" t="inlineStr">
        <is>
          <t>SC03</t>
        </is>
      </c>
      <c r="E863" s="46" t="inlineStr">
        <is>
          <t>Ransomware</t>
        </is>
      </c>
      <c r="F863" s="74" t="n"/>
    </row>
    <row r="864" ht="13.5" customHeight="1" s="38">
      <c r="A864" s="46" t="inlineStr">
        <is>
          <t>R_0861</t>
        </is>
      </c>
      <c r="B864" s="46" t="inlineStr">
        <is>
          <t>S_S0_SC03_I01</t>
        </is>
      </c>
      <c r="C864" s="46" t="inlineStr">
        <is>
          <t>Baseline – Zero-Shot (minimal instruction)</t>
        </is>
      </c>
      <c r="D864" s="75" t="inlineStr">
        <is>
          <t>SC03</t>
        </is>
      </c>
      <c r="E864" s="46" t="inlineStr">
        <is>
          <t>Supply Chain</t>
        </is>
      </c>
      <c r="F864" s="74" t="n"/>
    </row>
    <row r="865" ht="13.5" customHeight="1" s="38">
      <c r="A865" s="46" t="inlineStr">
        <is>
          <t>R_0862</t>
        </is>
      </c>
      <c r="B865" s="46" t="inlineStr">
        <is>
          <t>S_S3_SC01_I01</t>
        </is>
      </c>
      <c r="C865" s="46" t="inlineStr">
        <is>
          <t>Strategy 3 – One-Shot + Structured Template</t>
        </is>
      </c>
      <c r="D865" s="75" t="inlineStr">
        <is>
          <t>SC01</t>
        </is>
      </c>
      <c r="E865" s="46" t="inlineStr">
        <is>
          <t>Supply Chain</t>
        </is>
      </c>
      <c r="F865" s="74" t="n"/>
    </row>
    <row r="866" ht="13.5" customHeight="1" s="38">
      <c r="A866" s="46" t="inlineStr">
        <is>
          <t>R_0863</t>
        </is>
      </c>
      <c r="B866" s="46" t="inlineStr">
        <is>
          <t>Z_S0_SC05_I02</t>
        </is>
      </c>
      <c r="C866" s="46" t="inlineStr">
        <is>
          <t>Baseline – Zero-Shot (minimal instruction)</t>
        </is>
      </c>
      <c r="D866" s="75" t="inlineStr">
        <is>
          <t>SC05</t>
        </is>
      </c>
      <c r="E866" s="46" t="inlineStr">
        <is>
          <t>Zero-Day / Edge Device</t>
        </is>
      </c>
      <c r="F866" s="74" t="n"/>
    </row>
    <row r="867" ht="13.5" customHeight="1" s="38">
      <c r="A867" s="46" t="inlineStr">
        <is>
          <t>R_0864</t>
        </is>
      </c>
      <c r="B867" s="46" t="inlineStr">
        <is>
          <t>S_S4_SC05_I03</t>
        </is>
      </c>
      <c r="C867" s="46" t="inlineStr">
        <is>
          <t>Strategy 4 – One-Shot + Template + BLUF</t>
        </is>
      </c>
      <c r="D867" s="75" t="inlineStr">
        <is>
          <t>SC05</t>
        </is>
      </c>
      <c r="E867" s="46" t="inlineStr">
        <is>
          <t>Supply Chain</t>
        </is>
      </c>
      <c r="F867" s="74" t="n"/>
    </row>
    <row r="868" ht="13.5" customHeight="1" s="38">
      <c r="A868" s="46" t="inlineStr">
        <is>
          <t>R_0865</t>
        </is>
      </c>
      <c r="B868" s="46" t="inlineStr">
        <is>
          <t>R_S2_SC04_I06</t>
        </is>
      </c>
      <c r="C868" s="46" t="inlineStr">
        <is>
          <t>Strategy 2 – Zero-Shot + Template + BLUF</t>
        </is>
      </c>
      <c r="D868" s="75" t="inlineStr">
        <is>
          <t>SC04</t>
        </is>
      </c>
      <c r="E868" s="46" t="inlineStr">
        <is>
          <t>Ransomware</t>
        </is>
      </c>
      <c r="F868" s="74" t="n"/>
    </row>
    <row r="869" ht="13.5" customHeight="1" s="38">
      <c r="A869" s="46" t="inlineStr">
        <is>
          <t>R_0866</t>
        </is>
      </c>
      <c r="B869" s="46" t="inlineStr">
        <is>
          <t>S_S0_SC01_I08</t>
        </is>
      </c>
      <c r="C869" s="46" t="inlineStr">
        <is>
          <t>Baseline – Zero-Shot (minimal instruction)</t>
        </is>
      </c>
      <c r="D869" s="75" t="inlineStr">
        <is>
          <t>SC01</t>
        </is>
      </c>
      <c r="E869" s="46" t="inlineStr">
        <is>
          <t>Supply Chain</t>
        </is>
      </c>
      <c r="F869" s="74" t="n"/>
    </row>
    <row r="870" ht="13.5" customHeight="1" s="38">
      <c r="A870" s="46" t="inlineStr">
        <is>
          <t>R_0867</t>
        </is>
      </c>
      <c r="B870" s="46" t="inlineStr">
        <is>
          <t>R_S0_SC05_I05</t>
        </is>
      </c>
      <c r="C870" s="46" t="inlineStr">
        <is>
          <t>Baseline – Zero-Shot (minimal instruction)</t>
        </is>
      </c>
      <c r="D870" s="75" t="inlineStr">
        <is>
          <t>SC05</t>
        </is>
      </c>
      <c r="E870" s="46" t="inlineStr">
        <is>
          <t>Ransomware</t>
        </is>
      </c>
      <c r="F870" s="74" t="n"/>
    </row>
    <row r="871" ht="13.5" customHeight="1" s="38">
      <c r="A871" s="46" t="inlineStr">
        <is>
          <t>R_0868</t>
        </is>
      </c>
      <c r="B871" s="46" t="inlineStr">
        <is>
          <t>B_S4_SC01_I10</t>
        </is>
      </c>
      <c r="C871" s="46" t="inlineStr">
        <is>
          <t>Strategy 4 – One-Shot + Template + BLUF</t>
        </is>
      </c>
      <c r="D871" s="75" t="inlineStr">
        <is>
          <t>SC01</t>
        </is>
      </c>
      <c r="E871" s="46" t="inlineStr">
        <is>
          <t>Business Email Compromise</t>
        </is>
      </c>
      <c r="F871" s="74" t="n"/>
    </row>
    <row r="872" ht="13.5" customHeight="1" s="38">
      <c r="A872" s="46" t="inlineStr">
        <is>
          <t>R_0869</t>
        </is>
      </c>
      <c r="B872" s="46" t="inlineStr">
        <is>
          <t>S_S1_SC02_I06</t>
        </is>
      </c>
      <c r="C872" s="46" t="inlineStr">
        <is>
          <t>Strategy 1 – Zero-Shot + Structured Template</t>
        </is>
      </c>
      <c r="D872" s="75" t="inlineStr">
        <is>
          <t>SC02</t>
        </is>
      </c>
      <c r="E872" s="46" t="inlineStr">
        <is>
          <t>Supply Chain</t>
        </is>
      </c>
      <c r="F872" s="74" t="n"/>
    </row>
    <row r="873" ht="13.5" customHeight="1" s="38">
      <c r="A873" s="46" t="inlineStr">
        <is>
          <t>R_0870</t>
        </is>
      </c>
      <c r="B873" s="46" t="inlineStr">
        <is>
          <t>B_S3_SC03_I01</t>
        </is>
      </c>
      <c r="C873" s="46" t="inlineStr">
        <is>
          <t>Strategy 3 – One-Shot + Structured Template</t>
        </is>
      </c>
      <c r="D873" s="75" t="inlineStr">
        <is>
          <t>SC03</t>
        </is>
      </c>
      <c r="E873" s="46" t="inlineStr">
        <is>
          <t>Business Email Compromise</t>
        </is>
      </c>
      <c r="F873" s="74" t="n"/>
    </row>
    <row r="874" ht="13.5" customHeight="1" s="38">
      <c r="A874" s="46" t="inlineStr">
        <is>
          <t>R_0871</t>
        </is>
      </c>
      <c r="B874" s="46" t="inlineStr">
        <is>
          <t>R_S2_SC03_I08</t>
        </is>
      </c>
      <c r="C874" s="46" t="inlineStr">
        <is>
          <t>Strategy 2 – Zero-Shot + Template + BLUF</t>
        </is>
      </c>
      <c r="D874" s="75" t="inlineStr">
        <is>
          <t>SC03</t>
        </is>
      </c>
      <c r="E874" s="46" t="inlineStr">
        <is>
          <t>Ransomware</t>
        </is>
      </c>
      <c r="F874" s="74" t="n"/>
    </row>
    <row r="875" ht="13.5" customHeight="1" s="38">
      <c r="A875" s="46" t="inlineStr">
        <is>
          <t>R_0872</t>
        </is>
      </c>
      <c r="B875" s="46" t="inlineStr">
        <is>
          <t>R_S3_SC02_I03</t>
        </is>
      </c>
      <c r="C875" s="46" t="inlineStr">
        <is>
          <t>Strategy 3 – One-Shot + Structured Template</t>
        </is>
      </c>
      <c r="D875" s="75" t="inlineStr">
        <is>
          <t>SC02</t>
        </is>
      </c>
      <c r="E875" s="46" t="inlineStr">
        <is>
          <t>Ransomware</t>
        </is>
      </c>
      <c r="F875" s="74" t="n"/>
    </row>
    <row r="876" ht="13.5" customHeight="1" s="38">
      <c r="A876" s="46" t="inlineStr">
        <is>
          <t>R_0873</t>
        </is>
      </c>
      <c r="B876" s="46" t="inlineStr">
        <is>
          <t>S_S2_SC05_I03</t>
        </is>
      </c>
      <c r="C876" s="46" t="inlineStr">
        <is>
          <t>Strategy 2 – Zero-Shot + Template + BLUF</t>
        </is>
      </c>
      <c r="D876" s="75" t="inlineStr">
        <is>
          <t>SC05</t>
        </is>
      </c>
      <c r="E876" s="46" t="inlineStr">
        <is>
          <t>Supply Chain</t>
        </is>
      </c>
      <c r="F876" s="74" t="n"/>
    </row>
    <row r="877" ht="13.5" customHeight="1" s="38">
      <c r="A877" s="46" t="inlineStr">
        <is>
          <t>R_0874</t>
        </is>
      </c>
      <c r="B877" s="46" t="inlineStr">
        <is>
          <t>R_S3_SC02_I10</t>
        </is>
      </c>
      <c r="C877" s="46" t="inlineStr">
        <is>
          <t>Strategy 3 – One-Shot + Structured Template</t>
        </is>
      </c>
      <c r="D877" s="75" t="inlineStr">
        <is>
          <t>SC02</t>
        </is>
      </c>
      <c r="E877" s="46" t="inlineStr">
        <is>
          <t>Ransomware</t>
        </is>
      </c>
      <c r="F877" s="74" t="n"/>
    </row>
    <row r="878" ht="13.5" customHeight="1" s="38">
      <c r="A878" s="46" t="inlineStr">
        <is>
          <t>R_0875</t>
        </is>
      </c>
      <c r="B878" s="46" t="inlineStr">
        <is>
          <t>B_S0_SC01_I08</t>
        </is>
      </c>
      <c r="C878" s="46" t="inlineStr">
        <is>
          <t>Baseline – Zero-Shot (minimal instruction)</t>
        </is>
      </c>
      <c r="D878" s="75" t="inlineStr">
        <is>
          <t>SC01</t>
        </is>
      </c>
      <c r="E878" s="46" t="inlineStr">
        <is>
          <t>Business Email Compromise</t>
        </is>
      </c>
      <c r="F878" s="74" t="n"/>
    </row>
    <row r="879" ht="13.5" customHeight="1" s="38">
      <c r="A879" s="46" t="inlineStr">
        <is>
          <t>R_0876</t>
        </is>
      </c>
      <c r="B879" s="46" t="inlineStr">
        <is>
          <t>Z_S4_SC03_I09</t>
        </is>
      </c>
      <c r="C879" s="46" t="inlineStr">
        <is>
          <t>Strategy 4 – One-Shot + Template + BLUF</t>
        </is>
      </c>
      <c r="D879" s="75" t="inlineStr">
        <is>
          <t>SC03</t>
        </is>
      </c>
      <c r="E879" s="46" t="inlineStr">
        <is>
          <t>Zero-Day / Edge Device</t>
        </is>
      </c>
      <c r="F879" s="74" t="n"/>
    </row>
    <row r="880" ht="13.5" customHeight="1" s="38">
      <c r="A880" s="46" t="inlineStr">
        <is>
          <t>R_0877</t>
        </is>
      </c>
      <c r="B880" s="46" t="inlineStr">
        <is>
          <t>B_S1_SC03_I01</t>
        </is>
      </c>
      <c r="C880" s="46" t="inlineStr">
        <is>
          <t>Strategy 1 – Zero-Shot + Structured Template</t>
        </is>
      </c>
      <c r="D880" s="75" t="inlineStr">
        <is>
          <t>SC03</t>
        </is>
      </c>
      <c r="E880" s="46" t="inlineStr">
        <is>
          <t>Business Email Compromise</t>
        </is>
      </c>
      <c r="F880" s="74" t="n"/>
    </row>
    <row r="881" ht="13.5" customHeight="1" s="38">
      <c r="A881" s="46" t="inlineStr">
        <is>
          <t>R_0878</t>
        </is>
      </c>
      <c r="B881" s="46" t="inlineStr">
        <is>
          <t>B_S1_SC04_I05</t>
        </is>
      </c>
      <c r="C881" s="46" t="inlineStr">
        <is>
          <t>Strategy 1 – Zero-Shot + Structured Template</t>
        </is>
      </c>
      <c r="D881" s="75" t="inlineStr">
        <is>
          <t>SC04</t>
        </is>
      </c>
      <c r="E881" s="46" t="inlineStr">
        <is>
          <t>Business Email Compromise</t>
        </is>
      </c>
      <c r="F881" s="74" t="n"/>
    </row>
    <row r="882" ht="13.5" customHeight="1" s="38">
      <c r="A882" s="46" t="inlineStr">
        <is>
          <t>R_0879</t>
        </is>
      </c>
      <c r="B882" s="46" t="inlineStr">
        <is>
          <t>R_S3_SC04_I10</t>
        </is>
      </c>
      <c r="C882" s="46" t="inlineStr">
        <is>
          <t>Strategy 3 – One-Shot + Structured Template</t>
        </is>
      </c>
      <c r="D882" s="75" t="inlineStr">
        <is>
          <t>SC04</t>
        </is>
      </c>
      <c r="E882" s="46" t="inlineStr">
        <is>
          <t>Ransomware</t>
        </is>
      </c>
      <c r="F882" s="74" t="n"/>
    </row>
    <row r="883" ht="13.5" customHeight="1" s="38">
      <c r="A883" s="46" t="inlineStr">
        <is>
          <t>R_0880</t>
        </is>
      </c>
      <c r="B883" s="46" t="inlineStr">
        <is>
          <t>B_S3_SC04_I05</t>
        </is>
      </c>
      <c r="C883" s="46" t="inlineStr">
        <is>
          <t>Strategy 3 – One-Shot + Structured Template</t>
        </is>
      </c>
      <c r="D883" s="75" t="inlineStr">
        <is>
          <t>SC04</t>
        </is>
      </c>
      <c r="E883" s="46" t="inlineStr">
        <is>
          <t>Business Email Compromise</t>
        </is>
      </c>
      <c r="F883" s="74" t="n"/>
    </row>
    <row r="884" ht="13.5" customHeight="1" s="38">
      <c r="A884" s="46" t="inlineStr">
        <is>
          <t>R_0881</t>
        </is>
      </c>
      <c r="B884" s="46" t="inlineStr">
        <is>
          <t>B_S3_SC02_I07</t>
        </is>
      </c>
      <c r="C884" s="46" t="inlineStr">
        <is>
          <t>Strategy 3 – One-Shot + Structured Template</t>
        </is>
      </c>
      <c r="D884" s="75" t="inlineStr">
        <is>
          <t>SC02</t>
        </is>
      </c>
      <c r="E884" s="46" t="inlineStr">
        <is>
          <t>Business Email Compromise</t>
        </is>
      </c>
      <c r="F884" s="74" t="n"/>
    </row>
    <row r="885" ht="13.5" customHeight="1" s="38">
      <c r="A885" s="46" t="inlineStr">
        <is>
          <t>R_0882</t>
        </is>
      </c>
      <c r="B885" s="46" t="inlineStr">
        <is>
          <t>Z_S0_SC03_I02</t>
        </is>
      </c>
      <c r="C885" s="46" t="inlineStr">
        <is>
          <t>Baseline – Zero-Shot (minimal instruction)</t>
        </is>
      </c>
      <c r="D885" s="75" t="inlineStr">
        <is>
          <t>SC03</t>
        </is>
      </c>
      <c r="E885" s="46" t="inlineStr">
        <is>
          <t>Zero-Day / Edge Device</t>
        </is>
      </c>
      <c r="F885" s="74" t="n"/>
    </row>
    <row r="886" ht="13.5" customHeight="1" s="38">
      <c r="A886" s="46" t="inlineStr">
        <is>
          <t>R_0883</t>
        </is>
      </c>
      <c r="B886" s="46" t="inlineStr">
        <is>
          <t>Z_S4_SC05_I01</t>
        </is>
      </c>
      <c r="C886" s="46" t="inlineStr">
        <is>
          <t>Strategy 4 – One-Shot + Template + BLUF</t>
        </is>
      </c>
      <c r="D886" s="75" t="inlineStr">
        <is>
          <t>SC05</t>
        </is>
      </c>
      <c r="E886" s="46" t="inlineStr">
        <is>
          <t>Zero-Day / Edge Device</t>
        </is>
      </c>
      <c r="F886" s="74" t="n"/>
    </row>
    <row r="887" ht="13.5" customHeight="1" s="38">
      <c r="A887" s="46" t="inlineStr">
        <is>
          <t>R_0884</t>
        </is>
      </c>
      <c r="B887" s="46" t="inlineStr">
        <is>
          <t>S_S3_SC03_I04</t>
        </is>
      </c>
      <c r="C887" s="46" t="inlineStr">
        <is>
          <t>Strategy 3 – One-Shot + Structured Template</t>
        </is>
      </c>
      <c r="D887" s="75" t="inlineStr">
        <is>
          <t>SC03</t>
        </is>
      </c>
      <c r="E887" s="46" t="inlineStr">
        <is>
          <t>Supply Chain</t>
        </is>
      </c>
      <c r="F887" s="74" t="n"/>
    </row>
    <row r="888" ht="13.5" customHeight="1" s="38">
      <c r="A888" s="46" t="inlineStr">
        <is>
          <t>R_0885</t>
        </is>
      </c>
      <c r="B888" s="46" t="inlineStr">
        <is>
          <t>R_S3_SC03_I06</t>
        </is>
      </c>
      <c r="C888" s="46" t="inlineStr">
        <is>
          <t>Strategy 3 – One-Shot + Structured Template</t>
        </is>
      </c>
      <c r="D888" s="75" t="inlineStr">
        <is>
          <t>SC03</t>
        </is>
      </c>
      <c r="E888" s="46" t="inlineStr">
        <is>
          <t>Ransomware</t>
        </is>
      </c>
      <c r="F888" s="74" t="n"/>
    </row>
    <row r="889" ht="13.5" customHeight="1" s="38">
      <c r="A889" s="46" t="inlineStr">
        <is>
          <t>R_0886</t>
        </is>
      </c>
      <c r="B889" s="46" t="inlineStr">
        <is>
          <t>R_S0_SC03_I01</t>
        </is>
      </c>
      <c r="C889" s="46" t="inlineStr">
        <is>
          <t>Baseline – Zero-Shot (minimal instruction)</t>
        </is>
      </c>
      <c r="D889" s="75" t="inlineStr">
        <is>
          <t>SC03</t>
        </is>
      </c>
      <c r="E889" s="46" t="inlineStr">
        <is>
          <t>Ransomware</t>
        </is>
      </c>
      <c r="F889" s="74" t="n"/>
    </row>
    <row r="890" ht="13.5" customHeight="1" s="38">
      <c r="A890" s="46" t="inlineStr">
        <is>
          <t>R_0887</t>
        </is>
      </c>
      <c r="B890" s="46" t="inlineStr">
        <is>
          <t>Z_S3_SC04_I05</t>
        </is>
      </c>
      <c r="C890" s="46" t="inlineStr">
        <is>
          <t>Strategy 3 – One-Shot + Structured Template</t>
        </is>
      </c>
      <c r="D890" s="75" t="inlineStr">
        <is>
          <t>SC04</t>
        </is>
      </c>
      <c r="E890" s="46" t="inlineStr">
        <is>
          <t>Zero-Day / Edge Device</t>
        </is>
      </c>
      <c r="F890" s="74" t="n"/>
    </row>
    <row r="891" ht="13.5" customHeight="1" s="38">
      <c r="A891" s="46" t="inlineStr">
        <is>
          <t>R_0888</t>
        </is>
      </c>
      <c r="B891" s="46" t="inlineStr">
        <is>
          <t>Z_S4_SC03_I07</t>
        </is>
      </c>
      <c r="C891" s="46" t="inlineStr">
        <is>
          <t>Strategy 4 – One-Shot + Template + BLUF</t>
        </is>
      </c>
      <c r="D891" s="75" t="inlineStr">
        <is>
          <t>SC03</t>
        </is>
      </c>
      <c r="E891" s="46" t="inlineStr">
        <is>
          <t>Zero-Day / Edge Device</t>
        </is>
      </c>
      <c r="F891" s="74" t="n"/>
    </row>
    <row r="892" ht="13.5" customHeight="1" s="38">
      <c r="A892" s="46" t="inlineStr">
        <is>
          <t>R_0889</t>
        </is>
      </c>
      <c r="B892" s="46" t="inlineStr">
        <is>
          <t>Z_S3_SC04_I07</t>
        </is>
      </c>
      <c r="C892" s="46" t="inlineStr">
        <is>
          <t>Strategy 3 – One-Shot + Structured Template</t>
        </is>
      </c>
      <c r="D892" s="75" t="inlineStr">
        <is>
          <t>SC04</t>
        </is>
      </c>
      <c r="E892" s="46" t="inlineStr">
        <is>
          <t>Zero-Day / Edge Device</t>
        </is>
      </c>
      <c r="F892" s="74" t="n"/>
    </row>
    <row r="893" ht="13.5" customHeight="1" s="38">
      <c r="A893" s="46" t="inlineStr">
        <is>
          <t>R_0890</t>
        </is>
      </c>
      <c r="B893" s="46" t="inlineStr">
        <is>
          <t>R_S0_SC05_I07</t>
        </is>
      </c>
      <c r="C893" s="46" t="inlineStr">
        <is>
          <t>Baseline – Zero-Shot (minimal instruction)</t>
        </is>
      </c>
      <c r="D893" s="75" t="inlineStr">
        <is>
          <t>SC05</t>
        </is>
      </c>
      <c r="E893" s="46" t="inlineStr">
        <is>
          <t>Ransomware</t>
        </is>
      </c>
      <c r="F893" s="74" t="n"/>
    </row>
    <row r="894" ht="13.5" customHeight="1" s="38">
      <c r="A894" s="46" t="inlineStr">
        <is>
          <t>R_0891</t>
        </is>
      </c>
      <c r="B894" s="46" t="inlineStr">
        <is>
          <t>B_S4_SC03_I08</t>
        </is>
      </c>
      <c r="C894" s="46" t="inlineStr">
        <is>
          <t>Strategy 4 – One-Shot + Template + BLUF</t>
        </is>
      </c>
      <c r="D894" s="75" t="inlineStr">
        <is>
          <t>SC03</t>
        </is>
      </c>
      <c r="E894" s="46" t="inlineStr">
        <is>
          <t>Business Email Compromise</t>
        </is>
      </c>
      <c r="F894" s="74" t="n"/>
    </row>
    <row r="895" ht="13.5" customHeight="1" s="38">
      <c r="A895" s="46" t="inlineStr">
        <is>
          <t>R_0892</t>
        </is>
      </c>
      <c r="B895" s="46" t="inlineStr">
        <is>
          <t>S_S3_SC01_I08</t>
        </is>
      </c>
      <c r="C895" s="46" t="inlineStr">
        <is>
          <t>Strategy 3 – One-Shot + Structured Template</t>
        </is>
      </c>
      <c r="D895" s="75" t="inlineStr">
        <is>
          <t>SC01</t>
        </is>
      </c>
      <c r="E895" s="46" t="inlineStr">
        <is>
          <t>Supply Chain</t>
        </is>
      </c>
      <c r="F895" s="74" t="n"/>
    </row>
    <row r="896" ht="13.5" customHeight="1" s="38">
      <c r="A896" s="46" t="inlineStr">
        <is>
          <t>R_0893</t>
        </is>
      </c>
      <c r="B896" s="46" t="inlineStr">
        <is>
          <t>R_S4_SC02_I05</t>
        </is>
      </c>
      <c r="C896" s="46" t="inlineStr">
        <is>
          <t>Strategy 4 – One-Shot + Template + BLUF</t>
        </is>
      </c>
      <c r="D896" s="75" t="inlineStr">
        <is>
          <t>SC02</t>
        </is>
      </c>
      <c r="E896" s="46" t="inlineStr">
        <is>
          <t>Ransomware</t>
        </is>
      </c>
      <c r="F896" s="74" t="n"/>
    </row>
    <row r="897" ht="13.5" customHeight="1" s="38">
      <c r="A897" s="46" t="inlineStr">
        <is>
          <t>R_0894</t>
        </is>
      </c>
      <c r="B897" s="46" t="inlineStr">
        <is>
          <t>Z_S0_SC03_I03</t>
        </is>
      </c>
      <c r="C897" s="46" t="inlineStr">
        <is>
          <t>Baseline – Zero-Shot (minimal instruction)</t>
        </is>
      </c>
      <c r="D897" s="75" t="inlineStr">
        <is>
          <t>SC03</t>
        </is>
      </c>
      <c r="E897" s="46" t="inlineStr">
        <is>
          <t>Zero-Day / Edge Device</t>
        </is>
      </c>
      <c r="F897" s="74" t="n"/>
    </row>
    <row r="898" ht="13.5" customHeight="1" s="38">
      <c r="A898" s="46" t="inlineStr">
        <is>
          <t>R_0895</t>
        </is>
      </c>
      <c r="B898" s="46" t="inlineStr">
        <is>
          <t>Z_S2_SC02_I01</t>
        </is>
      </c>
      <c r="C898" s="46" t="inlineStr">
        <is>
          <t>Strategy 2 – Zero-Shot + Template + BLUF</t>
        </is>
      </c>
      <c r="D898" s="75" t="inlineStr">
        <is>
          <t>SC02</t>
        </is>
      </c>
      <c r="E898" s="46" t="inlineStr">
        <is>
          <t>Zero-Day / Edge Device</t>
        </is>
      </c>
      <c r="F898" s="74" t="n"/>
    </row>
    <row r="899" ht="13.5" customHeight="1" s="38">
      <c r="A899" s="46" t="inlineStr">
        <is>
          <t>R_0896</t>
        </is>
      </c>
      <c r="B899" s="46" t="inlineStr">
        <is>
          <t>S_S4_SC01_I07</t>
        </is>
      </c>
      <c r="C899" s="46" t="inlineStr">
        <is>
          <t>Strategy 4 – One-Shot + Template + BLUF</t>
        </is>
      </c>
      <c r="D899" s="75" t="inlineStr">
        <is>
          <t>SC01</t>
        </is>
      </c>
      <c r="E899" s="46" t="inlineStr">
        <is>
          <t>Supply Chain</t>
        </is>
      </c>
      <c r="F899" s="74" t="n"/>
    </row>
    <row r="900" ht="13.5" customHeight="1" s="38">
      <c r="A900" s="46" t="inlineStr">
        <is>
          <t>R_0897</t>
        </is>
      </c>
      <c r="B900" s="46" t="inlineStr">
        <is>
          <t>B_S0_SC03_I09</t>
        </is>
      </c>
      <c r="C900" s="46" t="inlineStr">
        <is>
          <t>Baseline – Zero-Shot (minimal instruction)</t>
        </is>
      </c>
      <c r="D900" s="75" t="inlineStr">
        <is>
          <t>SC03</t>
        </is>
      </c>
      <c r="E900" s="46" t="inlineStr">
        <is>
          <t>Business Email Compromise</t>
        </is>
      </c>
      <c r="F900" s="74" t="n"/>
    </row>
    <row r="901" ht="13.5" customHeight="1" s="38">
      <c r="A901" s="46" t="inlineStr">
        <is>
          <t>R_0898</t>
        </is>
      </c>
      <c r="B901" s="46" t="inlineStr">
        <is>
          <t>S_S3_SC04_I06</t>
        </is>
      </c>
      <c r="C901" s="46" t="inlineStr">
        <is>
          <t>Strategy 3 – One-Shot + Structured Template</t>
        </is>
      </c>
      <c r="D901" s="75" t="inlineStr">
        <is>
          <t>SC04</t>
        </is>
      </c>
      <c r="E901" s="46" t="inlineStr">
        <is>
          <t>Supply Chain</t>
        </is>
      </c>
      <c r="F901" s="74" t="n"/>
    </row>
    <row r="902" ht="13.5" customHeight="1" s="38">
      <c r="A902" s="46" t="inlineStr">
        <is>
          <t>R_0899</t>
        </is>
      </c>
      <c r="B902" s="46" t="inlineStr">
        <is>
          <t>R_S2_SC05_I06</t>
        </is>
      </c>
      <c r="C902" s="46" t="inlineStr">
        <is>
          <t>Strategy 2 – Zero-Shot + Template + BLUF</t>
        </is>
      </c>
      <c r="D902" s="75" t="inlineStr">
        <is>
          <t>SC05</t>
        </is>
      </c>
      <c r="E902" s="46" t="inlineStr">
        <is>
          <t>Ransomware</t>
        </is>
      </c>
      <c r="F902" s="74" t="n"/>
    </row>
    <row r="903" ht="13.5" customHeight="1" s="38">
      <c r="A903" s="46" t="inlineStr">
        <is>
          <t>R_0900</t>
        </is>
      </c>
      <c r="B903" s="46" t="inlineStr">
        <is>
          <t>Z_S1_SC03_I08</t>
        </is>
      </c>
      <c r="C903" s="46" t="inlineStr">
        <is>
          <t>Strategy 1 – Zero-Shot + Structured Template</t>
        </is>
      </c>
      <c r="D903" s="75" t="inlineStr">
        <is>
          <t>SC03</t>
        </is>
      </c>
      <c r="E903" s="46" t="inlineStr">
        <is>
          <t>Zero-Day / Edge Device</t>
        </is>
      </c>
      <c r="F903" s="74" t="n"/>
    </row>
    <row r="904" ht="13.5" customHeight="1" s="38">
      <c r="A904" s="46" t="inlineStr">
        <is>
          <t>R_0901</t>
        </is>
      </c>
      <c r="B904" s="46" t="inlineStr">
        <is>
          <t>S_S3_SC03_I01</t>
        </is>
      </c>
      <c r="C904" s="46" t="inlineStr">
        <is>
          <t>Strategy 3 – One-Shot + Structured Template</t>
        </is>
      </c>
      <c r="D904" s="75" t="inlineStr">
        <is>
          <t>SC03</t>
        </is>
      </c>
      <c r="E904" s="46" t="inlineStr">
        <is>
          <t>Supply Chain</t>
        </is>
      </c>
      <c r="F904" s="74" t="n"/>
    </row>
    <row r="905" ht="13.5" customHeight="1" s="38">
      <c r="A905" s="46" t="inlineStr">
        <is>
          <t>R_0902</t>
        </is>
      </c>
      <c r="B905" s="46" t="inlineStr">
        <is>
          <t>S_S3_SC05_I01</t>
        </is>
      </c>
      <c r="C905" s="46" t="inlineStr">
        <is>
          <t>Strategy 3 – One-Shot + Structured Template</t>
        </is>
      </c>
      <c r="D905" s="75" t="inlineStr">
        <is>
          <t>SC05</t>
        </is>
      </c>
      <c r="E905" s="46" t="inlineStr">
        <is>
          <t>Supply Chain</t>
        </is>
      </c>
      <c r="F905" s="74" t="n"/>
    </row>
    <row r="906" ht="13.5" customHeight="1" s="38">
      <c r="A906" s="46" t="inlineStr">
        <is>
          <t>R_0903</t>
        </is>
      </c>
      <c r="B906" s="46" t="inlineStr">
        <is>
          <t>R_S2_SC05_I09</t>
        </is>
      </c>
      <c r="C906" s="46" t="inlineStr">
        <is>
          <t>Strategy 2 – Zero-Shot + Template + BLUF</t>
        </is>
      </c>
      <c r="D906" s="75" t="inlineStr">
        <is>
          <t>SC05</t>
        </is>
      </c>
      <c r="E906" s="46" t="inlineStr">
        <is>
          <t>Ransomware</t>
        </is>
      </c>
      <c r="F906" s="74" t="n"/>
    </row>
    <row r="907" ht="13.5" customHeight="1" s="38">
      <c r="A907" s="46" t="inlineStr">
        <is>
          <t>R_0904</t>
        </is>
      </c>
      <c r="B907" s="46" t="inlineStr">
        <is>
          <t>R_S3_SC01_I02</t>
        </is>
      </c>
      <c r="C907" s="46" t="inlineStr">
        <is>
          <t>Strategy 3 – One-Shot + Structured Template</t>
        </is>
      </c>
      <c r="D907" s="75" t="inlineStr">
        <is>
          <t>SC01</t>
        </is>
      </c>
      <c r="E907" s="46" t="inlineStr">
        <is>
          <t>Ransomware</t>
        </is>
      </c>
      <c r="F907" s="74" t="n"/>
    </row>
    <row r="908" ht="13.5" customHeight="1" s="38">
      <c r="A908" s="46" t="inlineStr">
        <is>
          <t>R_0905</t>
        </is>
      </c>
      <c r="B908" s="46" t="inlineStr">
        <is>
          <t>Z_S3_SC05_I04</t>
        </is>
      </c>
      <c r="C908" s="46" t="inlineStr">
        <is>
          <t>Strategy 3 – One-Shot + Structured Template</t>
        </is>
      </c>
      <c r="D908" s="75" t="inlineStr">
        <is>
          <t>SC05</t>
        </is>
      </c>
      <c r="E908" s="46" t="inlineStr">
        <is>
          <t>Zero-Day / Edge Device</t>
        </is>
      </c>
      <c r="F908" s="74" t="n"/>
    </row>
    <row r="909" ht="13.5" customHeight="1" s="38">
      <c r="A909" s="46" t="inlineStr">
        <is>
          <t>R_0906</t>
        </is>
      </c>
      <c r="B909" s="46" t="inlineStr">
        <is>
          <t>R_S0_SC03_I03</t>
        </is>
      </c>
      <c r="C909" s="46" t="inlineStr">
        <is>
          <t>Baseline – Zero-Shot (minimal instruction)</t>
        </is>
      </c>
      <c r="D909" s="75" t="inlineStr">
        <is>
          <t>SC03</t>
        </is>
      </c>
      <c r="E909" s="46" t="inlineStr">
        <is>
          <t>Ransomware</t>
        </is>
      </c>
      <c r="F909" s="74" t="n"/>
    </row>
    <row r="910" ht="13.5" customHeight="1" s="38">
      <c r="A910" s="46" t="inlineStr">
        <is>
          <t>R_0907</t>
        </is>
      </c>
      <c r="B910" s="46" t="inlineStr">
        <is>
          <t>Z_S4_SC05_I02</t>
        </is>
      </c>
      <c r="C910" s="46" t="inlineStr">
        <is>
          <t>Strategy 4 – One-Shot + Template + BLUF</t>
        </is>
      </c>
      <c r="D910" s="75" t="inlineStr">
        <is>
          <t>SC05</t>
        </is>
      </c>
      <c r="E910" s="46" t="inlineStr">
        <is>
          <t>Zero-Day / Edge Device</t>
        </is>
      </c>
      <c r="F910" s="74" t="n"/>
    </row>
    <row r="911" ht="13.5" customHeight="1" s="38">
      <c r="A911" s="46" t="inlineStr">
        <is>
          <t>R_0908</t>
        </is>
      </c>
      <c r="B911" s="46" t="inlineStr">
        <is>
          <t>Z_S0_SC01_I04</t>
        </is>
      </c>
      <c r="C911" s="46" t="inlineStr">
        <is>
          <t>Baseline – Zero-Shot (minimal instruction)</t>
        </is>
      </c>
      <c r="D911" s="75" t="inlineStr">
        <is>
          <t>SC01</t>
        </is>
      </c>
      <c r="E911" s="46" t="inlineStr">
        <is>
          <t>Zero-Day / Edge Device</t>
        </is>
      </c>
      <c r="F911" s="74" t="n"/>
    </row>
    <row r="912" ht="13.5" customHeight="1" s="38">
      <c r="A912" s="46" t="inlineStr">
        <is>
          <t>R_0909</t>
        </is>
      </c>
      <c r="B912" s="46" t="inlineStr">
        <is>
          <t>R_S4_SC01_I05</t>
        </is>
      </c>
      <c r="C912" s="46" t="inlineStr">
        <is>
          <t>Strategy 4 – One-Shot + Template + BLUF</t>
        </is>
      </c>
      <c r="D912" s="75" t="inlineStr">
        <is>
          <t>SC01</t>
        </is>
      </c>
      <c r="E912" s="46" t="inlineStr">
        <is>
          <t>Ransomware</t>
        </is>
      </c>
      <c r="F912" s="74" t="n"/>
    </row>
    <row r="913" ht="13.5" customHeight="1" s="38">
      <c r="A913" s="46" t="inlineStr">
        <is>
          <t>R_0910</t>
        </is>
      </c>
      <c r="B913" s="46" t="inlineStr">
        <is>
          <t>S_S0_SC02_I03</t>
        </is>
      </c>
      <c r="C913" s="46" t="inlineStr">
        <is>
          <t>Baseline – Zero-Shot (minimal instruction)</t>
        </is>
      </c>
      <c r="D913" s="75" t="inlineStr">
        <is>
          <t>SC02</t>
        </is>
      </c>
      <c r="E913" s="46" t="inlineStr">
        <is>
          <t>Supply Chain</t>
        </is>
      </c>
      <c r="F913" s="74" t="n"/>
    </row>
    <row r="914" ht="13.5" customHeight="1" s="38">
      <c r="A914" s="46" t="inlineStr">
        <is>
          <t>R_0911</t>
        </is>
      </c>
      <c r="B914" s="46" t="inlineStr">
        <is>
          <t>Z_S1_SC01_I04</t>
        </is>
      </c>
      <c r="C914" s="46" t="inlineStr">
        <is>
          <t>Strategy 1 – Zero-Shot + Structured Template</t>
        </is>
      </c>
      <c r="D914" s="75" t="inlineStr">
        <is>
          <t>SC01</t>
        </is>
      </c>
      <c r="E914" s="46" t="inlineStr">
        <is>
          <t>Zero-Day / Edge Device</t>
        </is>
      </c>
      <c r="F914" s="74" t="n"/>
    </row>
    <row r="915" ht="13.5" customHeight="1" s="38">
      <c r="A915" s="46" t="inlineStr">
        <is>
          <t>R_0912</t>
        </is>
      </c>
      <c r="B915" s="46" t="inlineStr">
        <is>
          <t>Z_S2_SC04_I04</t>
        </is>
      </c>
      <c r="C915" s="46" t="inlineStr">
        <is>
          <t>Strategy 2 – Zero-Shot + Template + BLUF</t>
        </is>
      </c>
      <c r="D915" s="75" t="inlineStr">
        <is>
          <t>SC04</t>
        </is>
      </c>
      <c r="E915" s="46" t="inlineStr">
        <is>
          <t>Zero-Day / Edge Device</t>
        </is>
      </c>
      <c r="F915" s="74" t="n"/>
    </row>
    <row r="916" ht="13.5" customHeight="1" s="38">
      <c r="A916" s="46" t="inlineStr">
        <is>
          <t>R_0913</t>
        </is>
      </c>
      <c r="B916" s="46" t="inlineStr">
        <is>
          <t>S_S3_SC03_I08</t>
        </is>
      </c>
      <c r="C916" s="46" t="inlineStr">
        <is>
          <t>Strategy 3 – One-Shot + Structured Template</t>
        </is>
      </c>
      <c r="D916" s="75" t="inlineStr">
        <is>
          <t>SC03</t>
        </is>
      </c>
      <c r="E916" s="46" t="inlineStr">
        <is>
          <t>Supply Chain</t>
        </is>
      </c>
      <c r="F916" s="74" t="n"/>
    </row>
    <row r="917" ht="13.5" customHeight="1" s="38">
      <c r="A917" s="46" t="inlineStr">
        <is>
          <t>R_0914</t>
        </is>
      </c>
      <c r="B917" s="46" t="inlineStr">
        <is>
          <t>R_S4_SC03_I07</t>
        </is>
      </c>
      <c r="C917" s="46" t="inlineStr">
        <is>
          <t>Strategy 4 – One-Shot + Template + BLUF</t>
        </is>
      </c>
      <c r="D917" s="75" t="inlineStr">
        <is>
          <t>SC03</t>
        </is>
      </c>
      <c r="E917" s="46" t="inlineStr">
        <is>
          <t>Ransomware</t>
        </is>
      </c>
      <c r="F917" s="74" t="n"/>
    </row>
    <row r="918" ht="13.5" customHeight="1" s="38">
      <c r="A918" s="46" t="inlineStr">
        <is>
          <t>R_0915</t>
        </is>
      </c>
      <c r="B918" s="46" t="inlineStr">
        <is>
          <t>Z_S1_SC01_I07</t>
        </is>
      </c>
      <c r="C918" s="46" t="inlineStr">
        <is>
          <t>Strategy 1 – Zero-Shot + Structured Template</t>
        </is>
      </c>
      <c r="D918" s="75" t="inlineStr">
        <is>
          <t>SC01</t>
        </is>
      </c>
      <c r="E918" s="46" t="inlineStr">
        <is>
          <t>Zero-Day / Edge Device</t>
        </is>
      </c>
      <c r="F918" s="74" t="n"/>
    </row>
    <row r="919" ht="13.5" customHeight="1" s="38">
      <c r="A919" s="46" t="inlineStr">
        <is>
          <t>R_0916</t>
        </is>
      </c>
      <c r="B919" s="46" t="inlineStr">
        <is>
          <t>S_S1_SC05_I10</t>
        </is>
      </c>
      <c r="C919" s="46" t="inlineStr">
        <is>
          <t>Strategy 1 – Zero-Shot + Structured Template</t>
        </is>
      </c>
      <c r="D919" s="75" t="inlineStr">
        <is>
          <t>SC05</t>
        </is>
      </c>
      <c r="E919" s="46" t="inlineStr">
        <is>
          <t>Supply Chain</t>
        </is>
      </c>
      <c r="F919" s="74" t="n"/>
    </row>
    <row r="920" ht="13.5" customHeight="1" s="38">
      <c r="A920" s="46" t="inlineStr">
        <is>
          <t>R_0917</t>
        </is>
      </c>
      <c r="B920" s="46" t="inlineStr">
        <is>
          <t>S_S0_SC02_I01</t>
        </is>
      </c>
      <c r="C920" s="46" t="inlineStr">
        <is>
          <t>Baseline – Zero-Shot (minimal instruction)</t>
        </is>
      </c>
      <c r="D920" s="75" t="inlineStr">
        <is>
          <t>SC02</t>
        </is>
      </c>
      <c r="E920" s="46" t="inlineStr">
        <is>
          <t>Supply Chain</t>
        </is>
      </c>
      <c r="F920" s="74" t="n"/>
    </row>
    <row r="921" ht="13.5" customHeight="1" s="38">
      <c r="A921" s="46" t="inlineStr">
        <is>
          <t>R_0918</t>
        </is>
      </c>
      <c r="B921" s="46" t="inlineStr">
        <is>
          <t>S_S2_SC02_I09</t>
        </is>
      </c>
      <c r="C921" s="46" t="inlineStr">
        <is>
          <t>Strategy 2 – Zero-Shot + Template + BLUF</t>
        </is>
      </c>
      <c r="D921" s="75" t="inlineStr">
        <is>
          <t>SC02</t>
        </is>
      </c>
      <c r="E921" s="46" t="inlineStr">
        <is>
          <t>Supply Chain</t>
        </is>
      </c>
      <c r="F921" s="74" t="n"/>
    </row>
    <row r="922" ht="13.5" customHeight="1" s="38">
      <c r="A922" s="46" t="inlineStr">
        <is>
          <t>R_0919</t>
        </is>
      </c>
      <c r="B922" s="46" t="inlineStr">
        <is>
          <t>Z_S2_SC05_I01</t>
        </is>
      </c>
      <c r="C922" s="46" t="inlineStr">
        <is>
          <t>Strategy 2 – Zero-Shot + Template + BLUF</t>
        </is>
      </c>
      <c r="D922" s="75" t="inlineStr">
        <is>
          <t>SC05</t>
        </is>
      </c>
      <c r="E922" s="46" t="inlineStr">
        <is>
          <t>Zero-Day / Edge Device</t>
        </is>
      </c>
      <c r="F922" s="74" t="n"/>
    </row>
    <row r="923" ht="13.5" customHeight="1" s="38">
      <c r="A923" s="46" t="inlineStr">
        <is>
          <t>R_0920</t>
        </is>
      </c>
      <c r="B923" s="46" t="inlineStr">
        <is>
          <t>B_S2_SC01_I01</t>
        </is>
      </c>
      <c r="C923" s="46" t="inlineStr">
        <is>
          <t>Strategy 2 – Zero-Shot + Template + BLUF</t>
        </is>
      </c>
      <c r="D923" s="75" t="inlineStr">
        <is>
          <t>SC01</t>
        </is>
      </c>
      <c r="E923" s="46" t="inlineStr">
        <is>
          <t>Business Email Compromise</t>
        </is>
      </c>
      <c r="F923" s="74" t="n"/>
    </row>
    <row r="924" ht="13.5" customHeight="1" s="38">
      <c r="A924" s="46" t="inlineStr">
        <is>
          <t>R_0921</t>
        </is>
      </c>
      <c r="B924" s="46" t="inlineStr">
        <is>
          <t>B_S1_SC04_I07</t>
        </is>
      </c>
      <c r="C924" s="46" t="inlineStr">
        <is>
          <t>Strategy 1 – Zero-Shot + Structured Template</t>
        </is>
      </c>
      <c r="D924" s="75" t="inlineStr">
        <is>
          <t>SC04</t>
        </is>
      </c>
      <c r="E924" s="46" t="inlineStr">
        <is>
          <t>Business Email Compromise</t>
        </is>
      </c>
      <c r="F924" s="74" t="n"/>
    </row>
    <row r="925" ht="13.5" customHeight="1" s="38">
      <c r="A925" s="46" t="inlineStr">
        <is>
          <t>R_0922</t>
        </is>
      </c>
      <c r="B925" s="46" t="inlineStr">
        <is>
          <t>Z_S4_SC01_I08</t>
        </is>
      </c>
      <c r="C925" s="46" t="inlineStr">
        <is>
          <t>Strategy 4 – One-Shot + Template + BLUF</t>
        </is>
      </c>
      <c r="D925" s="75" t="inlineStr">
        <is>
          <t>SC01</t>
        </is>
      </c>
      <c r="E925" s="46" t="inlineStr">
        <is>
          <t>Zero-Day / Edge Device</t>
        </is>
      </c>
      <c r="F925" s="74" t="n"/>
    </row>
    <row r="926" ht="13.5" customHeight="1" s="38">
      <c r="A926" s="46" t="inlineStr">
        <is>
          <t>R_0923</t>
        </is>
      </c>
      <c r="B926" s="46" t="inlineStr">
        <is>
          <t>R_S4_SC02_I09</t>
        </is>
      </c>
      <c r="C926" s="46" t="inlineStr">
        <is>
          <t>Strategy 4 – One-Shot + Template + BLUF</t>
        </is>
      </c>
      <c r="D926" s="75" t="inlineStr">
        <is>
          <t>SC02</t>
        </is>
      </c>
      <c r="E926" s="46" t="inlineStr">
        <is>
          <t>Ransomware</t>
        </is>
      </c>
      <c r="F926" s="74" t="n"/>
    </row>
    <row r="927" ht="13.5" customHeight="1" s="38">
      <c r="A927" s="46" t="inlineStr">
        <is>
          <t>R_0924</t>
        </is>
      </c>
      <c r="B927" s="46" t="inlineStr">
        <is>
          <t>R_S1_SC04_I07</t>
        </is>
      </c>
      <c r="C927" s="46" t="inlineStr">
        <is>
          <t>Strategy 1 – Zero-Shot + Structured Template</t>
        </is>
      </c>
      <c r="D927" s="75" t="inlineStr">
        <is>
          <t>SC04</t>
        </is>
      </c>
      <c r="E927" s="46" t="inlineStr">
        <is>
          <t>Ransomware</t>
        </is>
      </c>
      <c r="F927" s="74" t="n"/>
    </row>
    <row r="928" ht="13.5" customHeight="1" s="38">
      <c r="A928" s="46" t="inlineStr">
        <is>
          <t>R_0925</t>
        </is>
      </c>
      <c r="B928" s="46" t="inlineStr">
        <is>
          <t>Z_S1_SC05_I06</t>
        </is>
      </c>
      <c r="C928" s="46" t="inlineStr">
        <is>
          <t>Strategy 1 – Zero-Shot + Structured Template</t>
        </is>
      </c>
      <c r="D928" s="75" t="inlineStr">
        <is>
          <t>SC05</t>
        </is>
      </c>
      <c r="E928" s="46" t="inlineStr">
        <is>
          <t>Zero-Day / Edge Device</t>
        </is>
      </c>
      <c r="F928" s="74" t="n"/>
    </row>
    <row r="929" ht="13.5" customHeight="1" s="38">
      <c r="A929" s="46" t="inlineStr">
        <is>
          <t>R_0926</t>
        </is>
      </c>
      <c r="B929" s="46" t="inlineStr">
        <is>
          <t>Z_S0_SC03_I10</t>
        </is>
      </c>
      <c r="C929" s="46" t="inlineStr">
        <is>
          <t>Baseline – Zero-Shot (minimal instruction)</t>
        </is>
      </c>
      <c r="D929" s="75" t="inlineStr">
        <is>
          <t>SC03</t>
        </is>
      </c>
      <c r="E929" s="46" t="inlineStr">
        <is>
          <t>Zero-Day / Edge Device</t>
        </is>
      </c>
      <c r="F929" s="74" t="n"/>
    </row>
    <row r="930" ht="13.5" customHeight="1" s="38">
      <c r="A930" s="46" t="inlineStr">
        <is>
          <t>R_0927</t>
        </is>
      </c>
      <c r="B930" s="46" t="inlineStr">
        <is>
          <t>Z_S3_SC05_I10</t>
        </is>
      </c>
      <c r="C930" s="46" t="inlineStr">
        <is>
          <t>Strategy 3 – One-Shot + Structured Template</t>
        </is>
      </c>
      <c r="D930" s="75" t="inlineStr">
        <is>
          <t>SC05</t>
        </is>
      </c>
      <c r="E930" s="46" t="inlineStr">
        <is>
          <t>Zero-Day / Edge Device</t>
        </is>
      </c>
      <c r="F930" s="74" t="n"/>
    </row>
    <row r="931" ht="13.5" customHeight="1" s="38">
      <c r="A931" s="46" t="inlineStr">
        <is>
          <t>R_0928</t>
        </is>
      </c>
      <c r="B931" s="46" t="inlineStr">
        <is>
          <t>R_S2_SC02_I10</t>
        </is>
      </c>
      <c r="C931" s="46" t="inlineStr">
        <is>
          <t>Strategy 2 – Zero-Shot + Template + BLUF</t>
        </is>
      </c>
      <c r="D931" s="75" t="inlineStr">
        <is>
          <t>SC02</t>
        </is>
      </c>
      <c r="E931" s="46" t="inlineStr">
        <is>
          <t>Ransomware</t>
        </is>
      </c>
      <c r="F931" s="74" t="n"/>
    </row>
    <row r="932" ht="13.5" customHeight="1" s="38">
      <c r="A932" s="46" t="inlineStr">
        <is>
          <t>R_0929</t>
        </is>
      </c>
      <c r="B932" s="46" t="inlineStr">
        <is>
          <t>Z_S0_SC01_I03</t>
        </is>
      </c>
      <c r="C932" s="46" t="inlineStr">
        <is>
          <t>Baseline – Zero-Shot (minimal instruction)</t>
        </is>
      </c>
      <c r="D932" s="75" t="inlineStr">
        <is>
          <t>SC01</t>
        </is>
      </c>
      <c r="E932" s="46" t="inlineStr">
        <is>
          <t>Zero-Day / Edge Device</t>
        </is>
      </c>
      <c r="F932" s="74" t="n"/>
    </row>
    <row r="933" ht="13.5" customHeight="1" s="38">
      <c r="A933" s="46" t="inlineStr">
        <is>
          <t>R_0930</t>
        </is>
      </c>
      <c r="B933" s="46" t="inlineStr">
        <is>
          <t>Z_S1_SC05_I07</t>
        </is>
      </c>
      <c r="C933" s="46" t="inlineStr">
        <is>
          <t>Strategy 1 – Zero-Shot + Structured Template</t>
        </is>
      </c>
      <c r="D933" s="75" t="inlineStr">
        <is>
          <t>SC05</t>
        </is>
      </c>
      <c r="E933" s="46" t="inlineStr">
        <is>
          <t>Zero-Day / Edge Device</t>
        </is>
      </c>
      <c r="F933" s="74" t="n"/>
    </row>
    <row r="934" ht="13.5" customHeight="1" s="38">
      <c r="A934" s="46" t="inlineStr">
        <is>
          <t>R_0931</t>
        </is>
      </c>
      <c r="B934" s="46" t="inlineStr">
        <is>
          <t>R_S2_SC03_I04</t>
        </is>
      </c>
      <c r="C934" s="46" t="inlineStr">
        <is>
          <t>Strategy 2 – Zero-Shot + Template + BLUF</t>
        </is>
      </c>
      <c r="D934" s="75" t="inlineStr">
        <is>
          <t>SC03</t>
        </is>
      </c>
      <c r="E934" s="46" t="inlineStr">
        <is>
          <t>Ransomware</t>
        </is>
      </c>
      <c r="F934" s="74" t="n"/>
    </row>
    <row r="935" ht="13.5" customHeight="1" s="38">
      <c r="A935" s="46" t="inlineStr">
        <is>
          <t>R_0932</t>
        </is>
      </c>
      <c r="B935" s="46" t="inlineStr">
        <is>
          <t>S_S2_SC05_I06</t>
        </is>
      </c>
      <c r="C935" s="46" t="inlineStr">
        <is>
          <t>Strategy 2 – Zero-Shot + Template + BLUF</t>
        </is>
      </c>
      <c r="D935" s="75" t="inlineStr">
        <is>
          <t>SC05</t>
        </is>
      </c>
      <c r="E935" s="46" t="inlineStr">
        <is>
          <t>Supply Chain</t>
        </is>
      </c>
      <c r="F935" s="74" t="n"/>
    </row>
    <row r="936" ht="13.5" customHeight="1" s="38">
      <c r="A936" s="46" t="inlineStr">
        <is>
          <t>R_0933</t>
        </is>
      </c>
      <c r="B936" s="46" t="inlineStr">
        <is>
          <t>Z_S2_SC03_I02</t>
        </is>
      </c>
      <c r="C936" s="46" t="inlineStr">
        <is>
          <t>Strategy 2 – Zero-Shot + Template + BLUF</t>
        </is>
      </c>
      <c r="D936" s="75" t="inlineStr">
        <is>
          <t>SC03</t>
        </is>
      </c>
      <c r="E936" s="46" t="inlineStr">
        <is>
          <t>Zero-Day / Edge Device</t>
        </is>
      </c>
      <c r="F936" s="74" t="n"/>
    </row>
    <row r="937" ht="13.5" customHeight="1" s="38">
      <c r="A937" s="46" t="inlineStr">
        <is>
          <t>R_0934</t>
        </is>
      </c>
      <c r="B937" s="46" t="inlineStr">
        <is>
          <t>Z_S2_SC05_I04</t>
        </is>
      </c>
      <c r="C937" s="46" t="inlineStr">
        <is>
          <t>Strategy 2 – Zero-Shot + Template + BLUF</t>
        </is>
      </c>
      <c r="D937" s="75" t="inlineStr">
        <is>
          <t>SC05</t>
        </is>
      </c>
      <c r="E937" s="46" t="inlineStr">
        <is>
          <t>Zero-Day / Edge Device</t>
        </is>
      </c>
      <c r="F937" s="74" t="n"/>
    </row>
    <row r="938" ht="13.5" customHeight="1" s="38">
      <c r="A938" s="46" t="inlineStr">
        <is>
          <t>R_0935</t>
        </is>
      </c>
      <c r="B938" s="46" t="inlineStr">
        <is>
          <t>B_S0_SC01_I04</t>
        </is>
      </c>
      <c r="C938" s="46" t="inlineStr">
        <is>
          <t>Baseline – Zero-Shot (minimal instruction)</t>
        </is>
      </c>
      <c r="D938" s="75" t="inlineStr">
        <is>
          <t>SC01</t>
        </is>
      </c>
      <c r="E938" s="46" t="inlineStr">
        <is>
          <t>Business Email Compromise</t>
        </is>
      </c>
      <c r="F938" s="74" t="n"/>
    </row>
    <row r="939" ht="13.5" customHeight="1" s="38">
      <c r="A939" s="46" t="inlineStr">
        <is>
          <t>R_0936</t>
        </is>
      </c>
      <c r="B939" s="46" t="inlineStr">
        <is>
          <t>Z_S2_SC02_I05</t>
        </is>
      </c>
      <c r="C939" s="46" t="inlineStr">
        <is>
          <t>Strategy 2 – Zero-Shot + Template + BLUF</t>
        </is>
      </c>
      <c r="D939" s="75" t="inlineStr">
        <is>
          <t>SC02</t>
        </is>
      </c>
      <c r="E939" s="46" t="inlineStr">
        <is>
          <t>Zero-Day / Edge Device</t>
        </is>
      </c>
      <c r="F939" s="74" t="n"/>
    </row>
    <row r="940" ht="13.5" customHeight="1" s="38">
      <c r="A940" s="46" t="inlineStr">
        <is>
          <t>R_0937</t>
        </is>
      </c>
      <c r="B940" s="46" t="inlineStr">
        <is>
          <t>Z_S3_SC02_I10</t>
        </is>
      </c>
      <c r="C940" s="46" t="inlineStr">
        <is>
          <t>Strategy 3 – One-Shot + Structured Template</t>
        </is>
      </c>
      <c r="D940" s="75" t="inlineStr">
        <is>
          <t>SC02</t>
        </is>
      </c>
      <c r="E940" s="46" t="inlineStr">
        <is>
          <t>Zero-Day / Edge Device</t>
        </is>
      </c>
      <c r="F940" s="74" t="n"/>
    </row>
    <row r="941" ht="13.5" customHeight="1" s="38">
      <c r="A941" s="46" t="inlineStr">
        <is>
          <t>R_0938</t>
        </is>
      </c>
      <c r="B941" s="46" t="inlineStr">
        <is>
          <t>S_S3_SC05_I09</t>
        </is>
      </c>
      <c r="C941" s="46" t="inlineStr">
        <is>
          <t>Strategy 3 – One-Shot + Structured Template</t>
        </is>
      </c>
      <c r="D941" s="75" t="inlineStr">
        <is>
          <t>SC05</t>
        </is>
      </c>
      <c r="E941" s="46" t="inlineStr">
        <is>
          <t>Supply Chain</t>
        </is>
      </c>
      <c r="F941" s="74" t="n"/>
    </row>
    <row r="942" ht="13.5" customHeight="1" s="38">
      <c r="A942" s="46" t="inlineStr">
        <is>
          <t>R_0939</t>
        </is>
      </c>
      <c r="B942" s="46" t="inlineStr">
        <is>
          <t>R_S0_SC04_I04</t>
        </is>
      </c>
      <c r="C942" s="46" t="inlineStr">
        <is>
          <t>Baseline – Zero-Shot (minimal instruction)</t>
        </is>
      </c>
      <c r="D942" s="75" t="inlineStr">
        <is>
          <t>SC04</t>
        </is>
      </c>
      <c r="E942" s="46" t="inlineStr">
        <is>
          <t>Ransomware</t>
        </is>
      </c>
      <c r="F942" s="74" t="n"/>
    </row>
    <row r="943" ht="13.5" customHeight="1" s="38">
      <c r="A943" s="46" t="inlineStr">
        <is>
          <t>R_0940</t>
        </is>
      </c>
      <c r="B943" s="46" t="inlineStr">
        <is>
          <t>S_S4_SC01_I08</t>
        </is>
      </c>
      <c r="C943" s="46" t="inlineStr">
        <is>
          <t>Strategy 4 – One-Shot + Template + BLUF</t>
        </is>
      </c>
      <c r="D943" s="75" t="inlineStr">
        <is>
          <t>SC01</t>
        </is>
      </c>
      <c r="E943" s="46" t="inlineStr">
        <is>
          <t>Supply Chain</t>
        </is>
      </c>
      <c r="F943" s="74" t="n"/>
    </row>
    <row r="944" ht="13.5" customHeight="1" s="38">
      <c r="A944" s="46" t="inlineStr">
        <is>
          <t>R_0941</t>
        </is>
      </c>
      <c r="B944" s="46" t="inlineStr">
        <is>
          <t>Z_S2_SC01_I08</t>
        </is>
      </c>
      <c r="C944" s="46" t="inlineStr">
        <is>
          <t>Strategy 2 – Zero-Shot + Template + BLUF</t>
        </is>
      </c>
      <c r="D944" s="75" t="inlineStr">
        <is>
          <t>SC01</t>
        </is>
      </c>
      <c r="E944" s="46" t="inlineStr">
        <is>
          <t>Zero-Day / Edge Device</t>
        </is>
      </c>
      <c r="F944" s="74" t="n"/>
    </row>
    <row r="945" ht="13.5" customHeight="1" s="38">
      <c r="A945" s="46" t="inlineStr">
        <is>
          <t>R_0942</t>
        </is>
      </c>
      <c r="B945" s="46" t="inlineStr">
        <is>
          <t>R_S1_SC01_I05</t>
        </is>
      </c>
      <c r="C945" s="46" t="inlineStr">
        <is>
          <t>Strategy 1 – Zero-Shot + Structured Template</t>
        </is>
      </c>
      <c r="D945" s="75" t="inlineStr">
        <is>
          <t>SC01</t>
        </is>
      </c>
      <c r="E945" s="46" t="inlineStr">
        <is>
          <t>Ransomware</t>
        </is>
      </c>
      <c r="F945" s="74" t="n"/>
    </row>
    <row r="946" ht="13.5" customHeight="1" s="38">
      <c r="A946" s="46" t="inlineStr">
        <is>
          <t>R_0943</t>
        </is>
      </c>
      <c r="B946" s="46" t="inlineStr">
        <is>
          <t>Z_S2_SC01_I01</t>
        </is>
      </c>
      <c r="C946" s="46" t="inlineStr">
        <is>
          <t>Strategy 2 – Zero-Shot + Template + BLUF</t>
        </is>
      </c>
      <c r="D946" s="75" t="inlineStr">
        <is>
          <t>SC01</t>
        </is>
      </c>
      <c r="E946" s="46" t="inlineStr">
        <is>
          <t>Zero-Day / Edge Device</t>
        </is>
      </c>
      <c r="F946" s="74" t="n"/>
    </row>
    <row r="947" ht="13.5" customHeight="1" s="38">
      <c r="A947" s="46" t="inlineStr">
        <is>
          <t>R_0944</t>
        </is>
      </c>
      <c r="B947" s="46" t="inlineStr">
        <is>
          <t>B_S0_SC02_I08</t>
        </is>
      </c>
      <c r="C947" s="46" t="inlineStr">
        <is>
          <t>Baseline – Zero-Shot (minimal instruction)</t>
        </is>
      </c>
      <c r="D947" s="75" t="inlineStr">
        <is>
          <t>SC02</t>
        </is>
      </c>
      <c r="E947" s="46" t="inlineStr">
        <is>
          <t>Business Email Compromise</t>
        </is>
      </c>
      <c r="F947" s="74" t="n"/>
    </row>
    <row r="948" ht="13.5" customHeight="1" s="38">
      <c r="A948" s="46" t="inlineStr">
        <is>
          <t>R_0945</t>
        </is>
      </c>
      <c r="B948" s="46" t="inlineStr">
        <is>
          <t>Z_S4_SC05_I10</t>
        </is>
      </c>
      <c r="C948" s="46" t="inlineStr">
        <is>
          <t>Strategy 4 – One-Shot + Template + BLUF</t>
        </is>
      </c>
      <c r="D948" s="75" t="inlineStr">
        <is>
          <t>SC05</t>
        </is>
      </c>
      <c r="E948" s="46" t="inlineStr">
        <is>
          <t>Zero-Day / Edge Device</t>
        </is>
      </c>
      <c r="F948" s="74" t="n"/>
    </row>
    <row r="949" ht="13.5" customHeight="1" s="38">
      <c r="A949" s="46" t="inlineStr">
        <is>
          <t>R_0946</t>
        </is>
      </c>
      <c r="B949" s="46" t="inlineStr">
        <is>
          <t>R_S4_SC03_I02</t>
        </is>
      </c>
      <c r="C949" s="46" t="inlineStr">
        <is>
          <t>Strategy 4 – One-Shot + Template + BLUF</t>
        </is>
      </c>
      <c r="D949" s="75" t="inlineStr">
        <is>
          <t>SC03</t>
        </is>
      </c>
      <c r="E949" s="46" t="inlineStr">
        <is>
          <t>Ransomware</t>
        </is>
      </c>
      <c r="F949" s="74" t="n"/>
    </row>
    <row r="950" ht="13.5" customHeight="1" s="38">
      <c r="A950" s="46" t="inlineStr">
        <is>
          <t>R_0947</t>
        </is>
      </c>
      <c r="B950" s="46" t="inlineStr">
        <is>
          <t>B_S0_SC05_I02</t>
        </is>
      </c>
      <c r="C950" s="46" t="inlineStr">
        <is>
          <t>Baseline – Zero-Shot (minimal instruction)</t>
        </is>
      </c>
      <c r="D950" s="75" t="inlineStr">
        <is>
          <t>SC05</t>
        </is>
      </c>
      <c r="E950" s="46" t="inlineStr">
        <is>
          <t>Business Email Compromise</t>
        </is>
      </c>
      <c r="F950" s="74" t="n"/>
    </row>
    <row r="951" ht="13.5" customHeight="1" s="38">
      <c r="A951" s="46" t="inlineStr">
        <is>
          <t>R_0948</t>
        </is>
      </c>
      <c r="B951" s="46" t="inlineStr">
        <is>
          <t>B_S3_SC04_I04</t>
        </is>
      </c>
      <c r="C951" s="46" t="inlineStr">
        <is>
          <t>Strategy 3 – One-Shot + Structured Template</t>
        </is>
      </c>
      <c r="D951" s="75" t="inlineStr">
        <is>
          <t>SC04</t>
        </is>
      </c>
      <c r="E951" s="46" t="inlineStr">
        <is>
          <t>Business Email Compromise</t>
        </is>
      </c>
      <c r="F951" s="74" t="n"/>
    </row>
    <row r="952" ht="13.5" customHeight="1" s="38">
      <c r="A952" s="46" t="inlineStr">
        <is>
          <t>R_0949</t>
        </is>
      </c>
      <c r="B952" s="46" t="inlineStr">
        <is>
          <t>S_S0_SC04_I07</t>
        </is>
      </c>
      <c r="C952" s="46" t="inlineStr">
        <is>
          <t>Baseline – Zero-Shot (minimal instruction)</t>
        </is>
      </c>
      <c r="D952" s="75" t="inlineStr">
        <is>
          <t>SC04</t>
        </is>
      </c>
      <c r="E952" s="46" t="inlineStr">
        <is>
          <t>Supply Chain</t>
        </is>
      </c>
      <c r="F952" s="74" t="n"/>
    </row>
    <row r="953" ht="13.5" customHeight="1" s="38">
      <c r="A953" s="46" t="inlineStr">
        <is>
          <t>R_0950</t>
        </is>
      </c>
      <c r="B953" s="46" t="inlineStr">
        <is>
          <t>B_S1_SC02_I10</t>
        </is>
      </c>
      <c r="C953" s="46" t="inlineStr">
        <is>
          <t>Strategy 1 – Zero-Shot + Structured Template</t>
        </is>
      </c>
      <c r="D953" s="75" t="inlineStr">
        <is>
          <t>SC02</t>
        </is>
      </c>
      <c r="E953" s="46" t="inlineStr">
        <is>
          <t>Business Email Compromise</t>
        </is>
      </c>
      <c r="F953" s="74" t="n"/>
    </row>
    <row r="954" ht="13.5" customHeight="1" s="38">
      <c r="A954" s="46" t="inlineStr">
        <is>
          <t>R_0951</t>
        </is>
      </c>
      <c r="B954" s="46" t="inlineStr">
        <is>
          <t>B_S1_SC02_I03</t>
        </is>
      </c>
      <c r="C954" s="46" t="inlineStr">
        <is>
          <t>Strategy 1 – Zero-Shot + Structured Template</t>
        </is>
      </c>
      <c r="D954" s="75" t="inlineStr">
        <is>
          <t>SC02</t>
        </is>
      </c>
      <c r="E954" s="46" t="inlineStr">
        <is>
          <t>Business Email Compromise</t>
        </is>
      </c>
      <c r="F954" s="74" t="n"/>
    </row>
    <row r="955" ht="13.5" customHeight="1" s="38">
      <c r="A955" s="46" t="inlineStr">
        <is>
          <t>R_0952</t>
        </is>
      </c>
      <c r="B955" s="46" t="inlineStr">
        <is>
          <t>R_S4_SC03_I09</t>
        </is>
      </c>
      <c r="C955" s="46" t="inlineStr">
        <is>
          <t>Strategy 4 – One-Shot + Template + BLUF</t>
        </is>
      </c>
      <c r="D955" s="75" t="inlineStr">
        <is>
          <t>SC03</t>
        </is>
      </c>
      <c r="E955" s="46" t="inlineStr">
        <is>
          <t>Ransomware</t>
        </is>
      </c>
      <c r="F955" s="74" t="n"/>
    </row>
    <row r="956" ht="13.5" customHeight="1" s="38">
      <c r="A956" s="46" t="inlineStr">
        <is>
          <t>R_0953</t>
        </is>
      </c>
      <c r="B956" s="46" t="inlineStr">
        <is>
          <t>B_S0_SC02_I10</t>
        </is>
      </c>
      <c r="C956" s="46" t="inlineStr">
        <is>
          <t>Baseline – Zero-Shot (minimal instruction)</t>
        </is>
      </c>
      <c r="D956" s="75" t="inlineStr">
        <is>
          <t>SC02</t>
        </is>
      </c>
      <c r="E956" s="46" t="inlineStr">
        <is>
          <t>Business Email Compromise</t>
        </is>
      </c>
      <c r="F956" s="74" t="n"/>
    </row>
    <row r="957" ht="13.5" customHeight="1" s="38">
      <c r="A957" s="46" t="inlineStr">
        <is>
          <t>R_0954</t>
        </is>
      </c>
      <c r="B957" s="46" t="inlineStr">
        <is>
          <t>B_S3_SC02_I05</t>
        </is>
      </c>
      <c r="C957" s="46" t="inlineStr">
        <is>
          <t>Strategy 3 – One-Shot + Structured Template</t>
        </is>
      </c>
      <c r="D957" s="75" t="inlineStr">
        <is>
          <t>SC02</t>
        </is>
      </c>
      <c r="E957" s="46" t="inlineStr">
        <is>
          <t>Business Email Compromise</t>
        </is>
      </c>
      <c r="F957" s="74" t="n"/>
    </row>
    <row r="958" ht="13.5" customHeight="1" s="38">
      <c r="A958" s="46" t="inlineStr">
        <is>
          <t>R_0955</t>
        </is>
      </c>
      <c r="B958" s="46" t="inlineStr">
        <is>
          <t>Z_S0_SC03_I01</t>
        </is>
      </c>
      <c r="C958" s="46" t="inlineStr">
        <is>
          <t>Baseline – Zero-Shot (minimal instruction)</t>
        </is>
      </c>
      <c r="D958" s="75" t="inlineStr">
        <is>
          <t>SC03</t>
        </is>
      </c>
      <c r="E958" s="46" t="inlineStr">
        <is>
          <t>Zero-Day / Edge Device</t>
        </is>
      </c>
      <c r="F958" s="74" t="n"/>
    </row>
    <row r="959" ht="13.5" customHeight="1" s="38">
      <c r="A959" s="46" t="inlineStr">
        <is>
          <t>R_0956</t>
        </is>
      </c>
      <c r="B959" s="46" t="inlineStr">
        <is>
          <t>Z_S2_SC04_I03</t>
        </is>
      </c>
      <c r="C959" s="46" t="inlineStr">
        <is>
          <t>Strategy 2 – Zero-Shot + Template + BLUF</t>
        </is>
      </c>
      <c r="D959" s="75" t="inlineStr">
        <is>
          <t>SC04</t>
        </is>
      </c>
      <c r="E959" s="46" t="inlineStr">
        <is>
          <t>Zero-Day / Edge Device</t>
        </is>
      </c>
      <c r="F959" s="74" t="n"/>
    </row>
    <row r="960" ht="13.5" customHeight="1" s="38">
      <c r="A960" s="46" t="inlineStr">
        <is>
          <t>R_0957</t>
        </is>
      </c>
      <c r="B960" s="46" t="inlineStr">
        <is>
          <t>B_S2_SC04_I09</t>
        </is>
      </c>
      <c r="C960" s="46" t="inlineStr">
        <is>
          <t>Strategy 2 – Zero-Shot + Template + BLUF</t>
        </is>
      </c>
      <c r="D960" s="75" t="inlineStr">
        <is>
          <t>SC04</t>
        </is>
      </c>
      <c r="E960" s="46" t="inlineStr">
        <is>
          <t>Business Email Compromise</t>
        </is>
      </c>
      <c r="F960" s="74" t="n"/>
    </row>
    <row r="961" ht="13.5" customHeight="1" s="38">
      <c r="A961" s="46" t="inlineStr">
        <is>
          <t>R_0958</t>
        </is>
      </c>
      <c r="B961" s="46" t="inlineStr">
        <is>
          <t>S_S0_SC02_I10</t>
        </is>
      </c>
      <c r="C961" s="46" t="inlineStr">
        <is>
          <t>Baseline – Zero-Shot (minimal instruction)</t>
        </is>
      </c>
      <c r="D961" s="75" t="inlineStr">
        <is>
          <t>SC02</t>
        </is>
      </c>
      <c r="E961" s="46" t="inlineStr">
        <is>
          <t>Supply Chain</t>
        </is>
      </c>
      <c r="F961" s="74" t="n"/>
    </row>
    <row r="962" ht="13.5" customHeight="1" s="38">
      <c r="A962" s="46" t="inlineStr">
        <is>
          <t>R_0959</t>
        </is>
      </c>
      <c r="B962" s="46" t="inlineStr">
        <is>
          <t>B_S1_SC03_I04</t>
        </is>
      </c>
      <c r="C962" s="46" t="inlineStr">
        <is>
          <t>Strategy 1 – Zero-Shot + Structured Template</t>
        </is>
      </c>
      <c r="D962" s="75" t="inlineStr">
        <is>
          <t>SC03</t>
        </is>
      </c>
      <c r="E962" s="46" t="inlineStr">
        <is>
          <t>Business Email Compromise</t>
        </is>
      </c>
      <c r="F962" s="74" t="n"/>
    </row>
    <row r="963" ht="13.5" customHeight="1" s="38">
      <c r="A963" s="46" t="inlineStr">
        <is>
          <t>R_0960</t>
        </is>
      </c>
      <c r="B963" s="46" t="inlineStr">
        <is>
          <t>R_S3_SC04_I05</t>
        </is>
      </c>
      <c r="C963" s="46" t="inlineStr">
        <is>
          <t>Strategy 3 – One-Shot + Structured Template</t>
        </is>
      </c>
      <c r="D963" s="75" t="inlineStr">
        <is>
          <t>SC04</t>
        </is>
      </c>
      <c r="E963" s="46" t="inlineStr">
        <is>
          <t>Ransomware</t>
        </is>
      </c>
      <c r="F963" s="74" t="n"/>
    </row>
    <row r="964" ht="13.5" customHeight="1" s="38">
      <c r="A964" s="46" t="inlineStr">
        <is>
          <t>R_0961</t>
        </is>
      </c>
      <c r="B964" s="46" t="inlineStr">
        <is>
          <t>B_S1_SC04_I02</t>
        </is>
      </c>
      <c r="C964" s="46" t="inlineStr">
        <is>
          <t>Strategy 1 – Zero-Shot + Structured Template</t>
        </is>
      </c>
      <c r="D964" s="75" t="inlineStr">
        <is>
          <t>SC04</t>
        </is>
      </c>
      <c r="E964" s="46" t="inlineStr">
        <is>
          <t>Business Email Compromise</t>
        </is>
      </c>
      <c r="F964" s="74" t="n"/>
    </row>
    <row r="965" ht="13.5" customHeight="1" s="38">
      <c r="A965" s="46" t="inlineStr">
        <is>
          <t>R_0962</t>
        </is>
      </c>
      <c r="B965" s="46" t="inlineStr">
        <is>
          <t>Z_S3_SC02_I06</t>
        </is>
      </c>
      <c r="C965" s="46" t="inlineStr">
        <is>
          <t>Strategy 3 – One-Shot + Structured Template</t>
        </is>
      </c>
      <c r="D965" s="75" t="inlineStr">
        <is>
          <t>SC02</t>
        </is>
      </c>
      <c r="E965" s="46" t="inlineStr">
        <is>
          <t>Zero-Day / Edge Device</t>
        </is>
      </c>
      <c r="F965" s="74" t="n"/>
    </row>
    <row r="966" ht="13.5" customHeight="1" s="38">
      <c r="A966" s="46" t="inlineStr">
        <is>
          <t>R_0963</t>
        </is>
      </c>
      <c r="B966" s="46" t="inlineStr">
        <is>
          <t>Z_S4_SC03_I05</t>
        </is>
      </c>
      <c r="C966" s="46" t="inlineStr">
        <is>
          <t>Strategy 4 – One-Shot + Template + BLUF</t>
        </is>
      </c>
      <c r="D966" s="75" t="inlineStr">
        <is>
          <t>SC03</t>
        </is>
      </c>
      <c r="E966" s="46" t="inlineStr">
        <is>
          <t>Zero-Day / Edge Device</t>
        </is>
      </c>
      <c r="F966" s="74" t="n"/>
    </row>
    <row r="967" ht="13.5" customHeight="1" s="38">
      <c r="A967" s="46" t="inlineStr">
        <is>
          <t>R_0964</t>
        </is>
      </c>
      <c r="B967" s="46" t="inlineStr">
        <is>
          <t>B_S2_SC03_I04</t>
        </is>
      </c>
      <c r="C967" s="46" t="inlineStr">
        <is>
          <t>Strategy 2 – Zero-Shot + Template + BLUF</t>
        </is>
      </c>
      <c r="D967" s="75" t="inlineStr">
        <is>
          <t>SC03</t>
        </is>
      </c>
      <c r="E967" s="46" t="inlineStr">
        <is>
          <t>Business Email Compromise</t>
        </is>
      </c>
      <c r="F967" s="74" t="n"/>
    </row>
    <row r="968" ht="13.5" customHeight="1" s="38">
      <c r="A968" s="46" t="inlineStr">
        <is>
          <t>R_0965</t>
        </is>
      </c>
      <c r="B968" s="46" t="inlineStr">
        <is>
          <t>Z_S0_SC04_I10</t>
        </is>
      </c>
      <c r="C968" s="46" t="inlineStr">
        <is>
          <t>Baseline – Zero-Shot (minimal instruction)</t>
        </is>
      </c>
      <c r="D968" s="75" t="inlineStr">
        <is>
          <t>SC04</t>
        </is>
      </c>
      <c r="E968" s="46" t="inlineStr">
        <is>
          <t>Zero-Day / Edge Device</t>
        </is>
      </c>
      <c r="F968" s="74" t="n"/>
    </row>
    <row r="969" ht="13.5" customHeight="1" s="38">
      <c r="A969" s="46" t="inlineStr">
        <is>
          <t>R_0966</t>
        </is>
      </c>
      <c r="B969" s="46" t="inlineStr">
        <is>
          <t>B_S1_SC05_I08</t>
        </is>
      </c>
      <c r="C969" s="46" t="inlineStr">
        <is>
          <t>Strategy 1 – Zero-Shot + Structured Template</t>
        </is>
      </c>
      <c r="D969" s="75" t="inlineStr">
        <is>
          <t>SC05</t>
        </is>
      </c>
      <c r="E969" s="46" t="inlineStr">
        <is>
          <t>Business Email Compromise</t>
        </is>
      </c>
      <c r="F969" s="74" t="n"/>
    </row>
    <row r="970" ht="13.5" customHeight="1" s="38">
      <c r="A970" s="46" t="inlineStr">
        <is>
          <t>R_0967</t>
        </is>
      </c>
      <c r="B970" s="46" t="inlineStr">
        <is>
          <t>R_S2_SC05_I04</t>
        </is>
      </c>
      <c r="C970" s="46" t="inlineStr">
        <is>
          <t>Strategy 2 – Zero-Shot + Template + BLUF</t>
        </is>
      </c>
      <c r="D970" s="75" t="inlineStr">
        <is>
          <t>SC05</t>
        </is>
      </c>
      <c r="E970" s="46" t="inlineStr">
        <is>
          <t>Ransomware</t>
        </is>
      </c>
      <c r="F970" s="74" t="n"/>
    </row>
    <row r="971" ht="13.5" customHeight="1" s="38">
      <c r="A971" s="46" t="inlineStr">
        <is>
          <t>R_0968</t>
        </is>
      </c>
      <c r="B971" s="46" t="inlineStr">
        <is>
          <t>S_S2_SC02_I04</t>
        </is>
      </c>
      <c r="C971" s="46" t="inlineStr">
        <is>
          <t>Strategy 2 – Zero-Shot + Template + BLUF</t>
        </is>
      </c>
      <c r="D971" s="75" t="inlineStr">
        <is>
          <t>SC02</t>
        </is>
      </c>
      <c r="E971" s="46" t="inlineStr">
        <is>
          <t>Supply Chain</t>
        </is>
      </c>
      <c r="F971" s="74" t="n"/>
    </row>
    <row r="972" ht="13.5" customHeight="1" s="38">
      <c r="A972" s="46" t="inlineStr">
        <is>
          <t>R_0969</t>
        </is>
      </c>
      <c r="B972" s="46" t="inlineStr">
        <is>
          <t>B_S2_SC04_I05</t>
        </is>
      </c>
      <c r="C972" s="46" t="inlineStr">
        <is>
          <t>Strategy 2 – Zero-Shot + Template + BLUF</t>
        </is>
      </c>
      <c r="D972" s="75" t="inlineStr">
        <is>
          <t>SC04</t>
        </is>
      </c>
      <c r="E972" s="46" t="inlineStr">
        <is>
          <t>Business Email Compromise</t>
        </is>
      </c>
      <c r="F972" s="74" t="n"/>
    </row>
    <row r="973" ht="13.5" customHeight="1" s="38">
      <c r="A973" s="46" t="inlineStr">
        <is>
          <t>R_0970</t>
        </is>
      </c>
      <c r="B973" s="46" t="inlineStr">
        <is>
          <t>Z_S4_SC03_I04</t>
        </is>
      </c>
      <c r="C973" s="46" t="inlineStr">
        <is>
          <t>Strategy 4 – One-Shot + Template + BLUF</t>
        </is>
      </c>
      <c r="D973" s="75" t="inlineStr">
        <is>
          <t>SC03</t>
        </is>
      </c>
      <c r="E973" s="46" t="inlineStr">
        <is>
          <t>Zero-Day / Edge Device</t>
        </is>
      </c>
      <c r="F973" s="74" t="n"/>
    </row>
    <row r="974" ht="13.5" customHeight="1" s="38">
      <c r="A974" s="46" t="inlineStr">
        <is>
          <t>R_0971</t>
        </is>
      </c>
      <c r="B974" s="46" t="inlineStr">
        <is>
          <t>R_S4_SC03_I04</t>
        </is>
      </c>
      <c r="C974" s="46" t="inlineStr">
        <is>
          <t>Strategy 4 – One-Shot + Template + BLUF</t>
        </is>
      </c>
      <c r="D974" s="75" t="inlineStr">
        <is>
          <t>SC03</t>
        </is>
      </c>
      <c r="E974" s="46" t="inlineStr">
        <is>
          <t>Ransomware</t>
        </is>
      </c>
      <c r="F974" s="74" t="n"/>
    </row>
    <row r="975" ht="13.5" customHeight="1" s="38">
      <c r="A975" s="46" t="inlineStr">
        <is>
          <t>R_0972</t>
        </is>
      </c>
      <c r="B975" s="46" t="inlineStr">
        <is>
          <t>R_S4_SC05_I04</t>
        </is>
      </c>
      <c r="C975" s="46" t="inlineStr">
        <is>
          <t>Strategy 4 – One-Shot + Template + BLUF</t>
        </is>
      </c>
      <c r="D975" s="75" t="inlineStr">
        <is>
          <t>SC05</t>
        </is>
      </c>
      <c r="E975" s="46" t="inlineStr">
        <is>
          <t>Ransomware</t>
        </is>
      </c>
      <c r="F975" s="74" t="n"/>
    </row>
    <row r="976" ht="13.5" customHeight="1" s="38">
      <c r="A976" s="46" t="inlineStr">
        <is>
          <t>R_0973</t>
        </is>
      </c>
      <c r="B976" s="46" t="inlineStr">
        <is>
          <t>R_S3_SC01_I08</t>
        </is>
      </c>
      <c r="C976" s="46" t="inlineStr">
        <is>
          <t>Strategy 3 – One-Shot + Structured Template</t>
        </is>
      </c>
      <c r="D976" s="75" t="inlineStr">
        <is>
          <t>SC01</t>
        </is>
      </c>
      <c r="E976" s="46" t="inlineStr">
        <is>
          <t>Ransomware</t>
        </is>
      </c>
      <c r="F976" s="74" t="n"/>
    </row>
    <row r="977" ht="13.5" customHeight="1" s="38">
      <c r="A977" s="46" t="inlineStr">
        <is>
          <t>R_0974</t>
        </is>
      </c>
      <c r="B977" s="46" t="inlineStr">
        <is>
          <t>R_S4_SC05_I07</t>
        </is>
      </c>
      <c r="C977" s="46" t="inlineStr">
        <is>
          <t>Strategy 4 – One-Shot + Template + BLUF</t>
        </is>
      </c>
      <c r="D977" s="75" t="inlineStr">
        <is>
          <t>SC05</t>
        </is>
      </c>
      <c r="E977" s="46" t="inlineStr">
        <is>
          <t>Ransomware</t>
        </is>
      </c>
      <c r="F977" s="74" t="n"/>
    </row>
    <row r="978" ht="13.5" customHeight="1" s="38">
      <c r="A978" s="46" t="inlineStr">
        <is>
          <t>R_0975</t>
        </is>
      </c>
      <c r="B978" s="46" t="inlineStr">
        <is>
          <t>Z_S0_SC05_I01</t>
        </is>
      </c>
      <c r="C978" s="46" t="inlineStr">
        <is>
          <t>Baseline – Zero-Shot (minimal instruction)</t>
        </is>
      </c>
      <c r="D978" s="75" t="inlineStr">
        <is>
          <t>SC05</t>
        </is>
      </c>
      <c r="E978" s="46" t="inlineStr">
        <is>
          <t>Zero-Day / Edge Device</t>
        </is>
      </c>
      <c r="F978" s="74" t="n"/>
    </row>
    <row r="979" ht="13.5" customHeight="1" s="38">
      <c r="A979" s="46" t="inlineStr">
        <is>
          <t>R_0976</t>
        </is>
      </c>
      <c r="B979" s="46" t="inlineStr">
        <is>
          <t>Z_S1_SC02_I02</t>
        </is>
      </c>
      <c r="C979" s="46" t="inlineStr">
        <is>
          <t>Strategy 1 – Zero-Shot + Structured Template</t>
        </is>
      </c>
      <c r="D979" s="75" t="inlineStr">
        <is>
          <t>SC02</t>
        </is>
      </c>
      <c r="E979" s="46" t="inlineStr">
        <is>
          <t>Zero-Day / Edge Device</t>
        </is>
      </c>
      <c r="F979" s="74" t="n"/>
    </row>
    <row r="980" ht="13.5" customHeight="1" s="38">
      <c r="A980" s="46" t="inlineStr">
        <is>
          <t>R_0977</t>
        </is>
      </c>
      <c r="B980" s="46" t="inlineStr">
        <is>
          <t>R_S1_SC03_I02</t>
        </is>
      </c>
      <c r="C980" s="46" t="inlineStr">
        <is>
          <t>Strategy 1 – Zero-Shot + Structured Template</t>
        </is>
      </c>
      <c r="D980" s="75" t="inlineStr">
        <is>
          <t>SC03</t>
        </is>
      </c>
      <c r="E980" s="46" t="inlineStr">
        <is>
          <t>Ransomware</t>
        </is>
      </c>
      <c r="F980" s="74" t="n"/>
    </row>
    <row r="981" ht="13.5" customHeight="1" s="38">
      <c r="A981" s="46" t="inlineStr">
        <is>
          <t>R_0978</t>
        </is>
      </c>
      <c r="B981" s="46" t="inlineStr">
        <is>
          <t>B_S2_SC02_I03</t>
        </is>
      </c>
      <c r="C981" s="46" t="inlineStr">
        <is>
          <t>Strategy 2 – Zero-Shot + Template + BLUF</t>
        </is>
      </c>
      <c r="D981" s="75" t="inlineStr">
        <is>
          <t>SC02</t>
        </is>
      </c>
      <c r="E981" s="46" t="inlineStr">
        <is>
          <t>Business Email Compromise</t>
        </is>
      </c>
      <c r="F981" s="74" t="n"/>
    </row>
    <row r="982" ht="13.5" customHeight="1" s="38">
      <c r="A982" s="46" t="inlineStr">
        <is>
          <t>R_0979</t>
        </is>
      </c>
      <c r="B982" s="46" t="inlineStr">
        <is>
          <t>S_S3_SC05_I07</t>
        </is>
      </c>
      <c r="C982" s="46" t="inlineStr">
        <is>
          <t>Strategy 3 – One-Shot + Structured Template</t>
        </is>
      </c>
      <c r="D982" s="75" t="inlineStr">
        <is>
          <t>SC05</t>
        </is>
      </c>
      <c r="E982" s="46" t="inlineStr">
        <is>
          <t>Supply Chain</t>
        </is>
      </c>
      <c r="F982" s="74" t="n"/>
    </row>
    <row r="983" ht="13.5" customHeight="1" s="38">
      <c r="A983" s="46" t="inlineStr">
        <is>
          <t>R_0980</t>
        </is>
      </c>
      <c r="B983" s="46" t="inlineStr">
        <is>
          <t>B_S4_SC02_I10</t>
        </is>
      </c>
      <c r="C983" s="46" t="inlineStr">
        <is>
          <t>Strategy 4 – One-Shot + Template + BLUF</t>
        </is>
      </c>
      <c r="D983" s="75" t="inlineStr">
        <is>
          <t>SC02</t>
        </is>
      </c>
      <c r="E983" s="46" t="inlineStr">
        <is>
          <t>Business Email Compromise</t>
        </is>
      </c>
      <c r="F983" s="74" t="n"/>
    </row>
    <row r="984" ht="13.5" customHeight="1" s="38">
      <c r="A984" s="46" t="inlineStr">
        <is>
          <t>R_0981</t>
        </is>
      </c>
      <c r="B984" s="46" t="inlineStr">
        <is>
          <t>S_S1_SC02_I03</t>
        </is>
      </c>
      <c r="C984" s="46" t="inlineStr">
        <is>
          <t>Strategy 1 – Zero-Shot + Structured Template</t>
        </is>
      </c>
      <c r="D984" s="75" t="inlineStr">
        <is>
          <t>SC02</t>
        </is>
      </c>
      <c r="E984" s="46" t="inlineStr">
        <is>
          <t>Supply Chain</t>
        </is>
      </c>
      <c r="F984" s="74" t="n"/>
    </row>
    <row r="985" ht="13.5" customHeight="1" s="38">
      <c r="A985" s="46" t="inlineStr">
        <is>
          <t>R_0982</t>
        </is>
      </c>
      <c r="B985" s="46" t="inlineStr">
        <is>
          <t>S_S3_SC05_I06</t>
        </is>
      </c>
      <c r="C985" s="46" t="inlineStr">
        <is>
          <t>Strategy 3 – One-Shot + Structured Template</t>
        </is>
      </c>
      <c r="D985" s="75" t="inlineStr">
        <is>
          <t>SC05</t>
        </is>
      </c>
      <c r="E985" s="46" t="inlineStr">
        <is>
          <t>Supply Chain</t>
        </is>
      </c>
      <c r="F985" s="74" t="n"/>
    </row>
    <row r="986" ht="13.5" customHeight="1" s="38">
      <c r="A986" s="46" t="inlineStr">
        <is>
          <t>R_0983</t>
        </is>
      </c>
      <c r="B986" s="46" t="inlineStr">
        <is>
          <t>Z_S3_SC05_I03</t>
        </is>
      </c>
      <c r="C986" s="46" t="inlineStr">
        <is>
          <t>Strategy 3 – One-Shot + Structured Template</t>
        </is>
      </c>
      <c r="D986" s="75" t="inlineStr">
        <is>
          <t>SC05</t>
        </is>
      </c>
      <c r="E986" s="46" t="inlineStr">
        <is>
          <t>Zero-Day / Edge Device</t>
        </is>
      </c>
      <c r="F986" s="74" t="n"/>
    </row>
    <row r="987" ht="13.5" customHeight="1" s="38">
      <c r="A987" s="46" t="inlineStr">
        <is>
          <t>R_0984</t>
        </is>
      </c>
      <c r="B987" s="46" t="inlineStr">
        <is>
          <t>R_S3_SC03_I10</t>
        </is>
      </c>
      <c r="C987" s="46" t="inlineStr">
        <is>
          <t>Strategy 3 – One-Shot + Structured Template</t>
        </is>
      </c>
      <c r="D987" s="75" t="inlineStr">
        <is>
          <t>SC03</t>
        </is>
      </c>
      <c r="E987" s="46" t="inlineStr">
        <is>
          <t>Ransomware</t>
        </is>
      </c>
      <c r="F987" s="74" t="n"/>
    </row>
    <row r="988" ht="13.5" customHeight="1" s="38">
      <c r="A988" s="46" t="inlineStr">
        <is>
          <t>R_0985</t>
        </is>
      </c>
      <c r="B988" s="46" t="inlineStr">
        <is>
          <t>B_S2_SC01_I09</t>
        </is>
      </c>
      <c r="C988" s="46" t="inlineStr">
        <is>
          <t>Strategy 2 – Zero-Shot + Template + BLUF</t>
        </is>
      </c>
      <c r="D988" s="75" t="inlineStr">
        <is>
          <t>SC01</t>
        </is>
      </c>
      <c r="E988" s="46" t="inlineStr">
        <is>
          <t>Business Email Compromise</t>
        </is>
      </c>
      <c r="F988" s="74" t="n"/>
    </row>
    <row r="989" ht="13.5" customHeight="1" s="38">
      <c r="A989" s="46" t="inlineStr">
        <is>
          <t>R_0986</t>
        </is>
      </c>
      <c r="B989" s="46" t="inlineStr">
        <is>
          <t>Z_S4_SC02_I03</t>
        </is>
      </c>
      <c r="C989" s="46" t="inlineStr">
        <is>
          <t>Strategy 4 – One-Shot + Template + BLUF</t>
        </is>
      </c>
      <c r="D989" s="75" t="inlineStr">
        <is>
          <t>SC02</t>
        </is>
      </c>
      <c r="E989" s="46" t="inlineStr">
        <is>
          <t>Zero-Day / Edge Device</t>
        </is>
      </c>
      <c r="F989" s="74" t="n"/>
    </row>
    <row r="990" ht="13.5" customHeight="1" s="38">
      <c r="A990" s="46" t="inlineStr">
        <is>
          <t>R_0987</t>
        </is>
      </c>
      <c r="B990" s="46" t="inlineStr">
        <is>
          <t>B_S3_SC01_I08</t>
        </is>
      </c>
      <c r="C990" s="46" t="inlineStr">
        <is>
          <t>Strategy 3 – One-Shot + Structured Template</t>
        </is>
      </c>
      <c r="D990" s="75" t="inlineStr">
        <is>
          <t>SC01</t>
        </is>
      </c>
      <c r="E990" s="46" t="inlineStr">
        <is>
          <t>Business Email Compromise</t>
        </is>
      </c>
      <c r="F990" s="74" t="n"/>
    </row>
    <row r="991" ht="13.5" customHeight="1" s="38">
      <c r="A991" s="46" t="inlineStr">
        <is>
          <t>R_0988</t>
        </is>
      </c>
      <c r="B991" s="46" t="inlineStr">
        <is>
          <t>S_S1_SC05_I02</t>
        </is>
      </c>
      <c r="C991" s="46" t="inlineStr">
        <is>
          <t>Strategy 1 – Zero-Shot + Structured Template</t>
        </is>
      </c>
      <c r="D991" s="75" t="inlineStr">
        <is>
          <t>SC05</t>
        </is>
      </c>
      <c r="E991" s="46" t="inlineStr">
        <is>
          <t>Supply Chain</t>
        </is>
      </c>
      <c r="F991" s="74" t="n"/>
    </row>
    <row r="992" ht="13.5" customHeight="1" s="38">
      <c r="A992" s="46" t="inlineStr">
        <is>
          <t>R_0989</t>
        </is>
      </c>
      <c r="B992" s="46" t="inlineStr">
        <is>
          <t>R_S4_SC01_I04</t>
        </is>
      </c>
      <c r="C992" s="46" t="inlineStr">
        <is>
          <t>Strategy 4 – One-Shot + Template + BLUF</t>
        </is>
      </c>
      <c r="D992" s="75" t="inlineStr">
        <is>
          <t>SC01</t>
        </is>
      </c>
      <c r="E992" s="46" t="inlineStr">
        <is>
          <t>Ransomware</t>
        </is>
      </c>
      <c r="F992" s="74" t="n"/>
    </row>
    <row r="993" ht="13.5" customHeight="1" s="38">
      <c r="A993" s="46" t="inlineStr">
        <is>
          <t>R_0990</t>
        </is>
      </c>
      <c r="B993" s="46" t="inlineStr">
        <is>
          <t>S_S4_SC02_I06</t>
        </is>
      </c>
      <c r="C993" s="46" t="inlineStr">
        <is>
          <t>Strategy 4 – One-Shot + Template + BLUF</t>
        </is>
      </c>
      <c r="D993" s="75" t="inlineStr">
        <is>
          <t>SC02</t>
        </is>
      </c>
      <c r="E993" s="46" t="inlineStr">
        <is>
          <t>Supply Chain</t>
        </is>
      </c>
      <c r="F993" s="74" t="n"/>
    </row>
    <row r="994" ht="13.5" customHeight="1" s="38">
      <c r="A994" s="46" t="inlineStr">
        <is>
          <t>R_0991</t>
        </is>
      </c>
      <c r="B994" s="46" t="inlineStr">
        <is>
          <t>R_S1_SC03_I04</t>
        </is>
      </c>
      <c r="C994" s="46" t="inlineStr">
        <is>
          <t>Strategy 1 – Zero-Shot + Structured Template</t>
        </is>
      </c>
      <c r="D994" s="75" t="inlineStr">
        <is>
          <t>SC03</t>
        </is>
      </c>
      <c r="E994" s="46" t="inlineStr">
        <is>
          <t>Ransomware</t>
        </is>
      </c>
      <c r="F994" s="74" t="n"/>
    </row>
    <row r="995" ht="13.5" customHeight="1" s="38">
      <c r="A995" s="46" t="inlineStr">
        <is>
          <t>R_0992</t>
        </is>
      </c>
      <c r="B995" s="46" t="inlineStr">
        <is>
          <t>Z_S1_SC03_I03</t>
        </is>
      </c>
      <c r="C995" s="46" t="inlineStr">
        <is>
          <t>Strategy 1 – Zero-Shot + Structured Template</t>
        </is>
      </c>
      <c r="D995" s="75" t="inlineStr">
        <is>
          <t>SC03</t>
        </is>
      </c>
      <c r="E995" s="46" t="inlineStr">
        <is>
          <t>Zero-Day / Edge Device</t>
        </is>
      </c>
      <c r="F995" s="74" t="n"/>
    </row>
    <row r="996" ht="13.5" customHeight="1" s="38">
      <c r="A996" s="46" t="inlineStr">
        <is>
          <t>R_0993</t>
        </is>
      </c>
      <c r="B996" s="46" t="inlineStr">
        <is>
          <t>B_S2_SC03_I08</t>
        </is>
      </c>
      <c r="C996" s="46" t="inlineStr">
        <is>
          <t>Strategy 2 – Zero-Shot + Template + BLUF</t>
        </is>
      </c>
      <c r="D996" s="75" t="inlineStr">
        <is>
          <t>SC03</t>
        </is>
      </c>
      <c r="E996" s="46" t="inlineStr">
        <is>
          <t>Business Email Compromise</t>
        </is>
      </c>
      <c r="F996" s="74" t="n"/>
    </row>
    <row r="997" ht="13.5" customHeight="1" s="38">
      <c r="A997" s="46" t="inlineStr">
        <is>
          <t>R_0994</t>
        </is>
      </c>
      <c r="B997" s="46" t="inlineStr">
        <is>
          <t>Z_S4_SC03_I08</t>
        </is>
      </c>
      <c r="C997" s="46" t="inlineStr">
        <is>
          <t>Strategy 4 – One-Shot + Template + BLUF</t>
        </is>
      </c>
      <c r="D997" s="75" t="inlineStr">
        <is>
          <t>SC03</t>
        </is>
      </c>
      <c r="E997" s="46" t="inlineStr">
        <is>
          <t>Zero-Day / Edge Device</t>
        </is>
      </c>
      <c r="F997" s="74" t="n"/>
    </row>
    <row r="998" ht="13.5" customHeight="1" s="38">
      <c r="A998" s="46" t="inlineStr">
        <is>
          <t>R_0995</t>
        </is>
      </c>
      <c r="B998" s="46" t="inlineStr">
        <is>
          <t>S_S2_SC04_I08</t>
        </is>
      </c>
      <c r="C998" s="46" t="inlineStr">
        <is>
          <t>Strategy 2 – Zero-Shot + Template + BLUF</t>
        </is>
      </c>
      <c r="D998" s="75" t="inlineStr">
        <is>
          <t>SC04</t>
        </is>
      </c>
      <c r="E998" s="46" t="inlineStr">
        <is>
          <t>Supply Chain</t>
        </is>
      </c>
      <c r="F998" s="74" t="n"/>
    </row>
    <row r="999" ht="13.5" customHeight="1" s="38">
      <c r="A999" s="46" t="inlineStr">
        <is>
          <t>R_0996</t>
        </is>
      </c>
      <c r="B999" s="46" t="inlineStr">
        <is>
          <t>S_S3_SC04_I01</t>
        </is>
      </c>
      <c r="C999" s="46" t="inlineStr">
        <is>
          <t>Strategy 3 – One-Shot + Structured Template</t>
        </is>
      </c>
      <c r="D999" s="75" t="inlineStr">
        <is>
          <t>SC04</t>
        </is>
      </c>
      <c r="E999" s="46" t="inlineStr">
        <is>
          <t>Supply Chain</t>
        </is>
      </c>
      <c r="F999" s="74" t="n"/>
    </row>
    <row r="1000" ht="13.5" customHeight="1" s="38">
      <c r="A1000" s="46" t="inlineStr">
        <is>
          <t>R_0997</t>
        </is>
      </c>
      <c r="B1000" s="46" t="inlineStr">
        <is>
          <t>R_S1_SC01_I03</t>
        </is>
      </c>
      <c r="C1000" s="46" t="inlineStr">
        <is>
          <t>Strategy 1 – Zero-Shot + Structured Template</t>
        </is>
      </c>
      <c r="D1000" s="75" t="inlineStr">
        <is>
          <t>SC01</t>
        </is>
      </c>
      <c r="E1000" s="46" t="inlineStr">
        <is>
          <t>Ransomware</t>
        </is>
      </c>
      <c r="F1000" s="74" t="n"/>
    </row>
    <row r="1001" ht="13.5" customHeight="1" s="38">
      <c r="A1001" s="46" t="inlineStr">
        <is>
          <t>R_0998</t>
        </is>
      </c>
      <c r="B1001" s="46" t="inlineStr">
        <is>
          <t>S_S4_SC04_I07</t>
        </is>
      </c>
      <c r="C1001" s="46" t="inlineStr">
        <is>
          <t>Strategy 4 – One-Shot + Template + BLUF</t>
        </is>
      </c>
      <c r="D1001" s="75" t="inlineStr">
        <is>
          <t>SC04</t>
        </is>
      </c>
      <c r="E1001" s="46" t="inlineStr">
        <is>
          <t>Supply Chain</t>
        </is>
      </c>
      <c r="F1001" s="74" t="n"/>
    </row>
    <row r="1002" ht="13.5" customHeight="1" s="38">
      <c r="A1002" s="46" t="inlineStr">
        <is>
          <t>R_0999</t>
        </is>
      </c>
      <c r="B1002" s="46" t="inlineStr">
        <is>
          <t>B_S4_SC03_I02</t>
        </is>
      </c>
      <c r="C1002" s="46" t="inlineStr">
        <is>
          <t>Strategy 4 – One-Shot + Template + BLUF</t>
        </is>
      </c>
      <c r="D1002" s="75" t="inlineStr">
        <is>
          <t>SC03</t>
        </is>
      </c>
      <c r="E1002" s="46" t="inlineStr">
        <is>
          <t>Business Email Compromise</t>
        </is>
      </c>
      <c r="F1002" s="74" t="n"/>
    </row>
    <row r="1003" ht="13.5" customHeight="1" s="38">
      <c r="A1003" s="46" t="inlineStr">
        <is>
          <t>R_1000</t>
        </is>
      </c>
      <c r="B1003" s="46" t="inlineStr">
        <is>
          <t>S_S2_SC05_I07</t>
        </is>
      </c>
      <c r="C1003" s="46" t="inlineStr">
        <is>
          <t>Strategy 2 – Zero-Shot + Template + BLUF</t>
        </is>
      </c>
      <c r="D1003" s="75" t="inlineStr">
        <is>
          <t>SC05</t>
        </is>
      </c>
      <c r="E1003" s="46" t="inlineStr">
        <is>
          <t>Supply Chain</t>
        </is>
      </c>
      <c r="F1003" s="74" t="n"/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05555555556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W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9921875" defaultRowHeight="15" customHeight="0" zeroHeight="0" outlineLevelRow="0"/>
  <cols>
    <col width="11" customWidth="1" style="37" min="1" max="1"/>
    <col width="8" customWidth="1" style="37" min="2" max="2"/>
    <col width="12" customWidth="1" style="37" min="3" max="4"/>
    <col width="10" customWidth="1" style="37" min="5" max="5"/>
    <col width="12" customWidth="1" style="37" min="6" max="7"/>
    <col width="10" customWidth="1" style="37" min="8" max="8"/>
    <col width="13" customWidth="1" style="37" min="9" max="10"/>
    <col width="11" customWidth="1" style="37" min="11" max="11"/>
    <col width="13" customWidth="1" style="37" min="12" max="13"/>
    <col width="11" customWidth="1" style="37" min="14" max="14"/>
    <col width="14" customWidth="1" style="37" min="15" max="16"/>
    <col width="15" customWidth="1" style="37" min="17" max="17"/>
    <col width="12" customWidth="1" style="37" min="18" max="18"/>
    <col width="10" customWidth="1" style="37" min="19" max="20"/>
    <col width="12" customWidth="1" style="37" min="21" max="21"/>
    <col width="16" customWidth="1" style="37" min="22" max="22"/>
    <col width="10" customWidth="1" style="37" min="23" max="23"/>
  </cols>
  <sheetData>
    <row r="1" ht="15" customHeight="1" s="38">
      <c r="A1" s="76" t="inlineStr">
        <is>
          <t>SCORE RECONCILIATION  |  Gemma3 vs Human-Analyst dual-scored reports (parsed from Blind Scoring Sheet)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  <c r="W1" s="62" t="n"/>
    </row>
    <row r="2" ht="15" customHeight="1" s="38">
      <c r="A2" s="77" t="inlineStr">
        <is>
          <t>Each row de-concatenates a "Gemma3 | Human" cell. Left of pipe = Gemma3 (model) score; right = human analyst. Δ = Human − Gemma3. Values are live formulas; edit the Blind Scoring Sheet and they update. Sort Key column is a unique tie-broken |Δ| used by the dashboard top-variance lookup.</t>
        </is>
      </c>
      <c r="B2" s="62" t="n"/>
      <c r="C2" s="62" t="n"/>
      <c r="D2" s="62" t="n"/>
      <c r="E2" s="62" t="n"/>
      <c r="F2" s="62" t="n"/>
      <c r="G2" s="62" t="n"/>
      <c r="H2" s="62" t="n"/>
      <c r="I2" s="62" t="n"/>
      <c r="J2" s="62" t="n"/>
      <c r="K2" s="62" t="n"/>
      <c r="L2" s="62" t="n"/>
      <c r="M2" s="62" t="n"/>
      <c r="N2" s="62" t="n"/>
      <c r="O2" s="62" t="n"/>
      <c r="P2" s="62" t="n"/>
      <c r="Q2" s="62" t="n"/>
      <c r="R2" s="62" t="n"/>
      <c r="S2" s="62" t="n"/>
      <c r="T2" s="62" t="n"/>
      <c r="U2" s="62" t="n"/>
      <c r="V2" s="62" t="n"/>
      <c r="W2" s="62" t="n"/>
    </row>
    <row r="3" ht="23.25" customHeight="1" s="38">
      <c r="A3" s="64" t="inlineStr">
        <is>
          <t>Random_ID</t>
        </is>
      </c>
      <c r="B3" s="64" t="inlineStr">
        <is>
          <t>Src Row</t>
        </is>
      </c>
      <c r="C3" s="64" t="inlineStr">
        <is>
          <t>Gemma3 Action</t>
        </is>
      </c>
      <c r="D3" s="64" t="inlineStr">
        <is>
          <t>Human Action</t>
        </is>
      </c>
      <c r="E3" s="64" t="inlineStr">
        <is>
          <t>Δ Action</t>
        </is>
      </c>
      <c r="F3" s="64" t="inlineStr">
        <is>
          <t>Gemma3 Rigor</t>
        </is>
      </c>
      <c r="G3" s="64" t="inlineStr">
        <is>
          <t>Human Rigor</t>
        </is>
      </c>
      <c r="H3" s="64" t="inlineStr">
        <is>
          <t>Δ Rigor</t>
        </is>
      </c>
      <c r="I3" s="64" t="inlineStr">
        <is>
          <t>Gemma3 Language</t>
        </is>
      </c>
      <c r="J3" s="64" t="inlineStr">
        <is>
          <t>Human Language</t>
        </is>
      </c>
      <c r="K3" s="64" t="inlineStr">
        <is>
          <t>Δ Language</t>
        </is>
      </c>
      <c r="L3" s="64" t="inlineStr">
        <is>
          <t>Gemma3 Structure</t>
        </is>
      </c>
      <c r="M3" s="64" t="inlineStr">
        <is>
          <t>Human Structure</t>
        </is>
      </c>
      <c r="N3" s="64" t="inlineStr">
        <is>
          <t>Δ Structure</t>
        </is>
      </c>
      <c r="O3" s="64" t="inlineStr">
        <is>
          <t>Gemma3 Composite</t>
        </is>
      </c>
      <c r="P3" s="64" t="inlineStr">
        <is>
          <t>Human Composite</t>
        </is>
      </c>
      <c r="Q3" s="64" t="inlineStr">
        <is>
          <t>Δ Composite (H−G)</t>
        </is>
      </c>
      <c r="R3" s="64" t="inlineStr">
        <is>
          <t>|Δ Composite|</t>
        </is>
      </c>
      <c r="S3" s="64" t="inlineStr">
        <is>
          <t>Gemma3 P/F</t>
        </is>
      </c>
      <c r="T3" s="64" t="inlineStr">
        <is>
          <t>Human P/F</t>
        </is>
      </c>
      <c r="U3" s="64" t="inlineStr">
        <is>
          <t>P/F Changed?</t>
        </is>
      </c>
      <c r="V3" s="64" t="inlineStr">
        <is>
          <t>Flip Direction</t>
        </is>
      </c>
      <c r="W3" s="64" t="inlineStr">
        <is>
          <t>Sort Key</t>
        </is>
      </c>
    </row>
    <row r="4" ht="15" customHeight="1" s="38">
      <c r="A4" s="75" t="inlineStr">
        <is>
          <t>R_0023</t>
        </is>
      </c>
      <c r="B4" s="50" t="n">
        <v>26</v>
      </c>
      <c r="C4" s="49">
        <f>VALUE(TRIM(LEFT('Blind Scoring Sheet'!B26,FIND("|",'Blind Scoring Sheet'!B26)-1)))</f>
        <v/>
      </c>
      <c r="D4" s="49">
        <f>VALUE(TRIM(MID('Blind Scoring Sheet'!B26,FIND("|",'Blind Scoring Sheet'!B26)+1,20)))</f>
        <v/>
      </c>
      <c r="E4" s="67">
        <f>D4-C4</f>
        <v/>
      </c>
      <c r="F4" s="49">
        <f>VALUE(TRIM(LEFT('Blind Scoring Sheet'!D26,FIND("|",'Blind Scoring Sheet'!D26)-1)))</f>
        <v/>
      </c>
      <c r="G4" s="49">
        <f>VALUE(TRIM(MID('Blind Scoring Sheet'!D26,FIND("|",'Blind Scoring Sheet'!D26)+1,20)))</f>
        <v/>
      </c>
      <c r="H4" s="67">
        <f>G4-F4</f>
        <v/>
      </c>
      <c r="I4" s="49">
        <f>VALUE(TRIM(LEFT('Blind Scoring Sheet'!F26,FIND("|",'Blind Scoring Sheet'!F26)-1)))</f>
        <v/>
      </c>
      <c r="J4" s="49">
        <f>VALUE(TRIM(MID('Blind Scoring Sheet'!F26,FIND("|",'Blind Scoring Sheet'!F26)+1,20)))</f>
        <v/>
      </c>
      <c r="K4" s="67">
        <f>J4-I4</f>
        <v/>
      </c>
      <c r="L4" s="49">
        <f>VALUE(TRIM(LEFT('Blind Scoring Sheet'!H26,FIND("|",'Blind Scoring Sheet'!H26)-1)))</f>
        <v/>
      </c>
      <c r="M4" s="49">
        <f>VALUE(TRIM(MID('Blind Scoring Sheet'!H26,FIND("|",'Blind Scoring Sheet'!H26)+1,20)))</f>
        <v/>
      </c>
      <c r="N4" s="67">
        <f>M4-L4</f>
        <v/>
      </c>
      <c r="O4" s="49">
        <f>VALUE(TRIM(LEFT('Blind Scoring Sheet'!J26,FIND("|",'Blind Scoring Sheet'!J26)-1)))</f>
        <v/>
      </c>
      <c r="P4" s="49">
        <f>VALUE(TRIM(MID('Blind Scoring Sheet'!J26,FIND("|",'Blind Scoring Sheet'!J26)+1,20)))</f>
        <v/>
      </c>
      <c r="Q4" s="67">
        <f>P4-O4</f>
        <v/>
      </c>
      <c r="R4" s="67">
        <f>ABS(Q4)</f>
        <v/>
      </c>
      <c r="S4" s="50">
        <f>TRIM(LEFT('Blind Scoring Sheet'!K26,FIND("|",'Blind Scoring Sheet'!K26)-1))</f>
        <v/>
      </c>
      <c r="T4" s="50">
        <f>TRIM(MID('Blind Scoring Sheet'!K26,FIND("|",'Blind Scoring Sheet'!K26)+1,20))</f>
        <v/>
      </c>
      <c r="U4" s="50">
        <f>IF(S4=T4,"No","Yes")</f>
        <v/>
      </c>
      <c r="V4" s="75">
        <f>IF(S4=T4,"— (agree)",S4&amp;" → "&amp;T4)</f>
        <v/>
      </c>
      <c r="W4" s="67">
        <f>R4+ROW()/1000000</f>
        <v/>
      </c>
    </row>
    <row r="5" ht="15" customHeight="1" s="38">
      <c r="A5" s="75" t="inlineStr">
        <is>
          <t>R_0037</t>
        </is>
      </c>
      <c r="B5" s="50" t="n">
        <v>40</v>
      </c>
      <c r="C5" s="49">
        <f>VALUE(TRIM(LEFT('Blind Scoring Sheet'!B40,FIND("|",'Blind Scoring Sheet'!B40)-1)))</f>
        <v/>
      </c>
      <c r="D5" s="49">
        <f>VALUE(TRIM(MID('Blind Scoring Sheet'!B40,FIND("|",'Blind Scoring Sheet'!B40)+1,20)))</f>
        <v/>
      </c>
      <c r="E5" s="67">
        <f>D5-C5</f>
        <v/>
      </c>
      <c r="F5" s="49">
        <f>VALUE(TRIM(LEFT('Blind Scoring Sheet'!D40,FIND("|",'Blind Scoring Sheet'!D40)-1)))</f>
        <v/>
      </c>
      <c r="G5" s="49">
        <f>VALUE(TRIM(MID('Blind Scoring Sheet'!D40,FIND("|",'Blind Scoring Sheet'!D40)+1,20)))</f>
        <v/>
      </c>
      <c r="H5" s="67">
        <f>G5-F5</f>
        <v/>
      </c>
      <c r="I5" s="49">
        <f>VALUE(TRIM(LEFT('Blind Scoring Sheet'!F40,FIND("|",'Blind Scoring Sheet'!F40)-1)))</f>
        <v/>
      </c>
      <c r="J5" s="49">
        <f>VALUE(TRIM(MID('Blind Scoring Sheet'!F40,FIND("|",'Blind Scoring Sheet'!F40)+1,20)))</f>
        <v/>
      </c>
      <c r="K5" s="67">
        <f>J5-I5</f>
        <v/>
      </c>
      <c r="L5" s="49">
        <f>VALUE(TRIM(LEFT('Blind Scoring Sheet'!H40,FIND("|",'Blind Scoring Sheet'!H40)-1)))</f>
        <v/>
      </c>
      <c r="M5" s="49">
        <f>VALUE(TRIM(MID('Blind Scoring Sheet'!H40,FIND("|",'Blind Scoring Sheet'!H40)+1,20)))</f>
        <v/>
      </c>
      <c r="N5" s="67">
        <f>M5-L5</f>
        <v/>
      </c>
      <c r="O5" s="49">
        <f>VALUE(TRIM(LEFT('Blind Scoring Sheet'!J40,FIND("|",'Blind Scoring Sheet'!J40)-1)))</f>
        <v/>
      </c>
      <c r="P5" s="49">
        <f>VALUE(TRIM(MID('Blind Scoring Sheet'!J40,FIND("|",'Blind Scoring Sheet'!J40)+1,20)))</f>
        <v/>
      </c>
      <c r="Q5" s="67">
        <f>P5-O5</f>
        <v/>
      </c>
      <c r="R5" s="67">
        <f>ABS(Q5)</f>
        <v/>
      </c>
      <c r="S5" s="50">
        <f>TRIM(LEFT('Blind Scoring Sheet'!K40,FIND("|",'Blind Scoring Sheet'!K40)-1))</f>
        <v/>
      </c>
      <c r="T5" s="50">
        <f>TRIM(MID('Blind Scoring Sheet'!K40,FIND("|",'Blind Scoring Sheet'!K40)+1,20))</f>
        <v/>
      </c>
      <c r="U5" s="50">
        <f>IF(S5=T5,"No","Yes")</f>
        <v/>
      </c>
      <c r="V5" s="75">
        <f>IF(S5=T5,"— (agree)",S5&amp;" → "&amp;T5)</f>
        <v/>
      </c>
      <c r="W5" s="67">
        <f>R5+ROW()/1000000</f>
        <v/>
      </c>
    </row>
    <row r="6" ht="15" customHeight="1" s="38">
      <c r="A6" s="75" t="inlineStr">
        <is>
          <t>R_0093</t>
        </is>
      </c>
      <c r="B6" s="50" t="n">
        <v>96</v>
      </c>
      <c r="C6" s="49">
        <f>VALUE(TRIM(LEFT('Blind Scoring Sheet'!B96,FIND("|",'Blind Scoring Sheet'!B96)-1)))</f>
        <v/>
      </c>
      <c r="D6" s="49">
        <f>VALUE(TRIM(MID('Blind Scoring Sheet'!B96,FIND("|",'Blind Scoring Sheet'!B96)+1,20)))</f>
        <v/>
      </c>
      <c r="E6" s="67">
        <f>D6-C6</f>
        <v/>
      </c>
      <c r="F6" s="49">
        <f>VALUE(TRIM(LEFT('Blind Scoring Sheet'!D96,FIND("|",'Blind Scoring Sheet'!D96)-1)))</f>
        <v/>
      </c>
      <c r="G6" s="49">
        <f>VALUE(TRIM(MID('Blind Scoring Sheet'!D96,FIND("|",'Blind Scoring Sheet'!D96)+1,20)))</f>
        <v/>
      </c>
      <c r="H6" s="67">
        <f>G6-F6</f>
        <v/>
      </c>
      <c r="I6" s="49">
        <f>VALUE(TRIM(LEFT('Blind Scoring Sheet'!F96,FIND("|",'Blind Scoring Sheet'!F96)-1)))</f>
        <v/>
      </c>
      <c r="J6" s="49">
        <f>VALUE(TRIM(MID('Blind Scoring Sheet'!F96,FIND("|",'Blind Scoring Sheet'!F96)+1,20)))</f>
        <v/>
      </c>
      <c r="K6" s="67">
        <f>J6-I6</f>
        <v/>
      </c>
      <c r="L6" s="49">
        <f>VALUE(TRIM(LEFT('Blind Scoring Sheet'!H96,FIND("|",'Blind Scoring Sheet'!H96)-1)))</f>
        <v/>
      </c>
      <c r="M6" s="49">
        <f>VALUE(TRIM(MID('Blind Scoring Sheet'!H96,FIND("|",'Blind Scoring Sheet'!H96)+1,20)))</f>
        <v/>
      </c>
      <c r="N6" s="67">
        <f>M6-L6</f>
        <v/>
      </c>
      <c r="O6" s="49">
        <f>VALUE(TRIM(LEFT('Blind Scoring Sheet'!J96,FIND("|",'Blind Scoring Sheet'!J96)-1)))</f>
        <v/>
      </c>
      <c r="P6" s="49">
        <f>VALUE(TRIM(MID('Blind Scoring Sheet'!J96,FIND("|",'Blind Scoring Sheet'!J96)+1,20)))</f>
        <v/>
      </c>
      <c r="Q6" s="67">
        <f>P6-O6</f>
        <v/>
      </c>
      <c r="R6" s="67">
        <f>ABS(Q6)</f>
        <v/>
      </c>
      <c r="S6" s="50">
        <f>TRIM(LEFT('Blind Scoring Sheet'!K96,FIND("|",'Blind Scoring Sheet'!K96)-1))</f>
        <v/>
      </c>
      <c r="T6" s="50">
        <f>TRIM(MID('Blind Scoring Sheet'!K96,FIND("|",'Blind Scoring Sheet'!K96)+1,20))</f>
        <v/>
      </c>
      <c r="U6" s="50">
        <f>IF(S6=T6,"No","Yes")</f>
        <v/>
      </c>
      <c r="V6" s="75">
        <f>IF(S6=T6,"— (agree)",S6&amp;" → "&amp;T6)</f>
        <v/>
      </c>
      <c r="W6" s="67">
        <f>R6+ROW()/1000000</f>
        <v/>
      </c>
    </row>
    <row r="7" ht="15" customHeight="1" s="38">
      <c r="A7" s="75" t="inlineStr">
        <is>
          <t>R_0100</t>
        </is>
      </c>
      <c r="B7" s="50" t="n">
        <v>103</v>
      </c>
      <c r="C7" s="49">
        <f>VALUE(TRIM(LEFT('Blind Scoring Sheet'!B103,FIND("|",'Blind Scoring Sheet'!B103)-1)))</f>
        <v/>
      </c>
      <c r="D7" s="49">
        <f>VALUE(TRIM(MID('Blind Scoring Sheet'!B103,FIND("|",'Blind Scoring Sheet'!B103)+1,20)))</f>
        <v/>
      </c>
      <c r="E7" s="67">
        <f>D7-C7</f>
        <v/>
      </c>
      <c r="F7" s="49">
        <f>VALUE(TRIM(LEFT('Blind Scoring Sheet'!D103,FIND("|",'Blind Scoring Sheet'!D103)-1)))</f>
        <v/>
      </c>
      <c r="G7" s="49">
        <f>VALUE(TRIM(MID('Blind Scoring Sheet'!D103,FIND("|",'Blind Scoring Sheet'!D103)+1,20)))</f>
        <v/>
      </c>
      <c r="H7" s="67">
        <f>G7-F7</f>
        <v/>
      </c>
      <c r="I7" s="49">
        <f>VALUE(TRIM(LEFT('Blind Scoring Sheet'!F103,FIND("|",'Blind Scoring Sheet'!F103)-1)))</f>
        <v/>
      </c>
      <c r="J7" s="49">
        <f>VALUE(TRIM(MID('Blind Scoring Sheet'!F103,FIND("|",'Blind Scoring Sheet'!F103)+1,20)))</f>
        <v/>
      </c>
      <c r="K7" s="67">
        <f>J7-I7</f>
        <v/>
      </c>
      <c r="L7" s="49">
        <f>VALUE(TRIM(LEFT('Blind Scoring Sheet'!H103,FIND("|",'Blind Scoring Sheet'!H103)-1)))</f>
        <v/>
      </c>
      <c r="M7" s="49">
        <f>VALUE(TRIM(MID('Blind Scoring Sheet'!H103,FIND("|",'Blind Scoring Sheet'!H103)+1,20)))</f>
        <v/>
      </c>
      <c r="N7" s="67">
        <f>M7-L7</f>
        <v/>
      </c>
      <c r="O7" s="49">
        <f>VALUE(TRIM(LEFT('Blind Scoring Sheet'!J103,FIND("|",'Blind Scoring Sheet'!J103)-1)))</f>
        <v/>
      </c>
      <c r="P7" s="49">
        <f>VALUE(TRIM(MID('Blind Scoring Sheet'!J103,FIND("|",'Blind Scoring Sheet'!J103)+1,20)))</f>
        <v/>
      </c>
      <c r="Q7" s="67">
        <f>P7-O7</f>
        <v/>
      </c>
      <c r="R7" s="67">
        <f>ABS(Q7)</f>
        <v/>
      </c>
      <c r="S7" s="50">
        <f>TRIM(LEFT('Blind Scoring Sheet'!K103,FIND("|",'Blind Scoring Sheet'!K103)-1))</f>
        <v/>
      </c>
      <c r="T7" s="50">
        <f>TRIM(MID('Blind Scoring Sheet'!K103,FIND("|",'Blind Scoring Sheet'!K103)+1,20))</f>
        <v/>
      </c>
      <c r="U7" s="50">
        <f>IF(S7=T7,"No","Yes")</f>
        <v/>
      </c>
      <c r="V7" s="75">
        <f>IF(S7=T7,"— (agree)",S7&amp;" → "&amp;T7)</f>
        <v/>
      </c>
      <c r="W7" s="67">
        <f>R7+ROW()/1000000</f>
        <v/>
      </c>
    </row>
    <row r="8" ht="15" customHeight="1" s="38">
      <c r="A8" s="75" t="inlineStr">
        <is>
          <t>R_0120</t>
        </is>
      </c>
      <c r="B8" s="50" t="n">
        <v>123</v>
      </c>
      <c r="C8" s="49">
        <f>VALUE(TRIM(LEFT('Blind Scoring Sheet'!B123,FIND("|",'Blind Scoring Sheet'!B123)-1)))</f>
        <v/>
      </c>
      <c r="D8" s="49">
        <f>VALUE(TRIM(MID('Blind Scoring Sheet'!B123,FIND("|",'Blind Scoring Sheet'!B123)+1,20)))</f>
        <v/>
      </c>
      <c r="E8" s="67">
        <f>D8-C8</f>
        <v/>
      </c>
      <c r="F8" s="49">
        <f>VALUE(TRIM(LEFT('Blind Scoring Sheet'!D123,FIND("|",'Blind Scoring Sheet'!D123)-1)))</f>
        <v/>
      </c>
      <c r="G8" s="49">
        <f>VALUE(TRIM(MID('Blind Scoring Sheet'!D123,FIND("|",'Blind Scoring Sheet'!D123)+1,20)))</f>
        <v/>
      </c>
      <c r="H8" s="67">
        <f>G8-F8</f>
        <v/>
      </c>
      <c r="I8" s="49">
        <f>VALUE(TRIM(LEFT('Blind Scoring Sheet'!F123,FIND("|",'Blind Scoring Sheet'!F123)-1)))</f>
        <v/>
      </c>
      <c r="J8" s="49">
        <f>VALUE(TRIM(MID('Blind Scoring Sheet'!F123,FIND("|",'Blind Scoring Sheet'!F123)+1,20)))</f>
        <v/>
      </c>
      <c r="K8" s="67">
        <f>J8-I8</f>
        <v/>
      </c>
      <c r="L8" s="49">
        <f>VALUE(TRIM(LEFT('Blind Scoring Sheet'!H123,FIND("|",'Blind Scoring Sheet'!H123)-1)))</f>
        <v/>
      </c>
      <c r="M8" s="49">
        <f>VALUE(TRIM(MID('Blind Scoring Sheet'!H123,FIND("|",'Blind Scoring Sheet'!H123)+1,20)))</f>
        <v/>
      </c>
      <c r="N8" s="67">
        <f>M8-L8</f>
        <v/>
      </c>
      <c r="O8" s="49">
        <f>VALUE(TRIM(LEFT('Blind Scoring Sheet'!J123,FIND("|",'Blind Scoring Sheet'!J123)-1)))</f>
        <v/>
      </c>
      <c r="P8" s="49">
        <f>VALUE(TRIM(MID('Blind Scoring Sheet'!J123,FIND("|",'Blind Scoring Sheet'!J123)+1,20)))</f>
        <v/>
      </c>
      <c r="Q8" s="67">
        <f>P8-O8</f>
        <v/>
      </c>
      <c r="R8" s="67">
        <f>ABS(Q8)</f>
        <v/>
      </c>
      <c r="S8" s="50">
        <f>TRIM(LEFT('Blind Scoring Sheet'!K123,FIND("|",'Blind Scoring Sheet'!K123)-1))</f>
        <v/>
      </c>
      <c r="T8" s="50">
        <f>TRIM(MID('Blind Scoring Sheet'!K123,FIND("|",'Blind Scoring Sheet'!K123)+1,20))</f>
        <v/>
      </c>
      <c r="U8" s="50">
        <f>IF(S8=T8,"No","Yes")</f>
        <v/>
      </c>
      <c r="V8" s="75">
        <f>IF(S8=T8,"— (agree)",S8&amp;" → "&amp;T8)</f>
        <v/>
      </c>
      <c r="W8" s="67">
        <f>R8+ROW()/1000000</f>
        <v/>
      </c>
    </row>
    <row r="9" ht="15" customHeight="1" s="38">
      <c r="A9" s="75" t="inlineStr">
        <is>
          <t>R_0134</t>
        </is>
      </c>
      <c r="B9" s="50" t="n">
        <v>137</v>
      </c>
      <c r="C9" s="49">
        <f>VALUE(TRIM(LEFT('Blind Scoring Sheet'!B137,FIND("|",'Blind Scoring Sheet'!B137)-1)))</f>
        <v/>
      </c>
      <c r="D9" s="49">
        <f>VALUE(TRIM(MID('Blind Scoring Sheet'!B137,FIND("|",'Blind Scoring Sheet'!B137)+1,20)))</f>
        <v/>
      </c>
      <c r="E9" s="67">
        <f>D9-C9</f>
        <v/>
      </c>
      <c r="F9" s="49">
        <f>VALUE(TRIM(LEFT('Blind Scoring Sheet'!D137,FIND("|",'Blind Scoring Sheet'!D137)-1)))</f>
        <v/>
      </c>
      <c r="G9" s="49">
        <f>VALUE(TRIM(MID('Blind Scoring Sheet'!D137,FIND("|",'Blind Scoring Sheet'!D137)+1,20)))</f>
        <v/>
      </c>
      <c r="H9" s="67">
        <f>G9-F9</f>
        <v/>
      </c>
      <c r="I9" s="49">
        <f>VALUE(TRIM(LEFT('Blind Scoring Sheet'!F137,FIND("|",'Blind Scoring Sheet'!F137)-1)))</f>
        <v/>
      </c>
      <c r="J9" s="49">
        <f>VALUE(TRIM(MID('Blind Scoring Sheet'!F137,FIND("|",'Blind Scoring Sheet'!F137)+1,20)))</f>
        <v/>
      </c>
      <c r="K9" s="67">
        <f>J9-I9</f>
        <v/>
      </c>
      <c r="L9" s="49">
        <f>VALUE(TRIM(LEFT('Blind Scoring Sheet'!H137,FIND("|",'Blind Scoring Sheet'!H137)-1)))</f>
        <v/>
      </c>
      <c r="M9" s="49">
        <f>VALUE(TRIM(MID('Blind Scoring Sheet'!H137,FIND("|",'Blind Scoring Sheet'!H137)+1,20)))</f>
        <v/>
      </c>
      <c r="N9" s="67">
        <f>M9-L9</f>
        <v/>
      </c>
      <c r="O9" s="49">
        <f>VALUE(TRIM(LEFT('Blind Scoring Sheet'!J137,FIND("|",'Blind Scoring Sheet'!J137)-1)))</f>
        <v/>
      </c>
      <c r="P9" s="49">
        <f>VALUE(TRIM(MID('Blind Scoring Sheet'!J137,FIND("|",'Blind Scoring Sheet'!J137)+1,20)))</f>
        <v/>
      </c>
      <c r="Q9" s="67">
        <f>P9-O9</f>
        <v/>
      </c>
      <c r="R9" s="67">
        <f>ABS(Q9)</f>
        <v/>
      </c>
      <c r="S9" s="50">
        <f>TRIM(LEFT('Blind Scoring Sheet'!K137,FIND("|",'Blind Scoring Sheet'!K137)-1))</f>
        <v/>
      </c>
      <c r="T9" s="50">
        <f>TRIM(MID('Blind Scoring Sheet'!K137,FIND("|",'Blind Scoring Sheet'!K137)+1,20))</f>
        <v/>
      </c>
      <c r="U9" s="50">
        <f>IF(S9=T9,"No","Yes")</f>
        <v/>
      </c>
      <c r="V9" s="75">
        <f>IF(S9=T9,"— (agree)",S9&amp;" → "&amp;T9)</f>
        <v/>
      </c>
      <c r="W9" s="67">
        <f>R9+ROW()/1000000</f>
        <v/>
      </c>
    </row>
    <row r="10" ht="15" customHeight="1" s="38">
      <c r="A10" s="75" t="inlineStr">
        <is>
          <t>R_0139</t>
        </is>
      </c>
      <c r="B10" s="50" t="n">
        <v>142</v>
      </c>
      <c r="C10" s="49">
        <f>VALUE(TRIM(LEFT('Blind Scoring Sheet'!B142,FIND("|",'Blind Scoring Sheet'!B142)-1)))</f>
        <v/>
      </c>
      <c r="D10" s="49">
        <f>VALUE(TRIM(MID('Blind Scoring Sheet'!B142,FIND("|",'Blind Scoring Sheet'!B142)+1,20)))</f>
        <v/>
      </c>
      <c r="E10" s="67">
        <f>D10-C10</f>
        <v/>
      </c>
      <c r="F10" s="49">
        <f>VALUE(TRIM(LEFT('Blind Scoring Sheet'!D142,FIND("|",'Blind Scoring Sheet'!D142)-1)))</f>
        <v/>
      </c>
      <c r="G10" s="49">
        <f>VALUE(TRIM(MID('Blind Scoring Sheet'!D142,FIND("|",'Blind Scoring Sheet'!D142)+1,20)))</f>
        <v/>
      </c>
      <c r="H10" s="67">
        <f>G10-F10</f>
        <v/>
      </c>
      <c r="I10" s="49">
        <f>VALUE(TRIM(LEFT('Blind Scoring Sheet'!F142,FIND("|",'Blind Scoring Sheet'!F142)-1)))</f>
        <v/>
      </c>
      <c r="J10" s="49">
        <f>VALUE(TRIM(MID('Blind Scoring Sheet'!F142,FIND("|",'Blind Scoring Sheet'!F142)+1,20)))</f>
        <v/>
      </c>
      <c r="K10" s="67">
        <f>J10-I10</f>
        <v/>
      </c>
      <c r="L10" s="49">
        <f>VALUE(TRIM(LEFT('Blind Scoring Sheet'!H142,FIND("|",'Blind Scoring Sheet'!H142)-1)))</f>
        <v/>
      </c>
      <c r="M10" s="49">
        <f>VALUE(TRIM(MID('Blind Scoring Sheet'!H142,FIND("|",'Blind Scoring Sheet'!H142)+1,20)))</f>
        <v/>
      </c>
      <c r="N10" s="67">
        <f>M10-L10</f>
        <v/>
      </c>
      <c r="O10" s="49">
        <f>VALUE(TRIM(LEFT('Blind Scoring Sheet'!J142,FIND("|",'Blind Scoring Sheet'!J142)-1)))</f>
        <v/>
      </c>
      <c r="P10" s="49">
        <f>VALUE(TRIM(MID('Blind Scoring Sheet'!J142,FIND("|",'Blind Scoring Sheet'!J142)+1,20)))</f>
        <v/>
      </c>
      <c r="Q10" s="67">
        <f>P10-O10</f>
        <v/>
      </c>
      <c r="R10" s="67">
        <f>ABS(Q10)</f>
        <v/>
      </c>
      <c r="S10" s="50">
        <f>TRIM(LEFT('Blind Scoring Sheet'!K142,FIND("|",'Blind Scoring Sheet'!K142)-1))</f>
        <v/>
      </c>
      <c r="T10" s="50">
        <f>TRIM(MID('Blind Scoring Sheet'!K142,FIND("|",'Blind Scoring Sheet'!K142)+1,20))</f>
        <v/>
      </c>
      <c r="U10" s="50">
        <f>IF(S10=T10,"No","Yes")</f>
        <v/>
      </c>
      <c r="V10" s="75">
        <f>IF(S10=T10,"— (agree)",S10&amp;" → "&amp;T10)</f>
        <v/>
      </c>
      <c r="W10" s="67">
        <f>R10+ROW()/1000000</f>
        <v/>
      </c>
    </row>
    <row r="11" ht="15" customHeight="1" s="38">
      <c r="A11" s="75" t="inlineStr">
        <is>
          <t>R_0171</t>
        </is>
      </c>
      <c r="B11" s="50" t="n">
        <v>174</v>
      </c>
      <c r="C11" s="49">
        <f>VALUE(TRIM(LEFT('Blind Scoring Sheet'!B174,FIND("|",'Blind Scoring Sheet'!B174)-1)))</f>
        <v/>
      </c>
      <c r="D11" s="49">
        <f>VALUE(TRIM(MID('Blind Scoring Sheet'!B174,FIND("|",'Blind Scoring Sheet'!B174)+1,20)))</f>
        <v/>
      </c>
      <c r="E11" s="67">
        <f>D11-C11</f>
        <v/>
      </c>
      <c r="F11" s="49">
        <f>VALUE(TRIM(LEFT('Blind Scoring Sheet'!D174,FIND("|",'Blind Scoring Sheet'!D174)-1)))</f>
        <v/>
      </c>
      <c r="G11" s="49">
        <f>VALUE(TRIM(MID('Blind Scoring Sheet'!D174,FIND("|",'Blind Scoring Sheet'!D174)+1,20)))</f>
        <v/>
      </c>
      <c r="H11" s="67">
        <f>G11-F11</f>
        <v/>
      </c>
      <c r="I11" s="49">
        <f>VALUE(TRIM(LEFT('Blind Scoring Sheet'!F174,FIND("|",'Blind Scoring Sheet'!F174)-1)))</f>
        <v/>
      </c>
      <c r="J11" s="49">
        <f>VALUE(TRIM(MID('Blind Scoring Sheet'!F174,FIND("|",'Blind Scoring Sheet'!F174)+1,20)))</f>
        <v/>
      </c>
      <c r="K11" s="67">
        <f>J11-I11</f>
        <v/>
      </c>
      <c r="L11" s="49">
        <f>VALUE(TRIM(LEFT('Blind Scoring Sheet'!H174,FIND("|",'Blind Scoring Sheet'!H174)-1)))</f>
        <v/>
      </c>
      <c r="M11" s="49">
        <f>VALUE(TRIM(MID('Blind Scoring Sheet'!H174,FIND("|",'Blind Scoring Sheet'!H174)+1,20)))</f>
        <v/>
      </c>
      <c r="N11" s="67">
        <f>M11-L11</f>
        <v/>
      </c>
      <c r="O11" s="49">
        <f>VALUE(TRIM(LEFT('Blind Scoring Sheet'!J174,FIND("|",'Blind Scoring Sheet'!J174)-1)))</f>
        <v/>
      </c>
      <c r="P11" s="49">
        <f>VALUE(TRIM(MID('Blind Scoring Sheet'!J174,FIND("|",'Blind Scoring Sheet'!J174)+1,20)))</f>
        <v/>
      </c>
      <c r="Q11" s="67">
        <f>P11-O11</f>
        <v/>
      </c>
      <c r="R11" s="67">
        <f>ABS(Q11)</f>
        <v/>
      </c>
      <c r="S11" s="50">
        <f>TRIM(LEFT('Blind Scoring Sheet'!K174,FIND("|",'Blind Scoring Sheet'!K174)-1))</f>
        <v/>
      </c>
      <c r="T11" s="50">
        <f>TRIM(MID('Blind Scoring Sheet'!K174,FIND("|",'Blind Scoring Sheet'!K174)+1,20))</f>
        <v/>
      </c>
      <c r="U11" s="50">
        <f>IF(S11=T11,"No","Yes")</f>
        <v/>
      </c>
      <c r="V11" s="75">
        <f>IF(S11=T11,"— (agree)",S11&amp;" → "&amp;T11)</f>
        <v/>
      </c>
      <c r="W11" s="67">
        <f>R11+ROW()/1000000</f>
        <v/>
      </c>
    </row>
    <row r="12" ht="15" customHeight="1" s="38">
      <c r="A12" s="75" t="inlineStr">
        <is>
          <t>R_0186</t>
        </is>
      </c>
      <c r="B12" s="50" t="n">
        <v>189</v>
      </c>
      <c r="C12" s="49">
        <f>VALUE(TRIM(LEFT('Blind Scoring Sheet'!B189,FIND("|",'Blind Scoring Sheet'!B189)-1)))</f>
        <v/>
      </c>
      <c r="D12" s="49">
        <f>VALUE(TRIM(MID('Blind Scoring Sheet'!B189,FIND("|",'Blind Scoring Sheet'!B189)+1,20)))</f>
        <v/>
      </c>
      <c r="E12" s="67">
        <f>D12-C12</f>
        <v/>
      </c>
      <c r="F12" s="49">
        <f>VALUE(TRIM(LEFT('Blind Scoring Sheet'!D189,FIND("|",'Blind Scoring Sheet'!D189)-1)))</f>
        <v/>
      </c>
      <c r="G12" s="49">
        <f>VALUE(TRIM(MID('Blind Scoring Sheet'!D189,FIND("|",'Blind Scoring Sheet'!D189)+1,20)))</f>
        <v/>
      </c>
      <c r="H12" s="67">
        <f>G12-F12</f>
        <v/>
      </c>
      <c r="I12" s="49">
        <f>VALUE(TRIM(LEFT('Blind Scoring Sheet'!F189,FIND("|",'Blind Scoring Sheet'!F189)-1)))</f>
        <v/>
      </c>
      <c r="J12" s="49">
        <f>VALUE(TRIM(MID('Blind Scoring Sheet'!F189,FIND("|",'Blind Scoring Sheet'!F189)+1,20)))</f>
        <v/>
      </c>
      <c r="K12" s="67">
        <f>J12-I12</f>
        <v/>
      </c>
      <c r="L12" s="49">
        <f>VALUE(TRIM(LEFT('Blind Scoring Sheet'!H189,FIND("|",'Blind Scoring Sheet'!H189)-1)))</f>
        <v/>
      </c>
      <c r="M12" s="49">
        <f>VALUE(TRIM(MID('Blind Scoring Sheet'!H189,FIND("|",'Blind Scoring Sheet'!H189)+1,20)))</f>
        <v/>
      </c>
      <c r="N12" s="67">
        <f>M12-L12</f>
        <v/>
      </c>
      <c r="O12" s="49">
        <f>VALUE(TRIM(LEFT('Blind Scoring Sheet'!J189,FIND("|",'Blind Scoring Sheet'!J189)-1)))</f>
        <v/>
      </c>
      <c r="P12" s="49">
        <f>VALUE(TRIM(MID('Blind Scoring Sheet'!J189,FIND("|",'Blind Scoring Sheet'!J189)+1,20)))</f>
        <v/>
      </c>
      <c r="Q12" s="67">
        <f>P12-O12</f>
        <v/>
      </c>
      <c r="R12" s="67">
        <f>ABS(Q12)</f>
        <v/>
      </c>
      <c r="S12" s="50">
        <f>TRIM(LEFT('Blind Scoring Sheet'!K189,FIND("|",'Blind Scoring Sheet'!K189)-1))</f>
        <v/>
      </c>
      <c r="T12" s="50">
        <f>TRIM(MID('Blind Scoring Sheet'!K189,FIND("|",'Blind Scoring Sheet'!K189)+1,20))</f>
        <v/>
      </c>
      <c r="U12" s="50">
        <f>IF(S12=T12,"No","Yes")</f>
        <v/>
      </c>
      <c r="V12" s="75">
        <f>IF(S12=T12,"— (agree)",S12&amp;" → "&amp;T12)</f>
        <v/>
      </c>
      <c r="W12" s="67">
        <f>R12+ROW()/1000000</f>
        <v/>
      </c>
    </row>
    <row r="13" ht="15" customHeight="1" s="38">
      <c r="A13" s="75" t="inlineStr">
        <is>
          <t>R_0190</t>
        </is>
      </c>
      <c r="B13" s="50" t="n">
        <v>193</v>
      </c>
      <c r="C13" s="49">
        <f>VALUE(TRIM(LEFT('Blind Scoring Sheet'!B193,FIND("|",'Blind Scoring Sheet'!B193)-1)))</f>
        <v/>
      </c>
      <c r="D13" s="49">
        <f>VALUE(TRIM(MID('Blind Scoring Sheet'!B193,FIND("|",'Blind Scoring Sheet'!B193)+1,20)))</f>
        <v/>
      </c>
      <c r="E13" s="67">
        <f>D13-C13</f>
        <v/>
      </c>
      <c r="F13" s="49">
        <f>VALUE(TRIM(LEFT('Blind Scoring Sheet'!D193,FIND("|",'Blind Scoring Sheet'!D193)-1)))</f>
        <v/>
      </c>
      <c r="G13" s="49">
        <f>VALUE(TRIM(MID('Blind Scoring Sheet'!D193,FIND("|",'Blind Scoring Sheet'!D193)+1,20)))</f>
        <v/>
      </c>
      <c r="H13" s="67">
        <f>G13-F13</f>
        <v/>
      </c>
      <c r="I13" s="49">
        <f>VALUE(TRIM(LEFT('Blind Scoring Sheet'!F193,FIND("|",'Blind Scoring Sheet'!F193)-1)))</f>
        <v/>
      </c>
      <c r="J13" s="49">
        <f>VALUE(TRIM(MID('Blind Scoring Sheet'!F193,FIND("|",'Blind Scoring Sheet'!F193)+1,20)))</f>
        <v/>
      </c>
      <c r="K13" s="67">
        <f>J13-I13</f>
        <v/>
      </c>
      <c r="L13" s="49">
        <f>VALUE(TRIM(LEFT('Blind Scoring Sheet'!H193,FIND("|",'Blind Scoring Sheet'!H193)-1)))</f>
        <v/>
      </c>
      <c r="M13" s="49">
        <f>VALUE(TRIM(MID('Blind Scoring Sheet'!H193,FIND("|",'Blind Scoring Sheet'!H193)+1,20)))</f>
        <v/>
      </c>
      <c r="N13" s="67">
        <f>M13-L13</f>
        <v/>
      </c>
      <c r="O13" s="49">
        <f>VALUE(TRIM(LEFT('Blind Scoring Sheet'!J193,FIND("|",'Blind Scoring Sheet'!J193)-1)))</f>
        <v/>
      </c>
      <c r="P13" s="49">
        <f>VALUE(TRIM(MID('Blind Scoring Sheet'!J193,FIND("|",'Blind Scoring Sheet'!J193)+1,20)))</f>
        <v/>
      </c>
      <c r="Q13" s="67">
        <f>P13-O13</f>
        <v/>
      </c>
      <c r="R13" s="67">
        <f>ABS(Q13)</f>
        <v/>
      </c>
      <c r="S13" s="50">
        <f>TRIM(LEFT('Blind Scoring Sheet'!K193,FIND("|",'Blind Scoring Sheet'!K193)-1))</f>
        <v/>
      </c>
      <c r="T13" s="50">
        <f>TRIM(MID('Blind Scoring Sheet'!K193,FIND("|",'Blind Scoring Sheet'!K193)+1,20))</f>
        <v/>
      </c>
      <c r="U13" s="50">
        <f>IF(S13=T13,"No","Yes")</f>
        <v/>
      </c>
      <c r="V13" s="75">
        <f>IF(S13=T13,"— (agree)",S13&amp;" → "&amp;T13)</f>
        <v/>
      </c>
      <c r="W13" s="67">
        <f>R13+ROW()/1000000</f>
        <v/>
      </c>
    </row>
    <row r="14" ht="15" customHeight="1" s="38">
      <c r="A14" s="75" t="inlineStr">
        <is>
          <t>R_0193</t>
        </is>
      </c>
      <c r="B14" s="50" t="n">
        <v>196</v>
      </c>
      <c r="C14" s="49">
        <f>VALUE(TRIM(LEFT('Blind Scoring Sheet'!B196,FIND("|",'Blind Scoring Sheet'!B196)-1)))</f>
        <v/>
      </c>
      <c r="D14" s="49">
        <f>VALUE(TRIM(MID('Blind Scoring Sheet'!B196,FIND("|",'Blind Scoring Sheet'!B196)+1,20)))</f>
        <v/>
      </c>
      <c r="E14" s="67">
        <f>D14-C14</f>
        <v/>
      </c>
      <c r="F14" s="49">
        <f>VALUE(TRIM(LEFT('Blind Scoring Sheet'!D196,FIND("|",'Blind Scoring Sheet'!D196)-1)))</f>
        <v/>
      </c>
      <c r="G14" s="49">
        <f>VALUE(TRIM(MID('Blind Scoring Sheet'!D196,FIND("|",'Blind Scoring Sheet'!D196)+1,20)))</f>
        <v/>
      </c>
      <c r="H14" s="67">
        <f>G14-F14</f>
        <v/>
      </c>
      <c r="I14" s="49">
        <f>VALUE(TRIM(LEFT('Blind Scoring Sheet'!F196,FIND("|",'Blind Scoring Sheet'!F196)-1)))</f>
        <v/>
      </c>
      <c r="J14" s="49">
        <f>VALUE(TRIM(MID('Blind Scoring Sheet'!F196,FIND("|",'Blind Scoring Sheet'!F196)+1,20)))</f>
        <v/>
      </c>
      <c r="K14" s="67">
        <f>J14-I14</f>
        <v/>
      </c>
      <c r="L14" s="49">
        <f>VALUE(TRIM(LEFT('Blind Scoring Sheet'!H196,FIND("|",'Blind Scoring Sheet'!H196)-1)))</f>
        <v/>
      </c>
      <c r="M14" s="49">
        <f>VALUE(TRIM(MID('Blind Scoring Sheet'!H196,FIND("|",'Blind Scoring Sheet'!H196)+1,20)))</f>
        <v/>
      </c>
      <c r="N14" s="67">
        <f>M14-L14</f>
        <v/>
      </c>
      <c r="O14" s="49">
        <f>VALUE(TRIM(LEFT('Blind Scoring Sheet'!J196,FIND("|",'Blind Scoring Sheet'!J196)-1)))</f>
        <v/>
      </c>
      <c r="P14" s="49">
        <f>VALUE(TRIM(MID('Blind Scoring Sheet'!J196,FIND("|",'Blind Scoring Sheet'!J196)+1,20)))</f>
        <v/>
      </c>
      <c r="Q14" s="67">
        <f>P14-O14</f>
        <v/>
      </c>
      <c r="R14" s="67">
        <f>ABS(Q14)</f>
        <v/>
      </c>
      <c r="S14" s="50">
        <f>TRIM(LEFT('Blind Scoring Sheet'!K196,FIND("|",'Blind Scoring Sheet'!K196)-1))</f>
        <v/>
      </c>
      <c r="T14" s="50">
        <f>TRIM(MID('Blind Scoring Sheet'!K196,FIND("|",'Blind Scoring Sheet'!K196)+1,20))</f>
        <v/>
      </c>
      <c r="U14" s="50">
        <f>IF(S14=T14,"No","Yes")</f>
        <v/>
      </c>
      <c r="V14" s="75">
        <f>IF(S14=T14,"— (agree)",S14&amp;" → "&amp;T14)</f>
        <v/>
      </c>
      <c r="W14" s="67">
        <f>R14+ROW()/1000000</f>
        <v/>
      </c>
    </row>
    <row r="15" ht="15" customHeight="1" s="38">
      <c r="A15" s="75" t="inlineStr">
        <is>
          <t>R_0205</t>
        </is>
      </c>
      <c r="B15" s="50" t="n">
        <v>208</v>
      </c>
      <c r="C15" s="49">
        <f>VALUE(TRIM(LEFT('Blind Scoring Sheet'!B208,FIND("|",'Blind Scoring Sheet'!B208)-1)))</f>
        <v/>
      </c>
      <c r="D15" s="49">
        <f>VALUE(TRIM(MID('Blind Scoring Sheet'!B208,FIND("|",'Blind Scoring Sheet'!B208)+1,20)))</f>
        <v/>
      </c>
      <c r="E15" s="67">
        <f>D15-C15</f>
        <v/>
      </c>
      <c r="F15" s="49">
        <f>VALUE(TRIM(LEFT('Blind Scoring Sheet'!D208,FIND("|",'Blind Scoring Sheet'!D208)-1)))</f>
        <v/>
      </c>
      <c r="G15" s="49">
        <f>VALUE(TRIM(MID('Blind Scoring Sheet'!D208,FIND("|",'Blind Scoring Sheet'!D208)+1,20)))</f>
        <v/>
      </c>
      <c r="H15" s="67">
        <f>G15-F15</f>
        <v/>
      </c>
      <c r="I15" s="49">
        <f>VALUE(TRIM(LEFT('Blind Scoring Sheet'!F208,FIND("|",'Blind Scoring Sheet'!F208)-1)))</f>
        <v/>
      </c>
      <c r="J15" s="49">
        <f>VALUE(TRIM(MID('Blind Scoring Sheet'!F208,FIND("|",'Blind Scoring Sheet'!F208)+1,20)))</f>
        <v/>
      </c>
      <c r="K15" s="67">
        <f>J15-I15</f>
        <v/>
      </c>
      <c r="L15" s="49">
        <f>VALUE(TRIM(LEFT('Blind Scoring Sheet'!H208,FIND("|",'Blind Scoring Sheet'!H208)-1)))</f>
        <v/>
      </c>
      <c r="M15" s="49">
        <f>VALUE(TRIM(MID('Blind Scoring Sheet'!H208,FIND("|",'Blind Scoring Sheet'!H208)+1,20)))</f>
        <v/>
      </c>
      <c r="N15" s="67">
        <f>M15-L15</f>
        <v/>
      </c>
      <c r="O15" s="49">
        <f>VALUE(TRIM(LEFT('Blind Scoring Sheet'!J208,FIND("|",'Blind Scoring Sheet'!J208)-1)))</f>
        <v/>
      </c>
      <c r="P15" s="49">
        <f>VALUE(TRIM(MID('Blind Scoring Sheet'!J208,FIND("|",'Blind Scoring Sheet'!J208)+1,20)))</f>
        <v/>
      </c>
      <c r="Q15" s="67">
        <f>P15-O15</f>
        <v/>
      </c>
      <c r="R15" s="67">
        <f>ABS(Q15)</f>
        <v/>
      </c>
      <c r="S15" s="50">
        <f>TRIM(LEFT('Blind Scoring Sheet'!K208,FIND("|",'Blind Scoring Sheet'!K208)-1))</f>
        <v/>
      </c>
      <c r="T15" s="50">
        <f>TRIM(MID('Blind Scoring Sheet'!K208,FIND("|",'Blind Scoring Sheet'!K208)+1,20))</f>
        <v/>
      </c>
      <c r="U15" s="50">
        <f>IF(S15=T15,"No","Yes")</f>
        <v/>
      </c>
      <c r="V15" s="75">
        <f>IF(S15=T15,"— (agree)",S15&amp;" → "&amp;T15)</f>
        <v/>
      </c>
      <c r="W15" s="67">
        <f>R15+ROW()/1000000</f>
        <v/>
      </c>
    </row>
    <row r="16" ht="15" customHeight="1" s="38">
      <c r="A16" s="75" t="inlineStr">
        <is>
          <t>R_0223</t>
        </is>
      </c>
      <c r="B16" s="50" t="n">
        <v>226</v>
      </c>
      <c r="C16" s="49">
        <f>VALUE(TRIM(LEFT('Blind Scoring Sheet'!B226,FIND("|",'Blind Scoring Sheet'!B226)-1)))</f>
        <v/>
      </c>
      <c r="D16" s="49">
        <f>VALUE(TRIM(MID('Blind Scoring Sheet'!B226,FIND("|",'Blind Scoring Sheet'!B226)+1,20)))</f>
        <v/>
      </c>
      <c r="E16" s="67">
        <f>D16-C16</f>
        <v/>
      </c>
      <c r="F16" s="49">
        <f>VALUE(TRIM(LEFT('Blind Scoring Sheet'!D226,FIND("|",'Blind Scoring Sheet'!D226)-1)))</f>
        <v/>
      </c>
      <c r="G16" s="49">
        <f>VALUE(TRIM(MID('Blind Scoring Sheet'!D226,FIND("|",'Blind Scoring Sheet'!D226)+1,20)))</f>
        <v/>
      </c>
      <c r="H16" s="67">
        <f>G16-F16</f>
        <v/>
      </c>
      <c r="I16" s="49">
        <f>VALUE(TRIM(LEFT('Blind Scoring Sheet'!F226,FIND("|",'Blind Scoring Sheet'!F226)-1)))</f>
        <v/>
      </c>
      <c r="J16" s="49">
        <f>VALUE(TRIM(MID('Blind Scoring Sheet'!F226,FIND("|",'Blind Scoring Sheet'!F226)+1,20)))</f>
        <v/>
      </c>
      <c r="K16" s="67">
        <f>J16-I16</f>
        <v/>
      </c>
      <c r="L16" s="49">
        <f>VALUE(TRIM(LEFT('Blind Scoring Sheet'!H226,FIND("|",'Blind Scoring Sheet'!H226)-1)))</f>
        <v/>
      </c>
      <c r="M16" s="49">
        <f>VALUE(TRIM(MID('Blind Scoring Sheet'!H226,FIND("|",'Blind Scoring Sheet'!H226)+1,20)))</f>
        <v/>
      </c>
      <c r="N16" s="67">
        <f>M16-L16</f>
        <v/>
      </c>
      <c r="O16" s="49">
        <f>VALUE(TRIM(LEFT('Blind Scoring Sheet'!J226,FIND("|",'Blind Scoring Sheet'!J226)-1)))</f>
        <v/>
      </c>
      <c r="P16" s="49">
        <f>VALUE(TRIM(MID('Blind Scoring Sheet'!J226,FIND("|",'Blind Scoring Sheet'!J226)+1,20)))</f>
        <v/>
      </c>
      <c r="Q16" s="67">
        <f>P16-O16</f>
        <v/>
      </c>
      <c r="R16" s="67">
        <f>ABS(Q16)</f>
        <v/>
      </c>
      <c r="S16" s="50">
        <f>TRIM(LEFT('Blind Scoring Sheet'!K226,FIND("|",'Blind Scoring Sheet'!K226)-1))</f>
        <v/>
      </c>
      <c r="T16" s="50">
        <f>TRIM(MID('Blind Scoring Sheet'!K226,FIND("|",'Blind Scoring Sheet'!K226)+1,20))</f>
        <v/>
      </c>
      <c r="U16" s="50">
        <f>IF(S16=T16,"No","Yes")</f>
        <v/>
      </c>
      <c r="V16" s="75">
        <f>IF(S16=T16,"— (agree)",S16&amp;" → "&amp;T16)</f>
        <v/>
      </c>
      <c r="W16" s="67">
        <f>R16+ROW()/1000000</f>
        <v/>
      </c>
    </row>
    <row r="17" ht="15" customHeight="1" s="38">
      <c r="A17" s="75" t="inlineStr">
        <is>
          <t>R_0232</t>
        </is>
      </c>
      <c r="B17" s="50" t="n">
        <v>235</v>
      </c>
      <c r="C17" s="49">
        <f>VALUE(TRIM(LEFT('Blind Scoring Sheet'!B235,FIND("|",'Blind Scoring Sheet'!B235)-1)))</f>
        <v/>
      </c>
      <c r="D17" s="49">
        <f>VALUE(TRIM(MID('Blind Scoring Sheet'!B235,FIND("|",'Blind Scoring Sheet'!B235)+1,20)))</f>
        <v/>
      </c>
      <c r="E17" s="67">
        <f>D17-C17</f>
        <v/>
      </c>
      <c r="F17" s="49">
        <f>VALUE(TRIM(LEFT('Blind Scoring Sheet'!D235,FIND("|",'Blind Scoring Sheet'!D235)-1)))</f>
        <v/>
      </c>
      <c r="G17" s="49">
        <f>VALUE(TRIM(MID('Blind Scoring Sheet'!D235,FIND("|",'Blind Scoring Sheet'!D235)+1,20)))</f>
        <v/>
      </c>
      <c r="H17" s="67">
        <f>G17-F17</f>
        <v/>
      </c>
      <c r="I17" s="49">
        <f>VALUE(TRIM(LEFT('Blind Scoring Sheet'!F235,FIND("|",'Blind Scoring Sheet'!F235)-1)))</f>
        <v/>
      </c>
      <c r="J17" s="49">
        <f>VALUE(TRIM(MID('Blind Scoring Sheet'!F235,FIND("|",'Blind Scoring Sheet'!F235)+1,20)))</f>
        <v/>
      </c>
      <c r="K17" s="67">
        <f>J17-I17</f>
        <v/>
      </c>
      <c r="L17" s="49">
        <f>VALUE(TRIM(LEFT('Blind Scoring Sheet'!H235,FIND("|",'Blind Scoring Sheet'!H235)-1)))</f>
        <v/>
      </c>
      <c r="M17" s="49">
        <f>VALUE(TRIM(MID('Blind Scoring Sheet'!H235,FIND("|",'Blind Scoring Sheet'!H235)+1,20)))</f>
        <v/>
      </c>
      <c r="N17" s="67">
        <f>M17-L17</f>
        <v/>
      </c>
      <c r="O17" s="49">
        <f>VALUE(TRIM(LEFT('Blind Scoring Sheet'!J235,FIND("|",'Blind Scoring Sheet'!J235)-1)))</f>
        <v/>
      </c>
      <c r="P17" s="49">
        <f>VALUE(TRIM(MID('Blind Scoring Sheet'!J235,FIND("|",'Blind Scoring Sheet'!J235)+1,20)))</f>
        <v/>
      </c>
      <c r="Q17" s="67">
        <f>P17-O17</f>
        <v/>
      </c>
      <c r="R17" s="67">
        <f>ABS(Q17)</f>
        <v/>
      </c>
      <c r="S17" s="50">
        <f>TRIM(LEFT('Blind Scoring Sheet'!K235,FIND("|",'Blind Scoring Sheet'!K235)-1))</f>
        <v/>
      </c>
      <c r="T17" s="50">
        <f>TRIM(MID('Blind Scoring Sheet'!K235,FIND("|",'Blind Scoring Sheet'!K235)+1,20))</f>
        <v/>
      </c>
      <c r="U17" s="50">
        <f>IF(S17=T17,"No","Yes")</f>
        <v/>
      </c>
      <c r="V17" s="75">
        <f>IF(S17=T17,"— (agree)",S17&amp;" → "&amp;T17)</f>
        <v/>
      </c>
      <c r="W17" s="67">
        <f>R17+ROW()/1000000</f>
        <v/>
      </c>
    </row>
    <row r="18" ht="15" customHeight="1" s="38">
      <c r="A18" s="75" t="inlineStr">
        <is>
          <t>R_0261</t>
        </is>
      </c>
      <c r="B18" s="50" t="n">
        <v>264</v>
      </c>
      <c r="C18" s="49">
        <f>VALUE(TRIM(LEFT('Blind Scoring Sheet'!B264,FIND("|",'Blind Scoring Sheet'!B264)-1)))</f>
        <v/>
      </c>
      <c r="D18" s="49">
        <f>VALUE(TRIM(MID('Blind Scoring Sheet'!B264,FIND("|",'Blind Scoring Sheet'!B264)+1,20)))</f>
        <v/>
      </c>
      <c r="E18" s="67">
        <f>D18-C18</f>
        <v/>
      </c>
      <c r="F18" s="49">
        <f>VALUE(TRIM(LEFT('Blind Scoring Sheet'!D264,FIND("|",'Blind Scoring Sheet'!D264)-1)))</f>
        <v/>
      </c>
      <c r="G18" s="49">
        <f>VALUE(TRIM(MID('Blind Scoring Sheet'!D264,FIND("|",'Blind Scoring Sheet'!D264)+1,20)))</f>
        <v/>
      </c>
      <c r="H18" s="67">
        <f>G18-F18</f>
        <v/>
      </c>
      <c r="I18" s="49">
        <f>VALUE(TRIM(LEFT('Blind Scoring Sheet'!F264,FIND("|",'Blind Scoring Sheet'!F264)-1)))</f>
        <v/>
      </c>
      <c r="J18" s="49">
        <f>VALUE(TRIM(MID('Blind Scoring Sheet'!F264,FIND("|",'Blind Scoring Sheet'!F264)+1,20)))</f>
        <v/>
      </c>
      <c r="K18" s="67">
        <f>J18-I18</f>
        <v/>
      </c>
      <c r="L18" s="49">
        <f>VALUE(TRIM(LEFT('Blind Scoring Sheet'!H264,FIND("|",'Blind Scoring Sheet'!H264)-1)))</f>
        <v/>
      </c>
      <c r="M18" s="49">
        <f>VALUE(TRIM(MID('Blind Scoring Sheet'!H264,FIND("|",'Blind Scoring Sheet'!H264)+1,20)))</f>
        <v/>
      </c>
      <c r="N18" s="67">
        <f>M18-L18</f>
        <v/>
      </c>
      <c r="O18" s="49">
        <f>VALUE(TRIM(LEFT('Blind Scoring Sheet'!J264,FIND("|",'Blind Scoring Sheet'!J264)-1)))</f>
        <v/>
      </c>
      <c r="P18" s="49">
        <f>VALUE(TRIM(MID('Blind Scoring Sheet'!J264,FIND("|",'Blind Scoring Sheet'!J264)+1,20)))</f>
        <v/>
      </c>
      <c r="Q18" s="67">
        <f>P18-O18</f>
        <v/>
      </c>
      <c r="R18" s="67">
        <f>ABS(Q18)</f>
        <v/>
      </c>
      <c r="S18" s="50">
        <f>TRIM(LEFT('Blind Scoring Sheet'!K264,FIND("|",'Blind Scoring Sheet'!K264)-1))</f>
        <v/>
      </c>
      <c r="T18" s="50">
        <f>TRIM(MID('Blind Scoring Sheet'!K264,FIND("|",'Blind Scoring Sheet'!K264)+1,20))</f>
        <v/>
      </c>
      <c r="U18" s="50">
        <f>IF(S18=T18,"No","Yes")</f>
        <v/>
      </c>
      <c r="V18" s="75">
        <f>IF(S18=T18,"— (agree)",S18&amp;" → "&amp;T18)</f>
        <v/>
      </c>
      <c r="W18" s="67">
        <f>R18+ROW()/1000000</f>
        <v/>
      </c>
    </row>
    <row r="19" ht="15" customHeight="1" s="38">
      <c r="A19" s="75" t="inlineStr">
        <is>
          <t>R_0285</t>
        </is>
      </c>
      <c r="B19" s="50" t="n">
        <v>288</v>
      </c>
      <c r="C19" s="49">
        <f>VALUE(TRIM(LEFT('Blind Scoring Sheet'!B288,FIND("|",'Blind Scoring Sheet'!B288)-1)))</f>
        <v/>
      </c>
      <c r="D19" s="49">
        <f>VALUE(TRIM(MID('Blind Scoring Sheet'!B288,FIND("|",'Blind Scoring Sheet'!B288)+1,20)))</f>
        <v/>
      </c>
      <c r="E19" s="67">
        <f>D19-C19</f>
        <v/>
      </c>
      <c r="F19" s="49">
        <f>VALUE(TRIM(LEFT('Blind Scoring Sheet'!D288,FIND("|",'Blind Scoring Sheet'!D288)-1)))</f>
        <v/>
      </c>
      <c r="G19" s="49">
        <f>VALUE(TRIM(MID('Blind Scoring Sheet'!D288,FIND("|",'Blind Scoring Sheet'!D288)+1,20)))</f>
        <v/>
      </c>
      <c r="H19" s="67">
        <f>G19-F19</f>
        <v/>
      </c>
      <c r="I19" s="49">
        <f>VALUE(TRIM(LEFT('Blind Scoring Sheet'!F288,FIND("|",'Blind Scoring Sheet'!F288)-1)))</f>
        <v/>
      </c>
      <c r="J19" s="49">
        <f>VALUE(TRIM(MID('Blind Scoring Sheet'!F288,FIND("|",'Blind Scoring Sheet'!F288)+1,20)))</f>
        <v/>
      </c>
      <c r="K19" s="67">
        <f>J19-I19</f>
        <v/>
      </c>
      <c r="L19" s="49">
        <f>VALUE(TRIM(LEFT('Blind Scoring Sheet'!H288,FIND("|",'Blind Scoring Sheet'!H288)-1)))</f>
        <v/>
      </c>
      <c r="M19" s="49">
        <f>VALUE(TRIM(MID('Blind Scoring Sheet'!H288,FIND("|",'Blind Scoring Sheet'!H288)+1,20)))</f>
        <v/>
      </c>
      <c r="N19" s="67">
        <f>M19-L19</f>
        <v/>
      </c>
      <c r="O19" s="49">
        <f>VALUE(TRIM(LEFT('Blind Scoring Sheet'!J288,FIND("|",'Blind Scoring Sheet'!J288)-1)))</f>
        <v/>
      </c>
      <c r="P19" s="49">
        <f>VALUE(TRIM(MID('Blind Scoring Sheet'!J288,FIND("|",'Blind Scoring Sheet'!J288)+1,20)))</f>
        <v/>
      </c>
      <c r="Q19" s="67">
        <f>P19-O19</f>
        <v/>
      </c>
      <c r="R19" s="67">
        <f>ABS(Q19)</f>
        <v/>
      </c>
      <c r="S19" s="50">
        <f>TRIM(LEFT('Blind Scoring Sheet'!K288,FIND("|",'Blind Scoring Sheet'!K288)-1))</f>
        <v/>
      </c>
      <c r="T19" s="50">
        <f>TRIM(MID('Blind Scoring Sheet'!K288,FIND("|",'Blind Scoring Sheet'!K288)+1,20))</f>
        <v/>
      </c>
      <c r="U19" s="50">
        <f>IF(S19=T19,"No","Yes")</f>
        <v/>
      </c>
      <c r="V19" s="75">
        <f>IF(S19=T19,"— (agree)",S19&amp;" → "&amp;T19)</f>
        <v/>
      </c>
      <c r="W19" s="67">
        <f>R19+ROW()/1000000</f>
        <v/>
      </c>
    </row>
    <row r="20" ht="15" customHeight="1" s="38">
      <c r="A20" s="75" t="inlineStr">
        <is>
          <t>R_0294</t>
        </is>
      </c>
      <c r="B20" s="50" t="n">
        <v>297</v>
      </c>
      <c r="C20" s="49">
        <f>VALUE(TRIM(LEFT('Blind Scoring Sheet'!B297,FIND("|",'Blind Scoring Sheet'!B297)-1)))</f>
        <v/>
      </c>
      <c r="D20" s="49">
        <f>VALUE(TRIM(MID('Blind Scoring Sheet'!B297,FIND("|",'Blind Scoring Sheet'!B297)+1,20)))</f>
        <v/>
      </c>
      <c r="E20" s="67">
        <f>D20-C20</f>
        <v/>
      </c>
      <c r="F20" s="49">
        <f>VALUE(TRIM(LEFT('Blind Scoring Sheet'!D297,FIND("|",'Blind Scoring Sheet'!D297)-1)))</f>
        <v/>
      </c>
      <c r="G20" s="49">
        <f>VALUE(TRIM(MID('Blind Scoring Sheet'!D297,FIND("|",'Blind Scoring Sheet'!D297)+1,20)))</f>
        <v/>
      </c>
      <c r="H20" s="67">
        <f>G20-F20</f>
        <v/>
      </c>
      <c r="I20" s="49">
        <f>VALUE(TRIM(LEFT('Blind Scoring Sheet'!F297,FIND("|",'Blind Scoring Sheet'!F297)-1)))</f>
        <v/>
      </c>
      <c r="J20" s="49">
        <f>VALUE(TRIM(MID('Blind Scoring Sheet'!F297,FIND("|",'Blind Scoring Sheet'!F297)+1,20)))</f>
        <v/>
      </c>
      <c r="K20" s="67">
        <f>J20-I20</f>
        <v/>
      </c>
      <c r="L20" s="49">
        <f>VALUE(TRIM(LEFT('Blind Scoring Sheet'!H297,FIND("|",'Blind Scoring Sheet'!H297)-1)))</f>
        <v/>
      </c>
      <c r="M20" s="49">
        <f>VALUE(TRIM(MID('Blind Scoring Sheet'!H297,FIND("|",'Blind Scoring Sheet'!H297)+1,20)))</f>
        <v/>
      </c>
      <c r="N20" s="67">
        <f>M20-L20</f>
        <v/>
      </c>
      <c r="O20" s="49">
        <f>VALUE(TRIM(LEFT('Blind Scoring Sheet'!J297,FIND("|",'Blind Scoring Sheet'!J297)-1)))</f>
        <v/>
      </c>
      <c r="P20" s="49">
        <f>VALUE(TRIM(MID('Blind Scoring Sheet'!J297,FIND("|",'Blind Scoring Sheet'!J297)+1,20)))</f>
        <v/>
      </c>
      <c r="Q20" s="67">
        <f>P20-O20</f>
        <v/>
      </c>
      <c r="R20" s="67">
        <f>ABS(Q20)</f>
        <v/>
      </c>
      <c r="S20" s="50">
        <f>TRIM(LEFT('Blind Scoring Sheet'!K297,FIND("|",'Blind Scoring Sheet'!K297)-1))</f>
        <v/>
      </c>
      <c r="T20" s="50">
        <f>TRIM(MID('Blind Scoring Sheet'!K297,FIND("|",'Blind Scoring Sheet'!K297)+1,20))</f>
        <v/>
      </c>
      <c r="U20" s="50">
        <f>IF(S20=T20,"No","Yes")</f>
        <v/>
      </c>
      <c r="V20" s="75">
        <f>IF(S20=T20,"— (agree)",S20&amp;" → "&amp;T20)</f>
        <v/>
      </c>
      <c r="W20" s="67">
        <f>R20+ROW()/1000000</f>
        <v/>
      </c>
    </row>
    <row r="21" ht="15" customHeight="1" s="38">
      <c r="A21" s="75" t="inlineStr">
        <is>
          <t>R_0353</t>
        </is>
      </c>
      <c r="B21" s="50" t="n">
        <v>356</v>
      </c>
      <c r="C21" s="49">
        <f>VALUE(TRIM(LEFT('Blind Scoring Sheet'!B356,FIND("|",'Blind Scoring Sheet'!B356)-1)))</f>
        <v/>
      </c>
      <c r="D21" s="49">
        <f>VALUE(TRIM(MID('Blind Scoring Sheet'!B356,FIND("|",'Blind Scoring Sheet'!B356)+1,20)))</f>
        <v/>
      </c>
      <c r="E21" s="67">
        <f>D21-C21</f>
        <v/>
      </c>
      <c r="F21" s="49">
        <f>VALUE(TRIM(LEFT('Blind Scoring Sheet'!D356,FIND("|",'Blind Scoring Sheet'!D356)-1)))</f>
        <v/>
      </c>
      <c r="G21" s="49">
        <f>VALUE(TRIM(MID('Blind Scoring Sheet'!D356,FIND("|",'Blind Scoring Sheet'!D356)+1,20)))</f>
        <v/>
      </c>
      <c r="H21" s="67">
        <f>G21-F21</f>
        <v/>
      </c>
      <c r="I21" s="49">
        <f>VALUE(TRIM(LEFT('Blind Scoring Sheet'!F356,FIND("|",'Blind Scoring Sheet'!F356)-1)))</f>
        <v/>
      </c>
      <c r="J21" s="49">
        <f>VALUE(TRIM(MID('Blind Scoring Sheet'!F356,FIND("|",'Blind Scoring Sheet'!F356)+1,20)))</f>
        <v/>
      </c>
      <c r="K21" s="67">
        <f>J21-I21</f>
        <v/>
      </c>
      <c r="L21" s="49">
        <f>VALUE(TRIM(LEFT('Blind Scoring Sheet'!H356,FIND("|",'Blind Scoring Sheet'!H356)-1)))</f>
        <v/>
      </c>
      <c r="M21" s="49">
        <f>VALUE(TRIM(MID('Blind Scoring Sheet'!H356,FIND("|",'Blind Scoring Sheet'!H356)+1,20)))</f>
        <v/>
      </c>
      <c r="N21" s="67">
        <f>M21-L21</f>
        <v/>
      </c>
      <c r="O21" s="49">
        <f>VALUE(TRIM(LEFT('Blind Scoring Sheet'!J356,FIND("|",'Blind Scoring Sheet'!J356)-1)))</f>
        <v/>
      </c>
      <c r="P21" s="49">
        <f>VALUE(TRIM(MID('Blind Scoring Sheet'!J356,FIND("|",'Blind Scoring Sheet'!J356)+1,20)))</f>
        <v/>
      </c>
      <c r="Q21" s="67">
        <f>P21-O21</f>
        <v/>
      </c>
      <c r="R21" s="67">
        <f>ABS(Q21)</f>
        <v/>
      </c>
      <c r="S21" s="50">
        <f>TRIM(LEFT('Blind Scoring Sheet'!K356,FIND("|",'Blind Scoring Sheet'!K356)-1))</f>
        <v/>
      </c>
      <c r="T21" s="50">
        <f>TRIM(MID('Blind Scoring Sheet'!K356,FIND("|",'Blind Scoring Sheet'!K356)+1,20))</f>
        <v/>
      </c>
      <c r="U21" s="50">
        <f>IF(S21=T21,"No","Yes")</f>
        <v/>
      </c>
      <c r="V21" s="75">
        <f>IF(S21=T21,"— (agree)",S21&amp;" → "&amp;T21)</f>
        <v/>
      </c>
      <c r="W21" s="67">
        <f>R21+ROW()/1000000</f>
        <v/>
      </c>
    </row>
    <row r="22" ht="15" customHeight="1" s="38">
      <c r="A22" s="75" t="inlineStr">
        <is>
          <t>R_0366</t>
        </is>
      </c>
      <c r="B22" s="50" t="n">
        <v>369</v>
      </c>
      <c r="C22" s="49">
        <f>VALUE(TRIM(LEFT('Blind Scoring Sheet'!B369,FIND("|",'Blind Scoring Sheet'!B369)-1)))</f>
        <v/>
      </c>
      <c r="D22" s="49">
        <f>VALUE(TRIM(MID('Blind Scoring Sheet'!B369,FIND("|",'Blind Scoring Sheet'!B369)+1,20)))</f>
        <v/>
      </c>
      <c r="E22" s="67">
        <f>D22-C22</f>
        <v/>
      </c>
      <c r="F22" s="49">
        <f>VALUE(TRIM(LEFT('Blind Scoring Sheet'!D369,FIND("|",'Blind Scoring Sheet'!D369)-1)))</f>
        <v/>
      </c>
      <c r="G22" s="49">
        <f>VALUE(TRIM(MID('Blind Scoring Sheet'!D369,FIND("|",'Blind Scoring Sheet'!D369)+1,20)))</f>
        <v/>
      </c>
      <c r="H22" s="67">
        <f>G22-F22</f>
        <v/>
      </c>
      <c r="I22" s="49">
        <f>VALUE(TRIM(LEFT('Blind Scoring Sheet'!F369,FIND("|",'Blind Scoring Sheet'!F369)-1)))</f>
        <v/>
      </c>
      <c r="J22" s="49">
        <f>VALUE(TRIM(MID('Blind Scoring Sheet'!F369,FIND("|",'Blind Scoring Sheet'!F369)+1,20)))</f>
        <v/>
      </c>
      <c r="K22" s="67">
        <f>J22-I22</f>
        <v/>
      </c>
      <c r="L22" s="49">
        <f>VALUE(TRIM(LEFT('Blind Scoring Sheet'!H369,FIND("|",'Blind Scoring Sheet'!H369)-1)))</f>
        <v/>
      </c>
      <c r="M22" s="49">
        <f>VALUE(TRIM(MID('Blind Scoring Sheet'!H369,FIND("|",'Blind Scoring Sheet'!H369)+1,20)))</f>
        <v/>
      </c>
      <c r="N22" s="67">
        <f>M22-L22</f>
        <v/>
      </c>
      <c r="O22" s="49">
        <f>VALUE(TRIM(LEFT('Blind Scoring Sheet'!J369,FIND("|",'Blind Scoring Sheet'!J369)-1)))</f>
        <v/>
      </c>
      <c r="P22" s="49">
        <f>VALUE(TRIM(MID('Blind Scoring Sheet'!J369,FIND("|",'Blind Scoring Sheet'!J369)+1,20)))</f>
        <v/>
      </c>
      <c r="Q22" s="67">
        <f>P22-O22</f>
        <v/>
      </c>
      <c r="R22" s="67">
        <f>ABS(Q22)</f>
        <v/>
      </c>
      <c r="S22" s="50">
        <f>TRIM(LEFT('Blind Scoring Sheet'!K369,FIND("|",'Blind Scoring Sheet'!K369)-1))</f>
        <v/>
      </c>
      <c r="T22" s="50">
        <f>TRIM(MID('Blind Scoring Sheet'!K369,FIND("|",'Blind Scoring Sheet'!K369)+1,20))</f>
        <v/>
      </c>
      <c r="U22" s="50">
        <f>IF(S22=T22,"No","Yes")</f>
        <v/>
      </c>
      <c r="V22" s="75">
        <f>IF(S22=T22,"— (agree)",S22&amp;" → "&amp;T22)</f>
        <v/>
      </c>
      <c r="W22" s="67">
        <f>R22+ROW()/1000000</f>
        <v/>
      </c>
    </row>
    <row r="23" ht="15" customHeight="1" s="38">
      <c r="A23" s="75" t="inlineStr">
        <is>
          <t>R_0390</t>
        </is>
      </c>
      <c r="B23" s="50" t="n">
        <v>393</v>
      </c>
      <c r="C23" s="49">
        <f>VALUE(TRIM(LEFT('Blind Scoring Sheet'!B393,FIND("|",'Blind Scoring Sheet'!B393)-1)))</f>
        <v/>
      </c>
      <c r="D23" s="49">
        <f>VALUE(TRIM(MID('Blind Scoring Sheet'!B393,FIND("|",'Blind Scoring Sheet'!B393)+1,20)))</f>
        <v/>
      </c>
      <c r="E23" s="67">
        <f>D23-C23</f>
        <v/>
      </c>
      <c r="F23" s="49">
        <f>VALUE(TRIM(LEFT('Blind Scoring Sheet'!D393,FIND("|",'Blind Scoring Sheet'!D393)-1)))</f>
        <v/>
      </c>
      <c r="G23" s="49">
        <f>VALUE(TRIM(MID('Blind Scoring Sheet'!D393,FIND("|",'Blind Scoring Sheet'!D393)+1,20)))</f>
        <v/>
      </c>
      <c r="H23" s="67">
        <f>G23-F23</f>
        <v/>
      </c>
      <c r="I23" s="49">
        <f>VALUE(TRIM(LEFT('Blind Scoring Sheet'!F393,FIND("|",'Blind Scoring Sheet'!F393)-1)))</f>
        <v/>
      </c>
      <c r="J23" s="49">
        <f>VALUE(TRIM(MID('Blind Scoring Sheet'!F393,FIND("|",'Blind Scoring Sheet'!F393)+1,20)))</f>
        <v/>
      </c>
      <c r="K23" s="67">
        <f>J23-I23</f>
        <v/>
      </c>
      <c r="L23" s="49">
        <f>VALUE(TRIM(LEFT('Blind Scoring Sheet'!H393,FIND("|",'Blind Scoring Sheet'!H393)-1)))</f>
        <v/>
      </c>
      <c r="M23" s="49">
        <f>VALUE(TRIM(MID('Blind Scoring Sheet'!H393,FIND("|",'Blind Scoring Sheet'!H393)+1,20)))</f>
        <v/>
      </c>
      <c r="N23" s="67">
        <f>M23-L23</f>
        <v/>
      </c>
      <c r="O23" s="49">
        <f>VALUE(TRIM(LEFT('Blind Scoring Sheet'!J393,FIND("|",'Blind Scoring Sheet'!J393)-1)))</f>
        <v/>
      </c>
      <c r="P23" s="49">
        <f>VALUE(TRIM(MID('Blind Scoring Sheet'!J393,FIND("|",'Blind Scoring Sheet'!J393)+1,20)))</f>
        <v/>
      </c>
      <c r="Q23" s="67">
        <f>P23-O23</f>
        <v/>
      </c>
      <c r="R23" s="67">
        <f>ABS(Q23)</f>
        <v/>
      </c>
      <c r="S23" s="50">
        <f>TRIM(LEFT('Blind Scoring Sheet'!K393,FIND("|",'Blind Scoring Sheet'!K393)-1))</f>
        <v/>
      </c>
      <c r="T23" s="50">
        <f>TRIM(MID('Blind Scoring Sheet'!K393,FIND("|",'Blind Scoring Sheet'!K393)+1,20))</f>
        <v/>
      </c>
      <c r="U23" s="50">
        <f>IF(S23=T23,"No","Yes")</f>
        <v/>
      </c>
      <c r="V23" s="75">
        <f>IF(S23=T23,"— (agree)",S23&amp;" → "&amp;T23)</f>
        <v/>
      </c>
      <c r="W23" s="67">
        <f>R23+ROW()/1000000</f>
        <v/>
      </c>
    </row>
    <row r="24" ht="15" customHeight="1" s="38">
      <c r="A24" s="75" t="inlineStr">
        <is>
          <t>R_0393</t>
        </is>
      </c>
      <c r="B24" s="50" t="n">
        <v>396</v>
      </c>
      <c r="C24" s="49">
        <f>VALUE(TRIM(LEFT('Blind Scoring Sheet'!B396,FIND("|",'Blind Scoring Sheet'!B396)-1)))</f>
        <v/>
      </c>
      <c r="D24" s="49">
        <f>VALUE(TRIM(MID('Blind Scoring Sheet'!B396,FIND("|",'Blind Scoring Sheet'!B396)+1,20)))</f>
        <v/>
      </c>
      <c r="E24" s="67">
        <f>D24-C24</f>
        <v/>
      </c>
      <c r="F24" s="49">
        <f>VALUE(TRIM(LEFT('Blind Scoring Sheet'!D396,FIND("|",'Blind Scoring Sheet'!D396)-1)))</f>
        <v/>
      </c>
      <c r="G24" s="49">
        <f>VALUE(TRIM(MID('Blind Scoring Sheet'!D396,FIND("|",'Blind Scoring Sheet'!D396)+1,20)))</f>
        <v/>
      </c>
      <c r="H24" s="67">
        <f>G24-F24</f>
        <v/>
      </c>
      <c r="I24" s="49">
        <f>VALUE(TRIM(LEFT('Blind Scoring Sheet'!F396,FIND("|",'Blind Scoring Sheet'!F396)-1)))</f>
        <v/>
      </c>
      <c r="J24" s="49">
        <f>VALUE(TRIM(MID('Blind Scoring Sheet'!F396,FIND("|",'Blind Scoring Sheet'!F396)+1,20)))</f>
        <v/>
      </c>
      <c r="K24" s="67">
        <f>J24-I24</f>
        <v/>
      </c>
      <c r="L24" s="49">
        <f>VALUE(TRIM(LEFT('Blind Scoring Sheet'!H396,FIND("|",'Blind Scoring Sheet'!H396)-1)))</f>
        <v/>
      </c>
      <c r="M24" s="49">
        <f>VALUE(TRIM(MID('Blind Scoring Sheet'!H396,FIND("|",'Blind Scoring Sheet'!H396)+1,20)))</f>
        <v/>
      </c>
      <c r="N24" s="67">
        <f>M24-L24</f>
        <v/>
      </c>
      <c r="O24" s="49">
        <f>VALUE(TRIM(LEFT('Blind Scoring Sheet'!J396,FIND("|",'Blind Scoring Sheet'!J396)-1)))</f>
        <v/>
      </c>
      <c r="P24" s="49">
        <f>VALUE(TRIM(MID('Blind Scoring Sheet'!J396,FIND("|",'Blind Scoring Sheet'!J396)+1,20)))</f>
        <v/>
      </c>
      <c r="Q24" s="67">
        <f>P24-O24</f>
        <v/>
      </c>
      <c r="R24" s="67">
        <f>ABS(Q24)</f>
        <v/>
      </c>
      <c r="S24" s="50">
        <f>TRIM(LEFT('Blind Scoring Sheet'!K396,FIND("|",'Blind Scoring Sheet'!K396)-1))</f>
        <v/>
      </c>
      <c r="T24" s="50">
        <f>TRIM(MID('Blind Scoring Sheet'!K396,FIND("|",'Blind Scoring Sheet'!K396)+1,20))</f>
        <v/>
      </c>
      <c r="U24" s="50">
        <f>IF(S24=T24,"No","Yes")</f>
        <v/>
      </c>
      <c r="V24" s="75">
        <f>IF(S24=T24,"— (agree)",S24&amp;" → "&amp;T24)</f>
        <v/>
      </c>
      <c r="W24" s="67">
        <f>R24+ROW()/1000000</f>
        <v/>
      </c>
    </row>
    <row r="25" ht="15" customHeight="1" s="38">
      <c r="A25" s="75" t="inlineStr">
        <is>
          <t>R_0397</t>
        </is>
      </c>
      <c r="B25" s="50" t="n">
        <v>400</v>
      </c>
      <c r="C25" s="49">
        <f>VALUE(TRIM(LEFT('Blind Scoring Sheet'!B400,FIND("|",'Blind Scoring Sheet'!B400)-1)))</f>
        <v/>
      </c>
      <c r="D25" s="49">
        <f>VALUE(TRIM(MID('Blind Scoring Sheet'!B400,FIND("|",'Blind Scoring Sheet'!B400)+1,20)))</f>
        <v/>
      </c>
      <c r="E25" s="67">
        <f>D25-C25</f>
        <v/>
      </c>
      <c r="F25" s="49">
        <f>VALUE(TRIM(LEFT('Blind Scoring Sheet'!D400,FIND("|",'Blind Scoring Sheet'!D400)-1)))</f>
        <v/>
      </c>
      <c r="G25" s="49">
        <f>VALUE(TRIM(MID('Blind Scoring Sheet'!D400,FIND("|",'Blind Scoring Sheet'!D400)+1,20)))</f>
        <v/>
      </c>
      <c r="H25" s="67">
        <f>G25-F25</f>
        <v/>
      </c>
      <c r="I25" s="49">
        <f>VALUE(TRIM(LEFT('Blind Scoring Sheet'!F400,FIND("|",'Blind Scoring Sheet'!F400)-1)))</f>
        <v/>
      </c>
      <c r="J25" s="49">
        <f>VALUE(TRIM(MID('Blind Scoring Sheet'!F400,FIND("|",'Blind Scoring Sheet'!F400)+1,20)))</f>
        <v/>
      </c>
      <c r="K25" s="67">
        <f>J25-I25</f>
        <v/>
      </c>
      <c r="L25" s="49">
        <f>VALUE(TRIM(LEFT('Blind Scoring Sheet'!H400,FIND("|",'Blind Scoring Sheet'!H400)-1)))</f>
        <v/>
      </c>
      <c r="M25" s="49">
        <f>VALUE(TRIM(MID('Blind Scoring Sheet'!H400,FIND("|",'Blind Scoring Sheet'!H400)+1,20)))</f>
        <v/>
      </c>
      <c r="N25" s="67">
        <f>M25-L25</f>
        <v/>
      </c>
      <c r="O25" s="49">
        <f>VALUE(TRIM(LEFT('Blind Scoring Sheet'!J400,FIND("|",'Blind Scoring Sheet'!J400)-1)))</f>
        <v/>
      </c>
      <c r="P25" s="49">
        <f>VALUE(TRIM(MID('Blind Scoring Sheet'!J400,FIND("|",'Blind Scoring Sheet'!J400)+1,20)))</f>
        <v/>
      </c>
      <c r="Q25" s="67">
        <f>P25-O25</f>
        <v/>
      </c>
      <c r="R25" s="67">
        <f>ABS(Q25)</f>
        <v/>
      </c>
      <c r="S25" s="50">
        <f>TRIM(LEFT('Blind Scoring Sheet'!K400,FIND("|",'Blind Scoring Sheet'!K400)-1))</f>
        <v/>
      </c>
      <c r="T25" s="50">
        <f>TRIM(MID('Blind Scoring Sheet'!K400,FIND("|",'Blind Scoring Sheet'!K400)+1,20))</f>
        <v/>
      </c>
      <c r="U25" s="50">
        <f>IF(S25=T25,"No","Yes")</f>
        <v/>
      </c>
      <c r="V25" s="75">
        <f>IF(S25=T25,"— (agree)",S25&amp;" → "&amp;T25)</f>
        <v/>
      </c>
      <c r="W25" s="67">
        <f>R25+ROW()/1000000</f>
        <v/>
      </c>
    </row>
    <row r="26" ht="15" customHeight="1" s="38">
      <c r="A26" s="75" t="inlineStr">
        <is>
          <t>R_0435</t>
        </is>
      </c>
      <c r="B26" s="50" t="n">
        <v>438</v>
      </c>
      <c r="C26" s="49">
        <f>VALUE(TRIM(LEFT('Blind Scoring Sheet'!B438,FIND("|",'Blind Scoring Sheet'!B438)-1)))</f>
        <v/>
      </c>
      <c r="D26" s="49">
        <f>VALUE(TRIM(MID('Blind Scoring Sheet'!B438,FIND("|",'Blind Scoring Sheet'!B438)+1,20)))</f>
        <v/>
      </c>
      <c r="E26" s="67">
        <f>D26-C26</f>
        <v/>
      </c>
      <c r="F26" s="49">
        <f>VALUE(TRIM(LEFT('Blind Scoring Sheet'!D438,FIND("|",'Blind Scoring Sheet'!D438)-1)))</f>
        <v/>
      </c>
      <c r="G26" s="49">
        <f>VALUE(TRIM(MID('Blind Scoring Sheet'!D438,FIND("|",'Blind Scoring Sheet'!D438)+1,20)))</f>
        <v/>
      </c>
      <c r="H26" s="67">
        <f>G26-F26</f>
        <v/>
      </c>
      <c r="I26" s="49">
        <f>VALUE(TRIM(LEFT('Blind Scoring Sheet'!F438,FIND("|",'Blind Scoring Sheet'!F438)-1)))</f>
        <v/>
      </c>
      <c r="J26" s="49">
        <f>VALUE(TRIM(MID('Blind Scoring Sheet'!F438,FIND("|",'Blind Scoring Sheet'!F438)+1,20)))</f>
        <v/>
      </c>
      <c r="K26" s="67">
        <f>J26-I26</f>
        <v/>
      </c>
      <c r="L26" s="49">
        <f>VALUE(TRIM(LEFT('Blind Scoring Sheet'!H438,FIND("|",'Blind Scoring Sheet'!H438)-1)))</f>
        <v/>
      </c>
      <c r="M26" s="49">
        <f>VALUE(TRIM(MID('Blind Scoring Sheet'!H438,FIND("|",'Blind Scoring Sheet'!H438)+1,20)))</f>
        <v/>
      </c>
      <c r="N26" s="67">
        <f>M26-L26</f>
        <v/>
      </c>
      <c r="O26" s="49">
        <f>VALUE(TRIM(LEFT('Blind Scoring Sheet'!J438,FIND("|",'Blind Scoring Sheet'!J438)-1)))</f>
        <v/>
      </c>
      <c r="P26" s="49">
        <f>VALUE(TRIM(MID('Blind Scoring Sheet'!J438,FIND("|",'Blind Scoring Sheet'!J438)+1,20)))</f>
        <v/>
      </c>
      <c r="Q26" s="67">
        <f>P26-O26</f>
        <v/>
      </c>
      <c r="R26" s="67">
        <f>ABS(Q26)</f>
        <v/>
      </c>
      <c r="S26" s="50">
        <f>TRIM(LEFT('Blind Scoring Sheet'!K438,FIND("|",'Blind Scoring Sheet'!K438)-1))</f>
        <v/>
      </c>
      <c r="T26" s="50">
        <f>TRIM(MID('Blind Scoring Sheet'!K438,FIND("|",'Blind Scoring Sheet'!K438)+1,20))</f>
        <v/>
      </c>
      <c r="U26" s="50">
        <f>IF(S26=T26,"No","Yes")</f>
        <v/>
      </c>
      <c r="V26" s="75">
        <f>IF(S26=T26,"— (agree)",S26&amp;" → "&amp;T26)</f>
        <v/>
      </c>
      <c r="W26" s="67">
        <f>R26+ROW()/1000000</f>
        <v/>
      </c>
    </row>
    <row r="27" ht="15" customHeight="1" s="38">
      <c r="A27" s="75" t="inlineStr">
        <is>
          <t>R_0439</t>
        </is>
      </c>
      <c r="B27" s="50" t="n">
        <v>442</v>
      </c>
      <c r="C27" s="49">
        <f>VALUE(TRIM(LEFT('Blind Scoring Sheet'!B442,FIND("|",'Blind Scoring Sheet'!B442)-1)))</f>
        <v/>
      </c>
      <c r="D27" s="49">
        <f>VALUE(TRIM(MID('Blind Scoring Sheet'!B442,FIND("|",'Blind Scoring Sheet'!B442)+1,20)))</f>
        <v/>
      </c>
      <c r="E27" s="67">
        <f>D27-C27</f>
        <v/>
      </c>
      <c r="F27" s="49">
        <f>VALUE(TRIM(LEFT('Blind Scoring Sheet'!D442,FIND("|",'Blind Scoring Sheet'!D442)-1)))</f>
        <v/>
      </c>
      <c r="G27" s="49">
        <f>VALUE(TRIM(MID('Blind Scoring Sheet'!D442,FIND("|",'Blind Scoring Sheet'!D442)+1,20)))</f>
        <v/>
      </c>
      <c r="H27" s="67">
        <f>G27-F27</f>
        <v/>
      </c>
      <c r="I27" s="49">
        <f>VALUE(TRIM(LEFT('Blind Scoring Sheet'!F442,FIND("|",'Blind Scoring Sheet'!F442)-1)))</f>
        <v/>
      </c>
      <c r="J27" s="49">
        <f>VALUE(TRIM(MID('Blind Scoring Sheet'!F442,FIND("|",'Blind Scoring Sheet'!F442)+1,20)))</f>
        <v/>
      </c>
      <c r="K27" s="67">
        <f>J27-I27</f>
        <v/>
      </c>
      <c r="L27" s="49">
        <f>VALUE(TRIM(LEFT('Blind Scoring Sheet'!H442,FIND("|",'Blind Scoring Sheet'!H442)-1)))</f>
        <v/>
      </c>
      <c r="M27" s="49">
        <f>VALUE(TRIM(MID('Blind Scoring Sheet'!H442,FIND("|",'Blind Scoring Sheet'!H442)+1,20)))</f>
        <v/>
      </c>
      <c r="N27" s="67">
        <f>M27-L27</f>
        <v/>
      </c>
      <c r="O27" s="49">
        <f>VALUE(TRIM(LEFT('Blind Scoring Sheet'!J442,FIND("|",'Blind Scoring Sheet'!J442)-1)))</f>
        <v/>
      </c>
      <c r="P27" s="49">
        <f>VALUE(TRIM(MID('Blind Scoring Sheet'!J442,FIND("|",'Blind Scoring Sheet'!J442)+1,20)))</f>
        <v/>
      </c>
      <c r="Q27" s="67">
        <f>P27-O27</f>
        <v/>
      </c>
      <c r="R27" s="67">
        <f>ABS(Q27)</f>
        <v/>
      </c>
      <c r="S27" s="50">
        <f>TRIM(LEFT('Blind Scoring Sheet'!K442,FIND("|",'Blind Scoring Sheet'!K442)-1))</f>
        <v/>
      </c>
      <c r="T27" s="50">
        <f>TRIM(MID('Blind Scoring Sheet'!K442,FIND("|",'Blind Scoring Sheet'!K442)+1,20))</f>
        <v/>
      </c>
      <c r="U27" s="50">
        <f>IF(S27=T27,"No","Yes")</f>
        <v/>
      </c>
      <c r="V27" s="75">
        <f>IF(S27=T27,"— (agree)",S27&amp;" → "&amp;T27)</f>
        <v/>
      </c>
      <c r="W27" s="67">
        <f>R27+ROW()/1000000</f>
        <v/>
      </c>
    </row>
    <row r="28" ht="15" customHeight="1" s="38">
      <c r="A28" s="75" t="inlineStr">
        <is>
          <t>R_0472</t>
        </is>
      </c>
      <c r="B28" s="50" t="n">
        <v>475</v>
      </c>
      <c r="C28" s="49">
        <f>VALUE(TRIM(LEFT('Blind Scoring Sheet'!B475,FIND("|",'Blind Scoring Sheet'!B475)-1)))</f>
        <v/>
      </c>
      <c r="D28" s="49">
        <f>VALUE(TRIM(MID('Blind Scoring Sheet'!B475,FIND("|",'Blind Scoring Sheet'!B475)+1,20)))</f>
        <v/>
      </c>
      <c r="E28" s="67">
        <f>D28-C28</f>
        <v/>
      </c>
      <c r="F28" s="49">
        <f>VALUE(TRIM(LEFT('Blind Scoring Sheet'!D475,FIND("|",'Blind Scoring Sheet'!D475)-1)))</f>
        <v/>
      </c>
      <c r="G28" s="49">
        <f>VALUE(TRIM(MID('Blind Scoring Sheet'!D475,FIND("|",'Blind Scoring Sheet'!D475)+1,20)))</f>
        <v/>
      </c>
      <c r="H28" s="67">
        <f>G28-F28</f>
        <v/>
      </c>
      <c r="I28" s="49">
        <f>VALUE(TRIM(LEFT('Blind Scoring Sheet'!F475,FIND("|",'Blind Scoring Sheet'!F475)-1)))</f>
        <v/>
      </c>
      <c r="J28" s="49">
        <f>VALUE(TRIM(MID('Blind Scoring Sheet'!F475,FIND("|",'Blind Scoring Sheet'!F475)+1,20)))</f>
        <v/>
      </c>
      <c r="K28" s="67">
        <f>J28-I28</f>
        <v/>
      </c>
      <c r="L28" s="49">
        <f>VALUE(TRIM(LEFT('Blind Scoring Sheet'!H475,FIND("|",'Blind Scoring Sheet'!H475)-1)))</f>
        <v/>
      </c>
      <c r="M28" s="49">
        <f>VALUE(TRIM(MID('Blind Scoring Sheet'!H475,FIND("|",'Blind Scoring Sheet'!H475)+1,20)))</f>
        <v/>
      </c>
      <c r="N28" s="67">
        <f>M28-L28</f>
        <v/>
      </c>
      <c r="O28" s="49">
        <f>VALUE(TRIM(LEFT('Blind Scoring Sheet'!J475,FIND("|",'Blind Scoring Sheet'!J475)-1)))</f>
        <v/>
      </c>
      <c r="P28" s="49">
        <f>VALUE(TRIM(MID('Blind Scoring Sheet'!J475,FIND("|",'Blind Scoring Sheet'!J475)+1,20)))</f>
        <v/>
      </c>
      <c r="Q28" s="67">
        <f>P28-O28</f>
        <v/>
      </c>
      <c r="R28" s="67">
        <f>ABS(Q28)</f>
        <v/>
      </c>
      <c r="S28" s="50">
        <f>TRIM(LEFT('Blind Scoring Sheet'!K475,FIND("|",'Blind Scoring Sheet'!K475)-1))</f>
        <v/>
      </c>
      <c r="T28" s="50">
        <f>TRIM(MID('Blind Scoring Sheet'!K475,FIND("|",'Blind Scoring Sheet'!K475)+1,20))</f>
        <v/>
      </c>
      <c r="U28" s="50">
        <f>IF(S28=T28,"No","Yes")</f>
        <v/>
      </c>
      <c r="V28" s="75">
        <f>IF(S28=T28,"— (agree)",S28&amp;" → "&amp;T28)</f>
        <v/>
      </c>
      <c r="W28" s="67">
        <f>R28+ROW()/1000000</f>
        <v/>
      </c>
    </row>
    <row r="29" ht="15" customHeight="1" s="38">
      <c r="A29" s="75" t="inlineStr">
        <is>
          <t>R_0473</t>
        </is>
      </c>
      <c r="B29" s="50" t="n">
        <v>476</v>
      </c>
      <c r="C29" s="49">
        <f>VALUE(TRIM(LEFT('Blind Scoring Sheet'!B476,FIND("|",'Blind Scoring Sheet'!B476)-1)))</f>
        <v/>
      </c>
      <c r="D29" s="49">
        <f>VALUE(TRIM(MID('Blind Scoring Sheet'!B476,FIND("|",'Blind Scoring Sheet'!B476)+1,20)))</f>
        <v/>
      </c>
      <c r="E29" s="67">
        <f>D29-C29</f>
        <v/>
      </c>
      <c r="F29" s="49">
        <f>VALUE(TRIM(LEFT('Blind Scoring Sheet'!D476,FIND("|",'Blind Scoring Sheet'!D476)-1)))</f>
        <v/>
      </c>
      <c r="G29" s="49">
        <f>VALUE(TRIM(MID('Blind Scoring Sheet'!D476,FIND("|",'Blind Scoring Sheet'!D476)+1,20)))</f>
        <v/>
      </c>
      <c r="H29" s="67">
        <f>G29-F29</f>
        <v/>
      </c>
      <c r="I29" s="49">
        <f>VALUE(TRIM(LEFT('Blind Scoring Sheet'!F476,FIND("|",'Blind Scoring Sheet'!F476)-1)))</f>
        <v/>
      </c>
      <c r="J29" s="49">
        <f>VALUE(TRIM(MID('Blind Scoring Sheet'!F476,FIND("|",'Blind Scoring Sheet'!F476)+1,20)))</f>
        <v/>
      </c>
      <c r="K29" s="67">
        <f>J29-I29</f>
        <v/>
      </c>
      <c r="L29" s="49">
        <f>VALUE(TRIM(LEFT('Blind Scoring Sheet'!H476,FIND("|",'Blind Scoring Sheet'!H476)-1)))</f>
        <v/>
      </c>
      <c r="M29" s="49">
        <f>VALUE(TRIM(MID('Blind Scoring Sheet'!H476,FIND("|",'Blind Scoring Sheet'!H476)+1,20)))</f>
        <v/>
      </c>
      <c r="N29" s="67">
        <f>M29-L29</f>
        <v/>
      </c>
      <c r="O29" s="49">
        <f>VALUE(TRIM(LEFT('Blind Scoring Sheet'!J476,FIND("|",'Blind Scoring Sheet'!J476)-1)))</f>
        <v/>
      </c>
      <c r="P29" s="49">
        <f>VALUE(TRIM(MID('Blind Scoring Sheet'!J476,FIND("|",'Blind Scoring Sheet'!J476)+1,20)))</f>
        <v/>
      </c>
      <c r="Q29" s="67">
        <f>P29-O29</f>
        <v/>
      </c>
      <c r="R29" s="67">
        <f>ABS(Q29)</f>
        <v/>
      </c>
      <c r="S29" s="50">
        <f>TRIM(LEFT('Blind Scoring Sheet'!K476,FIND("|",'Blind Scoring Sheet'!K476)-1))</f>
        <v/>
      </c>
      <c r="T29" s="50">
        <f>TRIM(MID('Blind Scoring Sheet'!K476,FIND("|",'Blind Scoring Sheet'!K476)+1,20))</f>
        <v/>
      </c>
      <c r="U29" s="50">
        <f>IF(S29=T29,"No","Yes")</f>
        <v/>
      </c>
      <c r="V29" s="75">
        <f>IF(S29=T29,"— (agree)",S29&amp;" → "&amp;T29)</f>
        <v/>
      </c>
      <c r="W29" s="67">
        <f>R29+ROW()/1000000</f>
        <v/>
      </c>
    </row>
    <row r="30" ht="15" customHeight="1" s="38">
      <c r="A30" s="75" t="inlineStr">
        <is>
          <t>R_0474</t>
        </is>
      </c>
      <c r="B30" s="50" t="n">
        <v>477</v>
      </c>
      <c r="C30" s="49">
        <f>VALUE(TRIM(LEFT('Blind Scoring Sheet'!B477,FIND("|",'Blind Scoring Sheet'!B477)-1)))</f>
        <v/>
      </c>
      <c r="D30" s="49">
        <f>VALUE(TRIM(MID('Blind Scoring Sheet'!B477,FIND("|",'Blind Scoring Sheet'!B477)+1,20)))</f>
        <v/>
      </c>
      <c r="E30" s="67">
        <f>D30-C30</f>
        <v/>
      </c>
      <c r="F30" s="49">
        <f>VALUE(TRIM(LEFT('Blind Scoring Sheet'!D477,FIND("|",'Blind Scoring Sheet'!D477)-1)))</f>
        <v/>
      </c>
      <c r="G30" s="49">
        <f>VALUE(TRIM(MID('Blind Scoring Sheet'!D477,FIND("|",'Blind Scoring Sheet'!D477)+1,20)))</f>
        <v/>
      </c>
      <c r="H30" s="67">
        <f>G30-F30</f>
        <v/>
      </c>
      <c r="I30" s="49">
        <f>VALUE(TRIM(LEFT('Blind Scoring Sheet'!F477,FIND("|",'Blind Scoring Sheet'!F477)-1)))</f>
        <v/>
      </c>
      <c r="J30" s="49">
        <f>VALUE(TRIM(MID('Blind Scoring Sheet'!F477,FIND("|",'Blind Scoring Sheet'!F477)+1,20)))</f>
        <v/>
      </c>
      <c r="K30" s="67">
        <f>J30-I30</f>
        <v/>
      </c>
      <c r="L30" s="49">
        <f>VALUE(TRIM(LEFT('Blind Scoring Sheet'!H477,FIND("|",'Blind Scoring Sheet'!H477)-1)))</f>
        <v/>
      </c>
      <c r="M30" s="49">
        <f>VALUE(TRIM(MID('Blind Scoring Sheet'!H477,FIND("|",'Blind Scoring Sheet'!H477)+1,20)))</f>
        <v/>
      </c>
      <c r="N30" s="67">
        <f>M30-L30</f>
        <v/>
      </c>
      <c r="O30" s="49">
        <f>VALUE(TRIM(LEFT('Blind Scoring Sheet'!J477,FIND("|",'Blind Scoring Sheet'!J477)-1)))</f>
        <v/>
      </c>
      <c r="P30" s="49">
        <f>VALUE(TRIM(MID('Blind Scoring Sheet'!J477,FIND("|",'Blind Scoring Sheet'!J477)+1,20)))</f>
        <v/>
      </c>
      <c r="Q30" s="67">
        <f>P30-O30</f>
        <v/>
      </c>
      <c r="R30" s="67">
        <f>ABS(Q30)</f>
        <v/>
      </c>
      <c r="S30" s="50">
        <f>TRIM(LEFT('Blind Scoring Sheet'!K477,FIND("|",'Blind Scoring Sheet'!K477)-1))</f>
        <v/>
      </c>
      <c r="T30" s="50">
        <f>TRIM(MID('Blind Scoring Sheet'!K477,FIND("|",'Blind Scoring Sheet'!K477)+1,20))</f>
        <v/>
      </c>
      <c r="U30" s="50">
        <f>IF(S30=T30,"No","Yes")</f>
        <v/>
      </c>
      <c r="V30" s="75">
        <f>IF(S30=T30,"— (agree)",S30&amp;" → "&amp;T30)</f>
        <v/>
      </c>
      <c r="W30" s="67">
        <f>R30+ROW()/1000000</f>
        <v/>
      </c>
    </row>
    <row r="31" ht="15" customHeight="1" s="38">
      <c r="A31" s="75" t="inlineStr">
        <is>
          <t>R_0476</t>
        </is>
      </c>
      <c r="B31" s="50" t="n">
        <v>479</v>
      </c>
      <c r="C31" s="49">
        <f>VALUE(TRIM(LEFT('Blind Scoring Sheet'!B479,FIND("|",'Blind Scoring Sheet'!B479)-1)))</f>
        <v/>
      </c>
      <c r="D31" s="49">
        <f>VALUE(TRIM(MID('Blind Scoring Sheet'!B479,FIND("|",'Blind Scoring Sheet'!B479)+1,20)))</f>
        <v/>
      </c>
      <c r="E31" s="67">
        <f>D31-C31</f>
        <v/>
      </c>
      <c r="F31" s="49">
        <f>VALUE(TRIM(LEFT('Blind Scoring Sheet'!D479,FIND("|",'Blind Scoring Sheet'!D479)-1)))</f>
        <v/>
      </c>
      <c r="G31" s="49">
        <f>VALUE(TRIM(MID('Blind Scoring Sheet'!D479,FIND("|",'Blind Scoring Sheet'!D479)+1,20)))</f>
        <v/>
      </c>
      <c r="H31" s="67">
        <f>G31-F31</f>
        <v/>
      </c>
      <c r="I31" s="49">
        <f>VALUE(TRIM(LEFT('Blind Scoring Sheet'!F479,FIND("|",'Blind Scoring Sheet'!F479)-1)))</f>
        <v/>
      </c>
      <c r="J31" s="49">
        <f>VALUE(TRIM(MID('Blind Scoring Sheet'!F479,FIND("|",'Blind Scoring Sheet'!F479)+1,20)))</f>
        <v/>
      </c>
      <c r="K31" s="67">
        <f>J31-I31</f>
        <v/>
      </c>
      <c r="L31" s="49">
        <f>VALUE(TRIM(LEFT('Blind Scoring Sheet'!H479,FIND("|",'Blind Scoring Sheet'!H479)-1)))</f>
        <v/>
      </c>
      <c r="M31" s="49">
        <f>VALUE(TRIM(MID('Blind Scoring Sheet'!H479,FIND("|",'Blind Scoring Sheet'!H479)+1,20)))</f>
        <v/>
      </c>
      <c r="N31" s="67">
        <f>M31-L31</f>
        <v/>
      </c>
      <c r="O31" s="49">
        <f>VALUE(TRIM(LEFT('Blind Scoring Sheet'!J479,FIND("|",'Blind Scoring Sheet'!J479)-1)))</f>
        <v/>
      </c>
      <c r="P31" s="49">
        <f>VALUE(TRIM(MID('Blind Scoring Sheet'!J479,FIND("|",'Blind Scoring Sheet'!J479)+1,20)))</f>
        <v/>
      </c>
      <c r="Q31" s="67">
        <f>P31-O31</f>
        <v/>
      </c>
      <c r="R31" s="67">
        <f>ABS(Q31)</f>
        <v/>
      </c>
      <c r="S31" s="50">
        <f>TRIM(LEFT('Blind Scoring Sheet'!K479,FIND("|",'Blind Scoring Sheet'!K479)-1))</f>
        <v/>
      </c>
      <c r="T31" s="50">
        <f>TRIM(MID('Blind Scoring Sheet'!K479,FIND("|",'Blind Scoring Sheet'!K479)+1,20))</f>
        <v/>
      </c>
      <c r="U31" s="50">
        <f>IF(S31=T31,"No","Yes")</f>
        <v/>
      </c>
      <c r="V31" s="75">
        <f>IF(S31=T31,"— (agree)",S31&amp;" → "&amp;T31)</f>
        <v/>
      </c>
      <c r="W31" s="67">
        <f>R31+ROW()/1000000</f>
        <v/>
      </c>
    </row>
    <row r="32" ht="15" customHeight="1" s="38">
      <c r="A32" s="75" t="inlineStr">
        <is>
          <t>R_0486</t>
        </is>
      </c>
      <c r="B32" s="50" t="n">
        <v>489</v>
      </c>
      <c r="C32" s="49">
        <f>VALUE(TRIM(LEFT('Blind Scoring Sheet'!B489,FIND("|",'Blind Scoring Sheet'!B489)-1)))</f>
        <v/>
      </c>
      <c r="D32" s="49">
        <f>VALUE(TRIM(MID('Blind Scoring Sheet'!B489,FIND("|",'Blind Scoring Sheet'!B489)+1,20)))</f>
        <v/>
      </c>
      <c r="E32" s="67">
        <f>D32-C32</f>
        <v/>
      </c>
      <c r="F32" s="49">
        <f>VALUE(TRIM(LEFT('Blind Scoring Sheet'!D489,FIND("|",'Blind Scoring Sheet'!D489)-1)))</f>
        <v/>
      </c>
      <c r="G32" s="49">
        <f>VALUE(TRIM(MID('Blind Scoring Sheet'!D489,FIND("|",'Blind Scoring Sheet'!D489)+1,20)))</f>
        <v/>
      </c>
      <c r="H32" s="67">
        <f>G32-F32</f>
        <v/>
      </c>
      <c r="I32" s="49">
        <f>VALUE(TRIM(LEFT('Blind Scoring Sheet'!F489,FIND("|",'Blind Scoring Sheet'!F489)-1)))</f>
        <v/>
      </c>
      <c r="J32" s="49">
        <f>VALUE(TRIM(MID('Blind Scoring Sheet'!F489,FIND("|",'Blind Scoring Sheet'!F489)+1,20)))</f>
        <v/>
      </c>
      <c r="K32" s="67">
        <f>J32-I32</f>
        <v/>
      </c>
      <c r="L32" s="49">
        <f>VALUE(TRIM(LEFT('Blind Scoring Sheet'!H489,FIND("|",'Blind Scoring Sheet'!H489)-1)))</f>
        <v/>
      </c>
      <c r="M32" s="49">
        <f>VALUE(TRIM(MID('Blind Scoring Sheet'!H489,FIND("|",'Blind Scoring Sheet'!H489)+1,20)))</f>
        <v/>
      </c>
      <c r="N32" s="67">
        <f>M32-L32</f>
        <v/>
      </c>
      <c r="O32" s="49">
        <f>VALUE(TRIM(LEFT('Blind Scoring Sheet'!J489,FIND("|",'Blind Scoring Sheet'!J489)-1)))</f>
        <v/>
      </c>
      <c r="P32" s="49">
        <f>VALUE(TRIM(MID('Blind Scoring Sheet'!J489,FIND("|",'Blind Scoring Sheet'!J489)+1,20)))</f>
        <v/>
      </c>
      <c r="Q32" s="67">
        <f>P32-O32</f>
        <v/>
      </c>
      <c r="R32" s="67">
        <f>ABS(Q32)</f>
        <v/>
      </c>
      <c r="S32" s="50">
        <f>TRIM(LEFT('Blind Scoring Sheet'!K489,FIND("|",'Blind Scoring Sheet'!K489)-1))</f>
        <v/>
      </c>
      <c r="T32" s="50">
        <f>TRIM(MID('Blind Scoring Sheet'!K489,FIND("|",'Blind Scoring Sheet'!K489)+1,20))</f>
        <v/>
      </c>
      <c r="U32" s="50">
        <f>IF(S32=T32,"No","Yes")</f>
        <v/>
      </c>
      <c r="V32" s="75">
        <f>IF(S32=T32,"— (agree)",S32&amp;" → "&amp;T32)</f>
        <v/>
      </c>
      <c r="W32" s="67">
        <f>R32+ROW()/1000000</f>
        <v/>
      </c>
    </row>
    <row r="33" ht="15" customHeight="1" s="38">
      <c r="A33" s="75" t="inlineStr">
        <is>
          <t>R_0495</t>
        </is>
      </c>
      <c r="B33" s="50" t="n">
        <v>498</v>
      </c>
      <c r="C33" s="49">
        <f>VALUE(TRIM(LEFT('Blind Scoring Sheet'!B498,FIND("|",'Blind Scoring Sheet'!B498)-1)))</f>
        <v/>
      </c>
      <c r="D33" s="49">
        <f>VALUE(TRIM(MID('Blind Scoring Sheet'!B498,FIND("|",'Blind Scoring Sheet'!B498)+1,20)))</f>
        <v/>
      </c>
      <c r="E33" s="67">
        <f>D33-C33</f>
        <v/>
      </c>
      <c r="F33" s="49">
        <f>VALUE(TRIM(LEFT('Blind Scoring Sheet'!D498,FIND("|",'Blind Scoring Sheet'!D498)-1)))</f>
        <v/>
      </c>
      <c r="G33" s="49">
        <f>VALUE(TRIM(MID('Blind Scoring Sheet'!D498,FIND("|",'Blind Scoring Sheet'!D498)+1,20)))</f>
        <v/>
      </c>
      <c r="H33" s="67">
        <f>G33-F33</f>
        <v/>
      </c>
      <c r="I33" s="49">
        <f>VALUE(TRIM(LEFT('Blind Scoring Sheet'!F498,FIND("|",'Blind Scoring Sheet'!F498)-1)))</f>
        <v/>
      </c>
      <c r="J33" s="49">
        <f>VALUE(TRIM(MID('Blind Scoring Sheet'!F498,FIND("|",'Blind Scoring Sheet'!F498)+1,20)))</f>
        <v/>
      </c>
      <c r="K33" s="67">
        <f>J33-I33</f>
        <v/>
      </c>
      <c r="L33" s="49">
        <f>VALUE(TRIM(LEFT('Blind Scoring Sheet'!H498,FIND("|",'Blind Scoring Sheet'!H498)-1)))</f>
        <v/>
      </c>
      <c r="M33" s="49">
        <f>VALUE(TRIM(MID('Blind Scoring Sheet'!H498,FIND("|",'Blind Scoring Sheet'!H498)+1,20)))</f>
        <v/>
      </c>
      <c r="N33" s="67">
        <f>M33-L33</f>
        <v/>
      </c>
      <c r="O33" s="49">
        <f>VALUE(TRIM(LEFT('Blind Scoring Sheet'!J498,FIND("|",'Blind Scoring Sheet'!J498)-1)))</f>
        <v/>
      </c>
      <c r="P33" s="49">
        <f>VALUE(TRIM(MID('Blind Scoring Sheet'!J498,FIND("|",'Blind Scoring Sheet'!J498)+1,20)))</f>
        <v/>
      </c>
      <c r="Q33" s="67">
        <f>P33-O33</f>
        <v/>
      </c>
      <c r="R33" s="67">
        <f>ABS(Q33)</f>
        <v/>
      </c>
      <c r="S33" s="50">
        <f>TRIM(LEFT('Blind Scoring Sheet'!K498,FIND("|",'Blind Scoring Sheet'!K498)-1))</f>
        <v/>
      </c>
      <c r="T33" s="50">
        <f>TRIM(MID('Blind Scoring Sheet'!K498,FIND("|",'Blind Scoring Sheet'!K498)+1,20))</f>
        <v/>
      </c>
      <c r="U33" s="50">
        <f>IF(S33=T33,"No","Yes")</f>
        <v/>
      </c>
      <c r="V33" s="75">
        <f>IF(S33=T33,"— (agree)",S33&amp;" → "&amp;T33)</f>
        <v/>
      </c>
      <c r="W33" s="67">
        <f>R33+ROW()/1000000</f>
        <v/>
      </c>
    </row>
    <row r="34" ht="15" customHeight="1" s="38">
      <c r="A34" s="75" t="inlineStr">
        <is>
          <t>R_0506</t>
        </is>
      </c>
      <c r="B34" s="50" t="n">
        <v>509</v>
      </c>
      <c r="C34" s="49">
        <f>VALUE(TRIM(LEFT('Blind Scoring Sheet'!B509,FIND("|",'Blind Scoring Sheet'!B509)-1)))</f>
        <v/>
      </c>
      <c r="D34" s="49">
        <f>VALUE(TRIM(MID('Blind Scoring Sheet'!B509,FIND("|",'Blind Scoring Sheet'!B509)+1,20)))</f>
        <v/>
      </c>
      <c r="E34" s="67">
        <f>D34-C34</f>
        <v/>
      </c>
      <c r="F34" s="49">
        <f>VALUE(TRIM(LEFT('Blind Scoring Sheet'!D509,FIND("|",'Blind Scoring Sheet'!D509)-1)))</f>
        <v/>
      </c>
      <c r="G34" s="49">
        <f>VALUE(TRIM(MID('Blind Scoring Sheet'!D509,FIND("|",'Blind Scoring Sheet'!D509)+1,20)))</f>
        <v/>
      </c>
      <c r="H34" s="67">
        <f>G34-F34</f>
        <v/>
      </c>
      <c r="I34" s="49">
        <f>VALUE(TRIM(LEFT('Blind Scoring Sheet'!F509,FIND("|",'Blind Scoring Sheet'!F509)-1)))</f>
        <v/>
      </c>
      <c r="J34" s="49">
        <f>VALUE(TRIM(MID('Blind Scoring Sheet'!F509,FIND("|",'Blind Scoring Sheet'!F509)+1,20)))</f>
        <v/>
      </c>
      <c r="K34" s="67">
        <f>J34-I34</f>
        <v/>
      </c>
      <c r="L34" s="49">
        <f>VALUE(TRIM(LEFT('Blind Scoring Sheet'!H509,FIND("|",'Blind Scoring Sheet'!H509)-1)))</f>
        <v/>
      </c>
      <c r="M34" s="49">
        <f>VALUE(TRIM(MID('Blind Scoring Sheet'!H509,FIND("|",'Blind Scoring Sheet'!H509)+1,20)))</f>
        <v/>
      </c>
      <c r="N34" s="67">
        <f>M34-L34</f>
        <v/>
      </c>
      <c r="O34" s="49">
        <f>VALUE(TRIM(LEFT('Blind Scoring Sheet'!J509,FIND("|",'Blind Scoring Sheet'!J509)-1)))</f>
        <v/>
      </c>
      <c r="P34" s="49">
        <f>VALUE(TRIM(MID('Blind Scoring Sheet'!J509,FIND("|",'Blind Scoring Sheet'!J509)+1,20)))</f>
        <v/>
      </c>
      <c r="Q34" s="67">
        <f>P34-O34</f>
        <v/>
      </c>
      <c r="R34" s="67">
        <f>ABS(Q34)</f>
        <v/>
      </c>
      <c r="S34" s="50">
        <f>TRIM(LEFT('Blind Scoring Sheet'!K509,FIND("|",'Blind Scoring Sheet'!K509)-1))</f>
        <v/>
      </c>
      <c r="T34" s="50">
        <f>TRIM(MID('Blind Scoring Sheet'!K509,FIND("|",'Blind Scoring Sheet'!K509)+1,20))</f>
        <v/>
      </c>
      <c r="U34" s="50">
        <f>IF(S34=T34,"No","Yes")</f>
        <v/>
      </c>
      <c r="V34" s="75">
        <f>IF(S34=T34,"— (agree)",S34&amp;" → "&amp;T34)</f>
        <v/>
      </c>
      <c r="W34" s="67">
        <f>R34+ROW()/1000000</f>
        <v/>
      </c>
    </row>
    <row r="35" ht="15" customHeight="1" s="38">
      <c r="A35" s="75" t="inlineStr">
        <is>
          <t>R_0534</t>
        </is>
      </c>
      <c r="B35" s="50" t="n">
        <v>537</v>
      </c>
      <c r="C35" s="49">
        <f>VALUE(TRIM(LEFT('Blind Scoring Sheet'!B537,FIND("|",'Blind Scoring Sheet'!B537)-1)))</f>
        <v/>
      </c>
      <c r="D35" s="49">
        <f>VALUE(TRIM(MID('Blind Scoring Sheet'!B537,FIND("|",'Blind Scoring Sheet'!B537)+1,20)))</f>
        <v/>
      </c>
      <c r="E35" s="67">
        <f>D35-C35</f>
        <v/>
      </c>
      <c r="F35" s="49">
        <f>VALUE(TRIM(LEFT('Blind Scoring Sheet'!D537,FIND("|",'Blind Scoring Sheet'!D537)-1)))</f>
        <v/>
      </c>
      <c r="G35" s="49">
        <f>VALUE(TRIM(MID('Blind Scoring Sheet'!D537,FIND("|",'Blind Scoring Sheet'!D537)+1,20)))</f>
        <v/>
      </c>
      <c r="H35" s="67">
        <f>G35-F35</f>
        <v/>
      </c>
      <c r="I35" s="49">
        <f>VALUE(TRIM(LEFT('Blind Scoring Sheet'!F537,FIND("|",'Blind Scoring Sheet'!F537)-1)))</f>
        <v/>
      </c>
      <c r="J35" s="49">
        <f>VALUE(TRIM(MID('Blind Scoring Sheet'!F537,FIND("|",'Blind Scoring Sheet'!F537)+1,20)))</f>
        <v/>
      </c>
      <c r="K35" s="67">
        <f>J35-I35</f>
        <v/>
      </c>
      <c r="L35" s="49">
        <f>VALUE(TRIM(LEFT('Blind Scoring Sheet'!H537,FIND("|",'Blind Scoring Sheet'!H537)-1)))</f>
        <v/>
      </c>
      <c r="M35" s="49">
        <f>VALUE(TRIM(MID('Blind Scoring Sheet'!H537,FIND("|",'Blind Scoring Sheet'!H537)+1,20)))</f>
        <v/>
      </c>
      <c r="N35" s="67">
        <f>M35-L35</f>
        <v/>
      </c>
      <c r="O35" s="49">
        <f>VALUE(TRIM(LEFT('Blind Scoring Sheet'!J537,FIND("|",'Blind Scoring Sheet'!J537)-1)))</f>
        <v/>
      </c>
      <c r="P35" s="49">
        <f>VALUE(TRIM(MID('Blind Scoring Sheet'!J537,FIND("|",'Blind Scoring Sheet'!J537)+1,20)))</f>
        <v/>
      </c>
      <c r="Q35" s="67">
        <f>P35-O35</f>
        <v/>
      </c>
      <c r="R35" s="67">
        <f>ABS(Q35)</f>
        <v/>
      </c>
      <c r="S35" s="50">
        <f>TRIM(LEFT('Blind Scoring Sheet'!K537,FIND("|",'Blind Scoring Sheet'!K537)-1))</f>
        <v/>
      </c>
      <c r="T35" s="50">
        <f>TRIM(MID('Blind Scoring Sheet'!K537,FIND("|",'Blind Scoring Sheet'!K537)+1,20))</f>
        <v/>
      </c>
      <c r="U35" s="50">
        <f>IF(S35=T35,"No","Yes")</f>
        <v/>
      </c>
      <c r="V35" s="75">
        <f>IF(S35=T35,"— (agree)",S35&amp;" → "&amp;T35)</f>
        <v/>
      </c>
      <c r="W35" s="67">
        <f>R35+ROW()/1000000</f>
        <v/>
      </c>
    </row>
    <row r="36" ht="15" customHeight="1" s="38">
      <c r="A36" s="75" t="inlineStr">
        <is>
          <t>R_0547</t>
        </is>
      </c>
      <c r="B36" s="50" t="n">
        <v>550</v>
      </c>
      <c r="C36" s="49">
        <f>VALUE(TRIM(LEFT('Blind Scoring Sheet'!B550,FIND("|",'Blind Scoring Sheet'!B550)-1)))</f>
        <v/>
      </c>
      <c r="D36" s="49">
        <f>VALUE(TRIM(MID('Blind Scoring Sheet'!B550,FIND("|",'Blind Scoring Sheet'!B550)+1,20)))</f>
        <v/>
      </c>
      <c r="E36" s="67">
        <f>D36-C36</f>
        <v/>
      </c>
      <c r="F36" s="49">
        <f>VALUE(TRIM(LEFT('Blind Scoring Sheet'!D550,FIND("|",'Blind Scoring Sheet'!D550)-1)))</f>
        <v/>
      </c>
      <c r="G36" s="49">
        <f>VALUE(TRIM(MID('Blind Scoring Sheet'!D550,FIND("|",'Blind Scoring Sheet'!D550)+1,20)))</f>
        <v/>
      </c>
      <c r="H36" s="67">
        <f>G36-F36</f>
        <v/>
      </c>
      <c r="I36" s="49">
        <f>VALUE(TRIM(LEFT('Blind Scoring Sheet'!F550,FIND("|",'Blind Scoring Sheet'!F550)-1)))</f>
        <v/>
      </c>
      <c r="J36" s="49">
        <f>VALUE(TRIM(MID('Blind Scoring Sheet'!F550,FIND("|",'Blind Scoring Sheet'!F550)+1,20)))</f>
        <v/>
      </c>
      <c r="K36" s="67">
        <f>J36-I36</f>
        <v/>
      </c>
      <c r="L36" s="49">
        <f>VALUE(TRIM(LEFT('Blind Scoring Sheet'!H550,FIND("|",'Blind Scoring Sheet'!H550)-1)))</f>
        <v/>
      </c>
      <c r="M36" s="49">
        <f>VALUE(TRIM(MID('Blind Scoring Sheet'!H550,FIND("|",'Blind Scoring Sheet'!H550)+1,20)))</f>
        <v/>
      </c>
      <c r="N36" s="67">
        <f>M36-L36</f>
        <v/>
      </c>
      <c r="O36" s="49">
        <f>VALUE(TRIM(LEFT('Blind Scoring Sheet'!J550,FIND("|",'Blind Scoring Sheet'!J550)-1)))</f>
        <v/>
      </c>
      <c r="P36" s="49">
        <f>VALUE(TRIM(MID('Blind Scoring Sheet'!J550,FIND("|",'Blind Scoring Sheet'!J550)+1,20)))</f>
        <v/>
      </c>
      <c r="Q36" s="67">
        <f>P36-O36</f>
        <v/>
      </c>
      <c r="R36" s="67">
        <f>ABS(Q36)</f>
        <v/>
      </c>
      <c r="S36" s="50">
        <f>TRIM(LEFT('Blind Scoring Sheet'!K550,FIND("|",'Blind Scoring Sheet'!K550)-1))</f>
        <v/>
      </c>
      <c r="T36" s="50">
        <f>TRIM(MID('Blind Scoring Sheet'!K550,FIND("|",'Blind Scoring Sheet'!K550)+1,20))</f>
        <v/>
      </c>
      <c r="U36" s="50">
        <f>IF(S36=T36,"No","Yes")</f>
        <v/>
      </c>
      <c r="V36" s="75">
        <f>IF(S36=T36,"— (agree)",S36&amp;" → "&amp;T36)</f>
        <v/>
      </c>
      <c r="W36" s="67">
        <f>R36+ROW()/1000000</f>
        <v/>
      </c>
    </row>
    <row r="37" ht="15" customHeight="1" s="38">
      <c r="A37" s="75" t="inlineStr">
        <is>
          <t>R_0551</t>
        </is>
      </c>
      <c r="B37" s="50" t="n">
        <v>554</v>
      </c>
      <c r="C37" s="49">
        <f>VALUE(TRIM(LEFT('Blind Scoring Sheet'!B554,FIND("|",'Blind Scoring Sheet'!B554)-1)))</f>
        <v/>
      </c>
      <c r="D37" s="49">
        <f>VALUE(TRIM(MID('Blind Scoring Sheet'!B554,FIND("|",'Blind Scoring Sheet'!B554)+1,20)))</f>
        <v/>
      </c>
      <c r="E37" s="67">
        <f>D37-C37</f>
        <v/>
      </c>
      <c r="F37" s="49">
        <f>VALUE(TRIM(LEFT('Blind Scoring Sheet'!D554,FIND("|",'Blind Scoring Sheet'!D554)-1)))</f>
        <v/>
      </c>
      <c r="G37" s="49">
        <f>VALUE(TRIM(MID('Blind Scoring Sheet'!D554,FIND("|",'Blind Scoring Sheet'!D554)+1,20)))</f>
        <v/>
      </c>
      <c r="H37" s="67">
        <f>G37-F37</f>
        <v/>
      </c>
      <c r="I37" s="49">
        <f>VALUE(TRIM(LEFT('Blind Scoring Sheet'!F554,FIND("|",'Blind Scoring Sheet'!F554)-1)))</f>
        <v/>
      </c>
      <c r="J37" s="49">
        <f>VALUE(TRIM(MID('Blind Scoring Sheet'!F554,FIND("|",'Blind Scoring Sheet'!F554)+1,20)))</f>
        <v/>
      </c>
      <c r="K37" s="67">
        <f>J37-I37</f>
        <v/>
      </c>
      <c r="L37" s="49">
        <f>VALUE(TRIM(LEFT('Blind Scoring Sheet'!H554,FIND("|",'Blind Scoring Sheet'!H554)-1)))</f>
        <v/>
      </c>
      <c r="M37" s="49">
        <f>VALUE(TRIM(MID('Blind Scoring Sheet'!H554,FIND("|",'Blind Scoring Sheet'!H554)+1,20)))</f>
        <v/>
      </c>
      <c r="N37" s="67">
        <f>M37-L37</f>
        <v/>
      </c>
      <c r="O37" s="49">
        <f>VALUE(TRIM(LEFT('Blind Scoring Sheet'!J554,FIND("|",'Blind Scoring Sheet'!J554)-1)))</f>
        <v/>
      </c>
      <c r="P37" s="49">
        <f>VALUE(TRIM(MID('Blind Scoring Sheet'!J554,FIND("|",'Blind Scoring Sheet'!J554)+1,20)))</f>
        <v/>
      </c>
      <c r="Q37" s="67">
        <f>P37-O37</f>
        <v/>
      </c>
      <c r="R37" s="67">
        <f>ABS(Q37)</f>
        <v/>
      </c>
      <c r="S37" s="50">
        <f>TRIM(LEFT('Blind Scoring Sheet'!K554,FIND("|",'Blind Scoring Sheet'!K554)-1))</f>
        <v/>
      </c>
      <c r="T37" s="50">
        <f>TRIM(MID('Blind Scoring Sheet'!K554,FIND("|",'Blind Scoring Sheet'!K554)+1,20))</f>
        <v/>
      </c>
      <c r="U37" s="50">
        <f>IF(S37=T37,"No","Yes")</f>
        <v/>
      </c>
      <c r="V37" s="75">
        <f>IF(S37=T37,"— (agree)",S37&amp;" → "&amp;T37)</f>
        <v/>
      </c>
      <c r="W37" s="67">
        <f>R37+ROW()/1000000</f>
        <v/>
      </c>
    </row>
    <row r="38" ht="15" customHeight="1" s="38">
      <c r="A38" s="75" t="inlineStr">
        <is>
          <t>R_0573</t>
        </is>
      </c>
      <c r="B38" s="50" t="n">
        <v>576</v>
      </c>
      <c r="C38" s="49">
        <f>VALUE(TRIM(LEFT('Blind Scoring Sheet'!B576,FIND("|",'Blind Scoring Sheet'!B576)-1)))</f>
        <v/>
      </c>
      <c r="D38" s="49">
        <f>VALUE(TRIM(MID('Blind Scoring Sheet'!B576,FIND("|",'Blind Scoring Sheet'!B576)+1,20)))</f>
        <v/>
      </c>
      <c r="E38" s="67">
        <f>D38-C38</f>
        <v/>
      </c>
      <c r="F38" s="49">
        <f>VALUE(TRIM(LEFT('Blind Scoring Sheet'!D576,FIND("|",'Blind Scoring Sheet'!D576)-1)))</f>
        <v/>
      </c>
      <c r="G38" s="49">
        <f>VALUE(TRIM(MID('Blind Scoring Sheet'!D576,FIND("|",'Blind Scoring Sheet'!D576)+1,20)))</f>
        <v/>
      </c>
      <c r="H38" s="67">
        <f>G38-F38</f>
        <v/>
      </c>
      <c r="I38" s="49">
        <f>VALUE(TRIM(LEFT('Blind Scoring Sheet'!F576,FIND("|",'Blind Scoring Sheet'!F576)-1)))</f>
        <v/>
      </c>
      <c r="J38" s="49">
        <f>VALUE(TRIM(MID('Blind Scoring Sheet'!F576,FIND("|",'Blind Scoring Sheet'!F576)+1,20)))</f>
        <v/>
      </c>
      <c r="K38" s="67">
        <f>J38-I38</f>
        <v/>
      </c>
      <c r="L38" s="49">
        <f>VALUE(TRIM(LEFT('Blind Scoring Sheet'!H576,FIND("|",'Blind Scoring Sheet'!H576)-1)))</f>
        <v/>
      </c>
      <c r="M38" s="49">
        <f>VALUE(TRIM(MID('Blind Scoring Sheet'!H576,FIND("|",'Blind Scoring Sheet'!H576)+1,20)))</f>
        <v/>
      </c>
      <c r="N38" s="67">
        <f>M38-L38</f>
        <v/>
      </c>
      <c r="O38" s="49">
        <f>VALUE(TRIM(LEFT('Blind Scoring Sheet'!J576,FIND("|",'Blind Scoring Sheet'!J576)-1)))</f>
        <v/>
      </c>
      <c r="P38" s="49">
        <f>VALUE(TRIM(MID('Blind Scoring Sheet'!J576,FIND("|",'Blind Scoring Sheet'!J576)+1,20)))</f>
        <v/>
      </c>
      <c r="Q38" s="67">
        <f>P38-O38</f>
        <v/>
      </c>
      <c r="R38" s="67">
        <f>ABS(Q38)</f>
        <v/>
      </c>
      <c r="S38" s="50">
        <f>TRIM(LEFT('Blind Scoring Sheet'!K576,FIND("|",'Blind Scoring Sheet'!K576)-1))</f>
        <v/>
      </c>
      <c r="T38" s="50">
        <f>TRIM(MID('Blind Scoring Sheet'!K576,FIND("|",'Blind Scoring Sheet'!K576)+1,20))</f>
        <v/>
      </c>
      <c r="U38" s="50">
        <f>IF(S38=T38,"No","Yes")</f>
        <v/>
      </c>
      <c r="V38" s="75">
        <f>IF(S38=T38,"— (agree)",S38&amp;" → "&amp;T38)</f>
        <v/>
      </c>
      <c r="W38" s="67">
        <f>R38+ROW()/1000000</f>
        <v/>
      </c>
    </row>
    <row r="39" ht="15" customHeight="1" s="38">
      <c r="A39" s="75" t="inlineStr">
        <is>
          <t>R_0623</t>
        </is>
      </c>
      <c r="B39" s="50" t="n">
        <v>626</v>
      </c>
      <c r="C39" s="49">
        <f>VALUE(TRIM(LEFT('Blind Scoring Sheet'!B626,FIND("|",'Blind Scoring Sheet'!B626)-1)))</f>
        <v/>
      </c>
      <c r="D39" s="49">
        <f>VALUE(TRIM(MID('Blind Scoring Sheet'!B626,FIND("|",'Blind Scoring Sheet'!B626)+1,20)))</f>
        <v/>
      </c>
      <c r="E39" s="67">
        <f>D39-C39</f>
        <v/>
      </c>
      <c r="F39" s="49">
        <f>VALUE(TRIM(LEFT('Blind Scoring Sheet'!D626,FIND("|",'Blind Scoring Sheet'!D626)-1)))</f>
        <v/>
      </c>
      <c r="G39" s="49">
        <f>VALUE(TRIM(MID('Blind Scoring Sheet'!D626,FIND("|",'Blind Scoring Sheet'!D626)+1,20)))</f>
        <v/>
      </c>
      <c r="H39" s="67">
        <f>G39-F39</f>
        <v/>
      </c>
      <c r="I39" s="49">
        <f>VALUE(TRIM(LEFT('Blind Scoring Sheet'!F626,FIND("|",'Blind Scoring Sheet'!F626)-1)))</f>
        <v/>
      </c>
      <c r="J39" s="49">
        <f>VALUE(TRIM(MID('Blind Scoring Sheet'!F626,FIND("|",'Blind Scoring Sheet'!F626)+1,20)))</f>
        <v/>
      </c>
      <c r="K39" s="67">
        <f>J39-I39</f>
        <v/>
      </c>
      <c r="L39" s="49">
        <f>VALUE(TRIM(LEFT('Blind Scoring Sheet'!H626,FIND("|",'Blind Scoring Sheet'!H626)-1)))</f>
        <v/>
      </c>
      <c r="M39" s="49">
        <f>VALUE(TRIM(MID('Blind Scoring Sheet'!H626,FIND("|",'Blind Scoring Sheet'!H626)+1,20)))</f>
        <v/>
      </c>
      <c r="N39" s="67">
        <f>M39-L39</f>
        <v/>
      </c>
      <c r="O39" s="49">
        <f>VALUE(TRIM(LEFT('Blind Scoring Sheet'!J626,FIND("|",'Blind Scoring Sheet'!J626)-1)))</f>
        <v/>
      </c>
      <c r="P39" s="49">
        <f>VALUE(TRIM(MID('Blind Scoring Sheet'!J626,FIND("|",'Blind Scoring Sheet'!J626)+1,20)))</f>
        <v/>
      </c>
      <c r="Q39" s="67">
        <f>P39-O39</f>
        <v/>
      </c>
      <c r="R39" s="67">
        <f>ABS(Q39)</f>
        <v/>
      </c>
      <c r="S39" s="50">
        <f>TRIM(LEFT('Blind Scoring Sheet'!K626,FIND("|",'Blind Scoring Sheet'!K626)-1))</f>
        <v/>
      </c>
      <c r="T39" s="50">
        <f>TRIM(MID('Blind Scoring Sheet'!K626,FIND("|",'Blind Scoring Sheet'!K626)+1,20))</f>
        <v/>
      </c>
      <c r="U39" s="50">
        <f>IF(S39=T39,"No","Yes")</f>
        <v/>
      </c>
      <c r="V39" s="75">
        <f>IF(S39=T39,"— (agree)",S39&amp;" → "&amp;T39)</f>
        <v/>
      </c>
      <c r="W39" s="67">
        <f>R39+ROW()/1000000</f>
        <v/>
      </c>
    </row>
    <row r="40" ht="15" customHeight="1" s="38">
      <c r="A40" s="75" t="inlineStr">
        <is>
          <t>R_0630</t>
        </is>
      </c>
      <c r="B40" s="50" t="n">
        <v>633</v>
      </c>
      <c r="C40" s="49">
        <f>VALUE(TRIM(LEFT('Blind Scoring Sheet'!B633,FIND("|",'Blind Scoring Sheet'!B633)-1)))</f>
        <v/>
      </c>
      <c r="D40" s="49">
        <f>VALUE(TRIM(MID('Blind Scoring Sheet'!B633,FIND("|",'Blind Scoring Sheet'!B633)+1,20)))</f>
        <v/>
      </c>
      <c r="E40" s="67">
        <f>D40-C40</f>
        <v/>
      </c>
      <c r="F40" s="49">
        <f>VALUE(TRIM(LEFT('Blind Scoring Sheet'!D633,FIND("|",'Blind Scoring Sheet'!D633)-1)))</f>
        <v/>
      </c>
      <c r="G40" s="49">
        <f>VALUE(TRIM(MID('Blind Scoring Sheet'!D633,FIND("|",'Blind Scoring Sheet'!D633)+1,20)))</f>
        <v/>
      </c>
      <c r="H40" s="67">
        <f>G40-F40</f>
        <v/>
      </c>
      <c r="I40" s="49">
        <f>VALUE(TRIM(LEFT('Blind Scoring Sheet'!F633,FIND("|",'Blind Scoring Sheet'!F633)-1)))</f>
        <v/>
      </c>
      <c r="J40" s="49">
        <f>VALUE(TRIM(MID('Blind Scoring Sheet'!F633,FIND("|",'Blind Scoring Sheet'!F633)+1,20)))</f>
        <v/>
      </c>
      <c r="K40" s="67">
        <f>J40-I40</f>
        <v/>
      </c>
      <c r="L40" s="49">
        <f>VALUE(TRIM(LEFT('Blind Scoring Sheet'!H633,FIND("|",'Blind Scoring Sheet'!H633)-1)))</f>
        <v/>
      </c>
      <c r="M40" s="49">
        <f>VALUE(TRIM(MID('Blind Scoring Sheet'!H633,FIND("|",'Blind Scoring Sheet'!H633)+1,20)))</f>
        <v/>
      </c>
      <c r="N40" s="67">
        <f>M40-L40</f>
        <v/>
      </c>
      <c r="O40" s="49">
        <f>VALUE(TRIM(LEFT('Blind Scoring Sheet'!J633,FIND("|",'Blind Scoring Sheet'!J633)-1)))</f>
        <v/>
      </c>
      <c r="P40" s="49">
        <f>VALUE(TRIM(MID('Blind Scoring Sheet'!J633,FIND("|",'Blind Scoring Sheet'!J633)+1,20)))</f>
        <v/>
      </c>
      <c r="Q40" s="67">
        <f>P40-O40</f>
        <v/>
      </c>
      <c r="R40" s="67">
        <f>ABS(Q40)</f>
        <v/>
      </c>
      <c r="S40" s="50">
        <f>TRIM(LEFT('Blind Scoring Sheet'!K633,FIND("|",'Blind Scoring Sheet'!K633)-1))</f>
        <v/>
      </c>
      <c r="T40" s="50">
        <f>TRIM(MID('Blind Scoring Sheet'!K633,FIND("|",'Blind Scoring Sheet'!K633)+1,20))</f>
        <v/>
      </c>
      <c r="U40" s="50">
        <f>IF(S40=T40,"No","Yes")</f>
        <v/>
      </c>
      <c r="V40" s="75">
        <f>IF(S40=T40,"— (agree)",S40&amp;" → "&amp;T40)</f>
        <v/>
      </c>
      <c r="W40" s="67">
        <f>R40+ROW()/1000000</f>
        <v/>
      </c>
    </row>
    <row r="41" ht="15" customHeight="1" s="38">
      <c r="A41" s="75" t="inlineStr">
        <is>
          <t>R_0664</t>
        </is>
      </c>
      <c r="B41" s="50" t="n">
        <v>667</v>
      </c>
      <c r="C41" s="49">
        <f>VALUE(TRIM(LEFT('Blind Scoring Sheet'!B667,FIND("|",'Blind Scoring Sheet'!B667)-1)))</f>
        <v/>
      </c>
      <c r="D41" s="49">
        <f>VALUE(TRIM(MID('Blind Scoring Sheet'!B667,FIND("|",'Blind Scoring Sheet'!B667)+1,20)))</f>
        <v/>
      </c>
      <c r="E41" s="67">
        <f>D41-C41</f>
        <v/>
      </c>
      <c r="F41" s="49">
        <f>VALUE(TRIM(LEFT('Blind Scoring Sheet'!D667,FIND("|",'Blind Scoring Sheet'!D667)-1)))</f>
        <v/>
      </c>
      <c r="G41" s="49">
        <f>VALUE(TRIM(MID('Blind Scoring Sheet'!D667,FIND("|",'Blind Scoring Sheet'!D667)+1,20)))</f>
        <v/>
      </c>
      <c r="H41" s="67">
        <f>G41-F41</f>
        <v/>
      </c>
      <c r="I41" s="49">
        <f>VALUE(TRIM(LEFT('Blind Scoring Sheet'!F667,FIND("|",'Blind Scoring Sheet'!F667)-1)))</f>
        <v/>
      </c>
      <c r="J41" s="49">
        <f>VALUE(TRIM(MID('Blind Scoring Sheet'!F667,FIND("|",'Blind Scoring Sheet'!F667)+1,20)))</f>
        <v/>
      </c>
      <c r="K41" s="67">
        <f>J41-I41</f>
        <v/>
      </c>
      <c r="L41" s="49">
        <f>VALUE(TRIM(LEFT('Blind Scoring Sheet'!H667,FIND("|",'Blind Scoring Sheet'!H667)-1)))</f>
        <v/>
      </c>
      <c r="M41" s="49">
        <f>VALUE(TRIM(MID('Blind Scoring Sheet'!H667,FIND("|",'Blind Scoring Sheet'!H667)+1,20)))</f>
        <v/>
      </c>
      <c r="N41" s="67">
        <f>M41-L41</f>
        <v/>
      </c>
      <c r="O41" s="49">
        <f>VALUE(TRIM(LEFT('Blind Scoring Sheet'!J667,FIND("|",'Blind Scoring Sheet'!J667)-1)))</f>
        <v/>
      </c>
      <c r="P41" s="49">
        <f>VALUE(TRIM(MID('Blind Scoring Sheet'!J667,FIND("|",'Blind Scoring Sheet'!J667)+1,20)))</f>
        <v/>
      </c>
      <c r="Q41" s="67">
        <f>P41-O41</f>
        <v/>
      </c>
      <c r="R41" s="67">
        <f>ABS(Q41)</f>
        <v/>
      </c>
      <c r="S41" s="50">
        <f>TRIM(LEFT('Blind Scoring Sheet'!K667,FIND("|",'Blind Scoring Sheet'!K667)-1))</f>
        <v/>
      </c>
      <c r="T41" s="50">
        <f>TRIM(MID('Blind Scoring Sheet'!K667,FIND("|",'Blind Scoring Sheet'!K667)+1,20))</f>
        <v/>
      </c>
      <c r="U41" s="50">
        <f>IF(S41=T41,"No","Yes")</f>
        <v/>
      </c>
      <c r="V41" s="75">
        <f>IF(S41=T41,"— (agree)",S41&amp;" → "&amp;T41)</f>
        <v/>
      </c>
      <c r="W41" s="67">
        <f>R41+ROW()/1000000</f>
        <v/>
      </c>
    </row>
    <row r="42" ht="15" customHeight="1" s="38">
      <c r="A42" s="75" t="inlineStr">
        <is>
          <t>R_0665</t>
        </is>
      </c>
      <c r="B42" s="50" t="n">
        <v>668</v>
      </c>
      <c r="C42" s="49">
        <f>VALUE(TRIM(LEFT('Blind Scoring Sheet'!B668,FIND("|",'Blind Scoring Sheet'!B668)-1)))</f>
        <v/>
      </c>
      <c r="D42" s="49">
        <f>VALUE(TRIM(MID('Blind Scoring Sheet'!B668,FIND("|",'Blind Scoring Sheet'!B668)+1,20)))</f>
        <v/>
      </c>
      <c r="E42" s="67">
        <f>D42-C42</f>
        <v/>
      </c>
      <c r="F42" s="49">
        <f>VALUE(TRIM(LEFT('Blind Scoring Sheet'!D668,FIND("|",'Blind Scoring Sheet'!D668)-1)))</f>
        <v/>
      </c>
      <c r="G42" s="49">
        <f>VALUE(TRIM(MID('Blind Scoring Sheet'!D668,FIND("|",'Blind Scoring Sheet'!D668)+1,20)))</f>
        <v/>
      </c>
      <c r="H42" s="67">
        <f>G42-F42</f>
        <v/>
      </c>
      <c r="I42" s="49">
        <f>VALUE(TRIM(LEFT('Blind Scoring Sheet'!F668,FIND("|",'Blind Scoring Sheet'!F668)-1)))</f>
        <v/>
      </c>
      <c r="J42" s="49">
        <f>VALUE(TRIM(MID('Blind Scoring Sheet'!F668,FIND("|",'Blind Scoring Sheet'!F668)+1,20)))</f>
        <v/>
      </c>
      <c r="K42" s="67">
        <f>J42-I42</f>
        <v/>
      </c>
      <c r="L42" s="49">
        <f>VALUE(TRIM(LEFT('Blind Scoring Sheet'!H668,FIND("|",'Blind Scoring Sheet'!H668)-1)))</f>
        <v/>
      </c>
      <c r="M42" s="49">
        <f>VALUE(TRIM(MID('Blind Scoring Sheet'!H668,FIND("|",'Blind Scoring Sheet'!H668)+1,20)))</f>
        <v/>
      </c>
      <c r="N42" s="67">
        <f>M42-L42</f>
        <v/>
      </c>
      <c r="O42" s="49">
        <f>VALUE(TRIM(LEFT('Blind Scoring Sheet'!J668,FIND("|",'Blind Scoring Sheet'!J668)-1)))</f>
        <v/>
      </c>
      <c r="P42" s="49">
        <f>VALUE(TRIM(MID('Blind Scoring Sheet'!J668,FIND("|",'Blind Scoring Sheet'!J668)+1,20)))</f>
        <v/>
      </c>
      <c r="Q42" s="67">
        <f>P42-O42</f>
        <v/>
      </c>
      <c r="R42" s="67">
        <f>ABS(Q42)</f>
        <v/>
      </c>
      <c r="S42" s="50">
        <f>TRIM(LEFT('Blind Scoring Sheet'!K668,FIND("|",'Blind Scoring Sheet'!K668)-1))</f>
        <v/>
      </c>
      <c r="T42" s="50">
        <f>TRIM(MID('Blind Scoring Sheet'!K668,FIND("|",'Blind Scoring Sheet'!K668)+1,20))</f>
        <v/>
      </c>
      <c r="U42" s="50">
        <f>IF(S42=T42,"No","Yes")</f>
        <v/>
      </c>
      <c r="V42" s="75">
        <f>IF(S42=T42,"— (agree)",S42&amp;" → "&amp;T42)</f>
        <v/>
      </c>
      <c r="W42" s="67">
        <f>R42+ROW()/1000000</f>
        <v/>
      </c>
    </row>
    <row r="43" ht="15" customHeight="1" s="38">
      <c r="A43" s="75" t="inlineStr">
        <is>
          <t>R_0691</t>
        </is>
      </c>
      <c r="B43" s="50" t="n">
        <v>694</v>
      </c>
      <c r="C43" s="49">
        <f>VALUE(TRIM(LEFT('Blind Scoring Sheet'!B694,FIND("|",'Blind Scoring Sheet'!B694)-1)))</f>
        <v/>
      </c>
      <c r="D43" s="49">
        <f>VALUE(TRIM(MID('Blind Scoring Sheet'!B694,FIND("|",'Blind Scoring Sheet'!B694)+1,20)))</f>
        <v/>
      </c>
      <c r="E43" s="67">
        <f>D43-C43</f>
        <v/>
      </c>
      <c r="F43" s="49">
        <f>VALUE(TRIM(LEFT('Blind Scoring Sheet'!D694,FIND("|",'Blind Scoring Sheet'!D694)-1)))</f>
        <v/>
      </c>
      <c r="G43" s="49">
        <f>VALUE(TRIM(MID('Blind Scoring Sheet'!D694,FIND("|",'Blind Scoring Sheet'!D694)+1,20)))</f>
        <v/>
      </c>
      <c r="H43" s="67">
        <f>G43-F43</f>
        <v/>
      </c>
      <c r="I43" s="49">
        <f>VALUE(TRIM(LEFT('Blind Scoring Sheet'!F694,FIND("|",'Blind Scoring Sheet'!F694)-1)))</f>
        <v/>
      </c>
      <c r="J43" s="49">
        <f>VALUE(TRIM(MID('Blind Scoring Sheet'!F694,FIND("|",'Blind Scoring Sheet'!F694)+1,20)))</f>
        <v/>
      </c>
      <c r="K43" s="67">
        <f>J43-I43</f>
        <v/>
      </c>
      <c r="L43" s="49">
        <f>VALUE(TRIM(LEFT('Blind Scoring Sheet'!H694,FIND("|",'Blind Scoring Sheet'!H694)-1)))</f>
        <v/>
      </c>
      <c r="M43" s="49">
        <f>VALUE(TRIM(MID('Blind Scoring Sheet'!H694,FIND("|",'Blind Scoring Sheet'!H694)+1,20)))</f>
        <v/>
      </c>
      <c r="N43" s="67">
        <f>M43-L43</f>
        <v/>
      </c>
      <c r="O43" s="49">
        <f>VALUE(TRIM(LEFT('Blind Scoring Sheet'!J694,FIND("|",'Blind Scoring Sheet'!J694)-1)))</f>
        <v/>
      </c>
      <c r="P43" s="49">
        <f>VALUE(TRIM(MID('Blind Scoring Sheet'!J694,FIND("|",'Blind Scoring Sheet'!J694)+1,20)))</f>
        <v/>
      </c>
      <c r="Q43" s="67">
        <f>P43-O43</f>
        <v/>
      </c>
      <c r="R43" s="67">
        <f>ABS(Q43)</f>
        <v/>
      </c>
      <c r="S43" s="50">
        <f>TRIM(LEFT('Blind Scoring Sheet'!K694,FIND("|",'Blind Scoring Sheet'!K694)-1))</f>
        <v/>
      </c>
      <c r="T43" s="50">
        <f>TRIM(MID('Blind Scoring Sheet'!K694,FIND("|",'Blind Scoring Sheet'!K694)+1,20))</f>
        <v/>
      </c>
      <c r="U43" s="50">
        <f>IF(S43=T43,"No","Yes")</f>
        <v/>
      </c>
      <c r="V43" s="75">
        <f>IF(S43=T43,"— (agree)",S43&amp;" → "&amp;T43)</f>
        <v/>
      </c>
      <c r="W43" s="67">
        <f>R43+ROW()/1000000</f>
        <v/>
      </c>
    </row>
    <row r="44" ht="15" customHeight="1" s="38">
      <c r="A44" s="75" t="inlineStr">
        <is>
          <t>R_0692</t>
        </is>
      </c>
      <c r="B44" s="50" t="n">
        <v>695</v>
      </c>
      <c r="C44" s="49">
        <f>VALUE(TRIM(LEFT('Blind Scoring Sheet'!B695,FIND("|",'Blind Scoring Sheet'!B695)-1)))</f>
        <v/>
      </c>
      <c r="D44" s="49">
        <f>VALUE(TRIM(MID('Blind Scoring Sheet'!B695,FIND("|",'Blind Scoring Sheet'!B695)+1,20)))</f>
        <v/>
      </c>
      <c r="E44" s="67">
        <f>D44-C44</f>
        <v/>
      </c>
      <c r="F44" s="49">
        <f>VALUE(TRIM(LEFT('Blind Scoring Sheet'!D695,FIND("|",'Blind Scoring Sheet'!D695)-1)))</f>
        <v/>
      </c>
      <c r="G44" s="49">
        <f>VALUE(TRIM(MID('Blind Scoring Sheet'!D695,FIND("|",'Blind Scoring Sheet'!D695)+1,20)))</f>
        <v/>
      </c>
      <c r="H44" s="67">
        <f>G44-F44</f>
        <v/>
      </c>
      <c r="I44" s="49">
        <f>VALUE(TRIM(LEFT('Blind Scoring Sheet'!F695,FIND("|",'Blind Scoring Sheet'!F695)-1)))</f>
        <v/>
      </c>
      <c r="J44" s="49">
        <f>VALUE(TRIM(MID('Blind Scoring Sheet'!F695,FIND("|",'Blind Scoring Sheet'!F695)+1,20)))</f>
        <v/>
      </c>
      <c r="K44" s="67">
        <f>J44-I44</f>
        <v/>
      </c>
      <c r="L44" s="49">
        <f>VALUE(TRIM(LEFT('Blind Scoring Sheet'!H695,FIND("|",'Blind Scoring Sheet'!H695)-1)))</f>
        <v/>
      </c>
      <c r="M44" s="49">
        <f>VALUE(TRIM(MID('Blind Scoring Sheet'!H695,FIND("|",'Blind Scoring Sheet'!H695)+1,20)))</f>
        <v/>
      </c>
      <c r="N44" s="67">
        <f>M44-L44</f>
        <v/>
      </c>
      <c r="O44" s="49">
        <f>VALUE(TRIM(LEFT('Blind Scoring Sheet'!J695,FIND("|",'Blind Scoring Sheet'!J695)-1)))</f>
        <v/>
      </c>
      <c r="P44" s="49">
        <f>VALUE(TRIM(MID('Blind Scoring Sheet'!J695,FIND("|",'Blind Scoring Sheet'!J695)+1,20)))</f>
        <v/>
      </c>
      <c r="Q44" s="67">
        <f>P44-O44</f>
        <v/>
      </c>
      <c r="R44" s="67">
        <f>ABS(Q44)</f>
        <v/>
      </c>
      <c r="S44" s="50">
        <f>TRIM(LEFT('Blind Scoring Sheet'!K695,FIND("|",'Blind Scoring Sheet'!K695)-1))</f>
        <v/>
      </c>
      <c r="T44" s="50">
        <f>TRIM(MID('Blind Scoring Sheet'!K695,FIND("|",'Blind Scoring Sheet'!K695)+1,20))</f>
        <v/>
      </c>
      <c r="U44" s="50">
        <f>IF(S44=T44,"No","Yes")</f>
        <v/>
      </c>
      <c r="V44" s="75">
        <f>IF(S44=T44,"— (agree)",S44&amp;" → "&amp;T44)</f>
        <v/>
      </c>
      <c r="W44" s="67">
        <f>R44+ROW()/1000000</f>
        <v/>
      </c>
    </row>
    <row r="45" ht="15" customHeight="1" s="38">
      <c r="A45" s="75" t="inlineStr">
        <is>
          <t>R_0698</t>
        </is>
      </c>
      <c r="B45" s="50" t="n">
        <v>701</v>
      </c>
      <c r="C45" s="49">
        <f>VALUE(TRIM(LEFT('Blind Scoring Sheet'!B701,FIND("|",'Blind Scoring Sheet'!B701)-1)))</f>
        <v/>
      </c>
      <c r="D45" s="49">
        <f>VALUE(TRIM(MID('Blind Scoring Sheet'!B701,FIND("|",'Blind Scoring Sheet'!B701)+1,20)))</f>
        <v/>
      </c>
      <c r="E45" s="67">
        <f>D45-C45</f>
        <v/>
      </c>
      <c r="F45" s="49">
        <f>VALUE(TRIM(LEFT('Blind Scoring Sheet'!D701,FIND("|",'Blind Scoring Sheet'!D701)-1)))</f>
        <v/>
      </c>
      <c r="G45" s="49">
        <f>VALUE(TRIM(MID('Blind Scoring Sheet'!D701,FIND("|",'Blind Scoring Sheet'!D701)+1,20)))</f>
        <v/>
      </c>
      <c r="H45" s="67">
        <f>G45-F45</f>
        <v/>
      </c>
      <c r="I45" s="49">
        <f>VALUE(TRIM(LEFT('Blind Scoring Sheet'!F701,FIND("|",'Blind Scoring Sheet'!F701)-1)))</f>
        <v/>
      </c>
      <c r="J45" s="49">
        <f>VALUE(TRIM(MID('Blind Scoring Sheet'!F701,FIND("|",'Blind Scoring Sheet'!F701)+1,20)))</f>
        <v/>
      </c>
      <c r="K45" s="67">
        <f>J45-I45</f>
        <v/>
      </c>
      <c r="L45" s="49">
        <f>VALUE(TRIM(LEFT('Blind Scoring Sheet'!H701,FIND("|",'Blind Scoring Sheet'!H701)-1)))</f>
        <v/>
      </c>
      <c r="M45" s="49">
        <f>VALUE(TRIM(MID('Blind Scoring Sheet'!H701,FIND("|",'Blind Scoring Sheet'!H701)+1,20)))</f>
        <v/>
      </c>
      <c r="N45" s="67">
        <f>M45-L45</f>
        <v/>
      </c>
      <c r="O45" s="49">
        <f>VALUE(TRIM(LEFT('Blind Scoring Sheet'!J701,FIND("|",'Blind Scoring Sheet'!J701)-1)))</f>
        <v/>
      </c>
      <c r="P45" s="49">
        <f>VALUE(TRIM(MID('Blind Scoring Sheet'!J701,FIND("|",'Blind Scoring Sheet'!J701)+1,20)))</f>
        <v/>
      </c>
      <c r="Q45" s="67">
        <f>P45-O45</f>
        <v/>
      </c>
      <c r="R45" s="67">
        <f>ABS(Q45)</f>
        <v/>
      </c>
      <c r="S45" s="50">
        <f>TRIM(LEFT('Blind Scoring Sheet'!K701,FIND("|",'Blind Scoring Sheet'!K701)-1))</f>
        <v/>
      </c>
      <c r="T45" s="50">
        <f>TRIM(MID('Blind Scoring Sheet'!K701,FIND("|",'Blind Scoring Sheet'!K701)+1,20))</f>
        <v/>
      </c>
      <c r="U45" s="50">
        <f>IF(S45=T45,"No","Yes")</f>
        <v/>
      </c>
      <c r="V45" s="75">
        <f>IF(S45=T45,"— (agree)",S45&amp;" → "&amp;T45)</f>
        <v/>
      </c>
      <c r="W45" s="67">
        <f>R45+ROW()/1000000</f>
        <v/>
      </c>
    </row>
    <row r="46" ht="15" customHeight="1" s="38">
      <c r="A46" s="75" t="inlineStr">
        <is>
          <t>R_0699</t>
        </is>
      </c>
      <c r="B46" s="50" t="n">
        <v>702</v>
      </c>
      <c r="C46" s="49">
        <f>VALUE(TRIM(LEFT('Blind Scoring Sheet'!B702,FIND("|",'Blind Scoring Sheet'!B702)-1)))</f>
        <v/>
      </c>
      <c r="D46" s="49">
        <f>VALUE(TRIM(MID('Blind Scoring Sheet'!B702,FIND("|",'Blind Scoring Sheet'!B702)+1,20)))</f>
        <v/>
      </c>
      <c r="E46" s="67">
        <f>D46-C46</f>
        <v/>
      </c>
      <c r="F46" s="49">
        <f>VALUE(TRIM(LEFT('Blind Scoring Sheet'!D702,FIND("|",'Blind Scoring Sheet'!D702)-1)))</f>
        <v/>
      </c>
      <c r="G46" s="49">
        <f>VALUE(TRIM(MID('Blind Scoring Sheet'!D702,FIND("|",'Blind Scoring Sheet'!D702)+1,20)))</f>
        <v/>
      </c>
      <c r="H46" s="67">
        <f>G46-F46</f>
        <v/>
      </c>
      <c r="I46" s="49">
        <f>VALUE(TRIM(LEFT('Blind Scoring Sheet'!F702,FIND("|",'Blind Scoring Sheet'!F702)-1)))</f>
        <v/>
      </c>
      <c r="J46" s="49">
        <f>VALUE(TRIM(MID('Blind Scoring Sheet'!F702,FIND("|",'Blind Scoring Sheet'!F702)+1,20)))</f>
        <v/>
      </c>
      <c r="K46" s="67">
        <f>J46-I46</f>
        <v/>
      </c>
      <c r="L46" s="49">
        <f>VALUE(TRIM(LEFT('Blind Scoring Sheet'!H702,FIND("|",'Blind Scoring Sheet'!H702)-1)))</f>
        <v/>
      </c>
      <c r="M46" s="49">
        <f>VALUE(TRIM(MID('Blind Scoring Sheet'!H702,FIND("|",'Blind Scoring Sheet'!H702)+1,20)))</f>
        <v/>
      </c>
      <c r="N46" s="67">
        <f>M46-L46</f>
        <v/>
      </c>
      <c r="O46" s="49">
        <f>VALUE(TRIM(LEFT('Blind Scoring Sheet'!J702,FIND("|",'Blind Scoring Sheet'!J702)-1)))</f>
        <v/>
      </c>
      <c r="P46" s="49">
        <f>VALUE(TRIM(MID('Blind Scoring Sheet'!J702,FIND("|",'Blind Scoring Sheet'!J702)+1,20)))</f>
        <v/>
      </c>
      <c r="Q46" s="67">
        <f>P46-O46</f>
        <v/>
      </c>
      <c r="R46" s="67">
        <f>ABS(Q46)</f>
        <v/>
      </c>
      <c r="S46" s="50">
        <f>TRIM(LEFT('Blind Scoring Sheet'!K702,FIND("|",'Blind Scoring Sheet'!K702)-1))</f>
        <v/>
      </c>
      <c r="T46" s="50">
        <f>TRIM(MID('Blind Scoring Sheet'!K702,FIND("|",'Blind Scoring Sheet'!K702)+1,20))</f>
        <v/>
      </c>
      <c r="U46" s="50">
        <f>IF(S46=T46,"No","Yes")</f>
        <v/>
      </c>
      <c r="V46" s="75">
        <f>IF(S46=T46,"— (agree)",S46&amp;" → "&amp;T46)</f>
        <v/>
      </c>
      <c r="W46" s="67">
        <f>R46+ROW()/1000000</f>
        <v/>
      </c>
    </row>
    <row r="47" ht="15" customHeight="1" s="38">
      <c r="A47" s="75" t="inlineStr">
        <is>
          <t>R_0711</t>
        </is>
      </c>
      <c r="B47" s="50" t="n">
        <v>714</v>
      </c>
      <c r="C47" s="49">
        <f>VALUE(TRIM(LEFT('Blind Scoring Sheet'!B714,FIND("|",'Blind Scoring Sheet'!B714)-1)))</f>
        <v/>
      </c>
      <c r="D47" s="49">
        <f>VALUE(TRIM(MID('Blind Scoring Sheet'!B714,FIND("|",'Blind Scoring Sheet'!B714)+1,20)))</f>
        <v/>
      </c>
      <c r="E47" s="67">
        <f>D47-C47</f>
        <v/>
      </c>
      <c r="F47" s="49">
        <f>VALUE(TRIM(LEFT('Blind Scoring Sheet'!D714,FIND("|",'Blind Scoring Sheet'!D714)-1)))</f>
        <v/>
      </c>
      <c r="G47" s="49">
        <f>VALUE(TRIM(MID('Blind Scoring Sheet'!D714,FIND("|",'Blind Scoring Sheet'!D714)+1,20)))</f>
        <v/>
      </c>
      <c r="H47" s="67">
        <f>G47-F47</f>
        <v/>
      </c>
      <c r="I47" s="49">
        <f>VALUE(TRIM(LEFT('Blind Scoring Sheet'!F714,FIND("|",'Blind Scoring Sheet'!F714)-1)))</f>
        <v/>
      </c>
      <c r="J47" s="49">
        <f>VALUE(TRIM(MID('Blind Scoring Sheet'!F714,FIND("|",'Blind Scoring Sheet'!F714)+1,20)))</f>
        <v/>
      </c>
      <c r="K47" s="67">
        <f>J47-I47</f>
        <v/>
      </c>
      <c r="L47" s="49">
        <f>VALUE(TRIM(LEFT('Blind Scoring Sheet'!H714,FIND("|",'Blind Scoring Sheet'!H714)-1)))</f>
        <v/>
      </c>
      <c r="M47" s="49">
        <f>VALUE(TRIM(MID('Blind Scoring Sheet'!H714,FIND("|",'Blind Scoring Sheet'!H714)+1,20)))</f>
        <v/>
      </c>
      <c r="N47" s="67">
        <f>M47-L47</f>
        <v/>
      </c>
      <c r="O47" s="49">
        <f>VALUE(TRIM(LEFT('Blind Scoring Sheet'!J714,FIND("|",'Blind Scoring Sheet'!J714)-1)))</f>
        <v/>
      </c>
      <c r="P47" s="49">
        <f>VALUE(TRIM(MID('Blind Scoring Sheet'!J714,FIND("|",'Blind Scoring Sheet'!J714)+1,20)))</f>
        <v/>
      </c>
      <c r="Q47" s="67">
        <f>P47-O47</f>
        <v/>
      </c>
      <c r="R47" s="67">
        <f>ABS(Q47)</f>
        <v/>
      </c>
      <c r="S47" s="50">
        <f>TRIM(LEFT('Blind Scoring Sheet'!K714,FIND("|",'Blind Scoring Sheet'!K714)-1))</f>
        <v/>
      </c>
      <c r="T47" s="50">
        <f>TRIM(MID('Blind Scoring Sheet'!K714,FIND("|",'Blind Scoring Sheet'!K714)+1,20))</f>
        <v/>
      </c>
      <c r="U47" s="50">
        <f>IF(S47=T47,"No","Yes")</f>
        <v/>
      </c>
      <c r="V47" s="75">
        <f>IF(S47=T47,"— (agree)",S47&amp;" → "&amp;T47)</f>
        <v/>
      </c>
      <c r="W47" s="67">
        <f>R47+ROW()/1000000</f>
        <v/>
      </c>
    </row>
    <row r="48" ht="15" customHeight="1" s="38">
      <c r="A48" s="75" t="inlineStr">
        <is>
          <t>R_0712</t>
        </is>
      </c>
      <c r="B48" s="50" t="n">
        <v>715</v>
      </c>
      <c r="C48" s="49">
        <f>VALUE(TRIM(LEFT('Blind Scoring Sheet'!B715,FIND("|",'Blind Scoring Sheet'!B715)-1)))</f>
        <v/>
      </c>
      <c r="D48" s="49">
        <f>VALUE(TRIM(MID('Blind Scoring Sheet'!B715,FIND("|",'Blind Scoring Sheet'!B715)+1,20)))</f>
        <v/>
      </c>
      <c r="E48" s="67">
        <f>D48-C48</f>
        <v/>
      </c>
      <c r="F48" s="49">
        <f>VALUE(TRIM(LEFT('Blind Scoring Sheet'!D715,FIND("|",'Blind Scoring Sheet'!D715)-1)))</f>
        <v/>
      </c>
      <c r="G48" s="49">
        <f>VALUE(TRIM(MID('Blind Scoring Sheet'!D715,FIND("|",'Blind Scoring Sheet'!D715)+1,20)))</f>
        <v/>
      </c>
      <c r="H48" s="67">
        <f>G48-F48</f>
        <v/>
      </c>
      <c r="I48" s="49">
        <f>VALUE(TRIM(LEFT('Blind Scoring Sheet'!F715,FIND("|",'Blind Scoring Sheet'!F715)-1)))</f>
        <v/>
      </c>
      <c r="J48" s="49">
        <f>VALUE(TRIM(MID('Blind Scoring Sheet'!F715,FIND("|",'Blind Scoring Sheet'!F715)+1,20)))</f>
        <v/>
      </c>
      <c r="K48" s="67">
        <f>J48-I48</f>
        <v/>
      </c>
      <c r="L48" s="49">
        <f>VALUE(TRIM(LEFT('Blind Scoring Sheet'!H715,FIND("|",'Blind Scoring Sheet'!H715)-1)))</f>
        <v/>
      </c>
      <c r="M48" s="49">
        <f>VALUE(TRIM(MID('Blind Scoring Sheet'!H715,FIND("|",'Blind Scoring Sheet'!H715)+1,20)))</f>
        <v/>
      </c>
      <c r="N48" s="67">
        <f>M48-L48</f>
        <v/>
      </c>
      <c r="O48" s="49">
        <f>VALUE(TRIM(LEFT('Blind Scoring Sheet'!J715,FIND("|",'Blind Scoring Sheet'!J715)-1)))</f>
        <v/>
      </c>
      <c r="P48" s="49">
        <f>VALUE(TRIM(MID('Blind Scoring Sheet'!J715,FIND("|",'Blind Scoring Sheet'!J715)+1,20)))</f>
        <v/>
      </c>
      <c r="Q48" s="67">
        <f>P48-O48</f>
        <v/>
      </c>
      <c r="R48" s="67">
        <f>ABS(Q48)</f>
        <v/>
      </c>
      <c r="S48" s="50">
        <f>TRIM(LEFT('Blind Scoring Sheet'!K715,FIND("|",'Blind Scoring Sheet'!K715)-1))</f>
        <v/>
      </c>
      <c r="T48" s="50">
        <f>TRIM(MID('Blind Scoring Sheet'!K715,FIND("|",'Blind Scoring Sheet'!K715)+1,20))</f>
        <v/>
      </c>
      <c r="U48" s="50">
        <f>IF(S48=T48,"No","Yes")</f>
        <v/>
      </c>
      <c r="V48" s="75">
        <f>IF(S48=T48,"— (agree)",S48&amp;" → "&amp;T48)</f>
        <v/>
      </c>
      <c r="W48" s="67">
        <f>R48+ROW()/1000000</f>
        <v/>
      </c>
    </row>
    <row r="49" ht="15" customHeight="1" s="38">
      <c r="A49" s="75" t="inlineStr">
        <is>
          <t>R_0735</t>
        </is>
      </c>
      <c r="B49" s="50" t="n">
        <v>738</v>
      </c>
      <c r="C49" s="49">
        <f>VALUE(TRIM(LEFT('Blind Scoring Sheet'!B738,FIND("|",'Blind Scoring Sheet'!B738)-1)))</f>
        <v/>
      </c>
      <c r="D49" s="49">
        <f>VALUE(TRIM(MID('Blind Scoring Sheet'!B738,FIND("|",'Blind Scoring Sheet'!B738)+1,20)))</f>
        <v/>
      </c>
      <c r="E49" s="67">
        <f>D49-C49</f>
        <v/>
      </c>
      <c r="F49" s="49">
        <f>VALUE(TRIM(LEFT('Blind Scoring Sheet'!D738,FIND("|",'Blind Scoring Sheet'!D738)-1)))</f>
        <v/>
      </c>
      <c r="G49" s="49">
        <f>VALUE(TRIM(MID('Blind Scoring Sheet'!D738,FIND("|",'Blind Scoring Sheet'!D738)+1,20)))</f>
        <v/>
      </c>
      <c r="H49" s="67">
        <f>G49-F49</f>
        <v/>
      </c>
      <c r="I49" s="49">
        <f>VALUE(TRIM(LEFT('Blind Scoring Sheet'!F738,FIND("|",'Blind Scoring Sheet'!F738)-1)))</f>
        <v/>
      </c>
      <c r="J49" s="49">
        <f>VALUE(TRIM(MID('Blind Scoring Sheet'!F738,FIND("|",'Blind Scoring Sheet'!F738)+1,20)))</f>
        <v/>
      </c>
      <c r="K49" s="67">
        <f>J49-I49</f>
        <v/>
      </c>
      <c r="L49" s="49">
        <f>VALUE(TRIM(LEFT('Blind Scoring Sheet'!H738,FIND("|",'Blind Scoring Sheet'!H738)-1)))</f>
        <v/>
      </c>
      <c r="M49" s="49">
        <f>VALUE(TRIM(MID('Blind Scoring Sheet'!H738,FIND("|",'Blind Scoring Sheet'!H738)+1,20)))</f>
        <v/>
      </c>
      <c r="N49" s="67">
        <f>M49-L49</f>
        <v/>
      </c>
      <c r="O49" s="49">
        <f>VALUE(TRIM(LEFT('Blind Scoring Sheet'!J738,FIND("|",'Blind Scoring Sheet'!J738)-1)))</f>
        <v/>
      </c>
      <c r="P49" s="49">
        <f>VALUE(TRIM(MID('Blind Scoring Sheet'!J738,FIND("|",'Blind Scoring Sheet'!J738)+1,20)))</f>
        <v/>
      </c>
      <c r="Q49" s="67">
        <f>P49-O49</f>
        <v/>
      </c>
      <c r="R49" s="67">
        <f>ABS(Q49)</f>
        <v/>
      </c>
      <c r="S49" s="50">
        <f>TRIM(LEFT('Blind Scoring Sheet'!K738,FIND("|",'Blind Scoring Sheet'!K738)-1))</f>
        <v/>
      </c>
      <c r="T49" s="50">
        <f>TRIM(MID('Blind Scoring Sheet'!K738,FIND("|",'Blind Scoring Sheet'!K738)+1,20))</f>
        <v/>
      </c>
      <c r="U49" s="50">
        <f>IF(S49=T49,"No","Yes")</f>
        <v/>
      </c>
      <c r="V49" s="75">
        <f>IF(S49=T49,"— (agree)",S49&amp;" → "&amp;T49)</f>
        <v/>
      </c>
      <c r="W49" s="67">
        <f>R49+ROW()/1000000</f>
        <v/>
      </c>
    </row>
    <row r="50" ht="15" customHeight="1" s="38">
      <c r="A50" s="75" t="inlineStr">
        <is>
          <t>R_0737</t>
        </is>
      </c>
      <c r="B50" s="50" t="n">
        <v>740</v>
      </c>
      <c r="C50" s="49">
        <f>VALUE(TRIM(LEFT('Blind Scoring Sheet'!B740,FIND("|",'Blind Scoring Sheet'!B740)-1)))</f>
        <v/>
      </c>
      <c r="D50" s="49">
        <f>VALUE(TRIM(MID('Blind Scoring Sheet'!B740,FIND("|",'Blind Scoring Sheet'!B740)+1,20)))</f>
        <v/>
      </c>
      <c r="E50" s="67">
        <f>D50-C50</f>
        <v/>
      </c>
      <c r="F50" s="49">
        <f>VALUE(TRIM(LEFT('Blind Scoring Sheet'!D740,FIND("|",'Blind Scoring Sheet'!D740)-1)))</f>
        <v/>
      </c>
      <c r="G50" s="49">
        <f>VALUE(TRIM(MID('Blind Scoring Sheet'!D740,FIND("|",'Blind Scoring Sheet'!D740)+1,20)))</f>
        <v/>
      </c>
      <c r="H50" s="67">
        <f>G50-F50</f>
        <v/>
      </c>
      <c r="I50" s="49">
        <f>VALUE(TRIM(LEFT('Blind Scoring Sheet'!F740,FIND("|",'Blind Scoring Sheet'!F740)-1)))</f>
        <v/>
      </c>
      <c r="J50" s="49">
        <f>VALUE(TRIM(MID('Blind Scoring Sheet'!F740,FIND("|",'Blind Scoring Sheet'!F740)+1,20)))</f>
        <v/>
      </c>
      <c r="K50" s="67">
        <f>J50-I50</f>
        <v/>
      </c>
      <c r="L50" s="49">
        <f>VALUE(TRIM(LEFT('Blind Scoring Sheet'!H740,FIND("|",'Blind Scoring Sheet'!H740)-1)))</f>
        <v/>
      </c>
      <c r="M50" s="49">
        <f>VALUE(TRIM(MID('Blind Scoring Sheet'!H740,FIND("|",'Blind Scoring Sheet'!H740)+1,20)))</f>
        <v/>
      </c>
      <c r="N50" s="67">
        <f>M50-L50</f>
        <v/>
      </c>
      <c r="O50" s="49">
        <f>VALUE(TRIM(LEFT('Blind Scoring Sheet'!J740,FIND("|",'Blind Scoring Sheet'!J740)-1)))</f>
        <v/>
      </c>
      <c r="P50" s="49">
        <f>VALUE(TRIM(MID('Blind Scoring Sheet'!J740,FIND("|",'Blind Scoring Sheet'!J740)+1,20)))</f>
        <v/>
      </c>
      <c r="Q50" s="67">
        <f>P50-O50</f>
        <v/>
      </c>
      <c r="R50" s="67">
        <f>ABS(Q50)</f>
        <v/>
      </c>
      <c r="S50" s="50">
        <f>TRIM(LEFT('Blind Scoring Sheet'!K740,FIND("|",'Blind Scoring Sheet'!K740)-1))</f>
        <v/>
      </c>
      <c r="T50" s="50">
        <f>TRIM(MID('Blind Scoring Sheet'!K740,FIND("|",'Blind Scoring Sheet'!K740)+1,20))</f>
        <v/>
      </c>
      <c r="U50" s="50">
        <f>IF(S50=T50,"No","Yes")</f>
        <v/>
      </c>
      <c r="V50" s="75">
        <f>IF(S50=T50,"— (agree)",S50&amp;" → "&amp;T50)</f>
        <v/>
      </c>
      <c r="W50" s="67">
        <f>R50+ROW()/1000000</f>
        <v/>
      </c>
    </row>
    <row r="51" ht="15" customHeight="1" s="38">
      <c r="A51" s="75" t="inlineStr">
        <is>
          <t>R_0738</t>
        </is>
      </c>
      <c r="B51" s="50" t="n">
        <v>741</v>
      </c>
      <c r="C51" s="49">
        <f>VALUE(TRIM(LEFT('Blind Scoring Sheet'!B741,FIND("|",'Blind Scoring Sheet'!B741)-1)))</f>
        <v/>
      </c>
      <c r="D51" s="49">
        <f>VALUE(TRIM(MID('Blind Scoring Sheet'!B741,FIND("|",'Blind Scoring Sheet'!B741)+1,20)))</f>
        <v/>
      </c>
      <c r="E51" s="67">
        <f>D51-C51</f>
        <v/>
      </c>
      <c r="F51" s="49">
        <f>VALUE(TRIM(LEFT('Blind Scoring Sheet'!D741,FIND("|",'Blind Scoring Sheet'!D741)-1)))</f>
        <v/>
      </c>
      <c r="G51" s="49">
        <f>VALUE(TRIM(MID('Blind Scoring Sheet'!D741,FIND("|",'Blind Scoring Sheet'!D741)+1,20)))</f>
        <v/>
      </c>
      <c r="H51" s="67">
        <f>G51-F51</f>
        <v/>
      </c>
      <c r="I51" s="49">
        <f>VALUE(TRIM(LEFT('Blind Scoring Sheet'!F741,FIND("|",'Blind Scoring Sheet'!F741)-1)))</f>
        <v/>
      </c>
      <c r="J51" s="49">
        <f>VALUE(TRIM(MID('Blind Scoring Sheet'!F741,FIND("|",'Blind Scoring Sheet'!F741)+1,20)))</f>
        <v/>
      </c>
      <c r="K51" s="67">
        <f>J51-I51</f>
        <v/>
      </c>
      <c r="L51" s="49">
        <f>VALUE(TRIM(LEFT('Blind Scoring Sheet'!H741,FIND("|",'Blind Scoring Sheet'!H741)-1)))</f>
        <v/>
      </c>
      <c r="M51" s="49">
        <f>VALUE(TRIM(MID('Blind Scoring Sheet'!H741,FIND("|",'Blind Scoring Sheet'!H741)+1,20)))</f>
        <v/>
      </c>
      <c r="N51" s="67">
        <f>M51-L51</f>
        <v/>
      </c>
      <c r="O51" s="49">
        <f>VALUE(TRIM(LEFT('Blind Scoring Sheet'!J741,FIND("|",'Blind Scoring Sheet'!J741)-1)))</f>
        <v/>
      </c>
      <c r="P51" s="49">
        <f>VALUE(TRIM(MID('Blind Scoring Sheet'!J741,FIND("|",'Blind Scoring Sheet'!J741)+1,20)))</f>
        <v/>
      </c>
      <c r="Q51" s="67">
        <f>P51-O51</f>
        <v/>
      </c>
      <c r="R51" s="67">
        <f>ABS(Q51)</f>
        <v/>
      </c>
      <c r="S51" s="50">
        <f>TRIM(LEFT('Blind Scoring Sheet'!K741,FIND("|",'Blind Scoring Sheet'!K741)-1))</f>
        <v/>
      </c>
      <c r="T51" s="50">
        <f>TRIM(MID('Blind Scoring Sheet'!K741,FIND("|",'Blind Scoring Sheet'!K741)+1,20))</f>
        <v/>
      </c>
      <c r="U51" s="50">
        <f>IF(S51=T51,"No","Yes")</f>
        <v/>
      </c>
      <c r="V51" s="75">
        <f>IF(S51=T51,"— (agree)",S51&amp;" → "&amp;T51)</f>
        <v/>
      </c>
      <c r="W51" s="67">
        <f>R51+ROW()/1000000</f>
        <v/>
      </c>
    </row>
    <row r="52" ht="15" customHeight="1" s="38">
      <c r="A52" s="75" t="inlineStr">
        <is>
          <t>R_0773</t>
        </is>
      </c>
      <c r="B52" s="50" t="n">
        <v>776</v>
      </c>
      <c r="C52" s="49">
        <f>VALUE(TRIM(LEFT('Blind Scoring Sheet'!B776,FIND("|",'Blind Scoring Sheet'!B776)-1)))</f>
        <v/>
      </c>
      <c r="D52" s="49">
        <f>VALUE(TRIM(MID('Blind Scoring Sheet'!B776,FIND("|",'Blind Scoring Sheet'!B776)+1,20)))</f>
        <v/>
      </c>
      <c r="E52" s="67">
        <f>D52-C52</f>
        <v/>
      </c>
      <c r="F52" s="49">
        <f>VALUE(TRIM(LEFT('Blind Scoring Sheet'!D776,FIND("|",'Blind Scoring Sheet'!D776)-1)))</f>
        <v/>
      </c>
      <c r="G52" s="49">
        <f>VALUE(TRIM(MID('Blind Scoring Sheet'!D776,FIND("|",'Blind Scoring Sheet'!D776)+1,20)))</f>
        <v/>
      </c>
      <c r="H52" s="67">
        <f>G52-F52</f>
        <v/>
      </c>
      <c r="I52" s="49">
        <f>VALUE(TRIM(LEFT('Blind Scoring Sheet'!F776,FIND("|",'Blind Scoring Sheet'!F776)-1)))</f>
        <v/>
      </c>
      <c r="J52" s="49">
        <f>VALUE(TRIM(MID('Blind Scoring Sheet'!F776,FIND("|",'Blind Scoring Sheet'!F776)+1,20)))</f>
        <v/>
      </c>
      <c r="K52" s="67">
        <f>J52-I52</f>
        <v/>
      </c>
      <c r="L52" s="49">
        <f>VALUE(TRIM(LEFT('Blind Scoring Sheet'!H776,FIND("|",'Blind Scoring Sheet'!H776)-1)))</f>
        <v/>
      </c>
      <c r="M52" s="49">
        <f>VALUE(TRIM(MID('Blind Scoring Sheet'!H776,FIND("|",'Blind Scoring Sheet'!H776)+1,20)))</f>
        <v/>
      </c>
      <c r="N52" s="67">
        <f>M52-L52</f>
        <v/>
      </c>
      <c r="O52" s="49">
        <f>VALUE(TRIM(LEFT('Blind Scoring Sheet'!J776,FIND("|",'Blind Scoring Sheet'!J776)-1)))</f>
        <v/>
      </c>
      <c r="P52" s="49">
        <f>VALUE(TRIM(MID('Blind Scoring Sheet'!J776,FIND("|",'Blind Scoring Sheet'!J776)+1,20)))</f>
        <v/>
      </c>
      <c r="Q52" s="67">
        <f>P52-O52</f>
        <v/>
      </c>
      <c r="R52" s="67">
        <f>ABS(Q52)</f>
        <v/>
      </c>
      <c r="S52" s="50">
        <f>TRIM(LEFT('Blind Scoring Sheet'!K776,FIND("|",'Blind Scoring Sheet'!K776)-1))</f>
        <v/>
      </c>
      <c r="T52" s="50">
        <f>TRIM(MID('Blind Scoring Sheet'!K776,FIND("|",'Blind Scoring Sheet'!K776)+1,20))</f>
        <v/>
      </c>
      <c r="U52" s="50">
        <f>IF(S52=T52,"No","Yes")</f>
        <v/>
      </c>
      <c r="V52" s="75">
        <f>IF(S52=T52,"— (agree)",S52&amp;" → "&amp;T52)</f>
        <v/>
      </c>
      <c r="W52" s="67">
        <f>R52+ROW()/1000000</f>
        <v/>
      </c>
    </row>
    <row r="53" ht="15" customHeight="1" s="38">
      <c r="A53" s="75" t="inlineStr">
        <is>
          <t>R_0788</t>
        </is>
      </c>
      <c r="B53" s="50" t="n">
        <v>791</v>
      </c>
      <c r="C53" s="49">
        <f>VALUE(TRIM(LEFT('Blind Scoring Sheet'!B791,FIND("|",'Blind Scoring Sheet'!B791)-1)))</f>
        <v/>
      </c>
      <c r="D53" s="49">
        <f>VALUE(TRIM(MID('Blind Scoring Sheet'!B791,FIND("|",'Blind Scoring Sheet'!B791)+1,20)))</f>
        <v/>
      </c>
      <c r="E53" s="67">
        <f>D53-C53</f>
        <v/>
      </c>
      <c r="F53" s="49">
        <f>VALUE(TRIM(LEFT('Blind Scoring Sheet'!D791,FIND("|",'Blind Scoring Sheet'!D791)-1)))</f>
        <v/>
      </c>
      <c r="G53" s="49">
        <f>VALUE(TRIM(MID('Blind Scoring Sheet'!D791,FIND("|",'Blind Scoring Sheet'!D791)+1,20)))</f>
        <v/>
      </c>
      <c r="H53" s="67">
        <f>G53-F53</f>
        <v/>
      </c>
      <c r="I53" s="49">
        <f>VALUE(TRIM(LEFT('Blind Scoring Sheet'!F791,FIND("|",'Blind Scoring Sheet'!F791)-1)))</f>
        <v/>
      </c>
      <c r="J53" s="49">
        <f>VALUE(TRIM(MID('Blind Scoring Sheet'!F791,FIND("|",'Blind Scoring Sheet'!F791)+1,20)))</f>
        <v/>
      </c>
      <c r="K53" s="67">
        <f>J53-I53</f>
        <v/>
      </c>
      <c r="L53" s="49">
        <f>VALUE(TRIM(LEFT('Blind Scoring Sheet'!H791,FIND("|",'Blind Scoring Sheet'!H791)-1)))</f>
        <v/>
      </c>
      <c r="M53" s="49">
        <f>VALUE(TRIM(MID('Blind Scoring Sheet'!H791,FIND("|",'Blind Scoring Sheet'!H791)+1,20)))</f>
        <v/>
      </c>
      <c r="N53" s="67">
        <f>M53-L53</f>
        <v/>
      </c>
      <c r="O53" s="49">
        <f>VALUE(TRIM(LEFT('Blind Scoring Sheet'!J791,FIND("|",'Blind Scoring Sheet'!J791)-1)))</f>
        <v/>
      </c>
      <c r="P53" s="49">
        <f>VALUE(TRIM(MID('Blind Scoring Sheet'!J791,FIND("|",'Blind Scoring Sheet'!J791)+1,20)))</f>
        <v/>
      </c>
      <c r="Q53" s="67">
        <f>P53-O53</f>
        <v/>
      </c>
      <c r="R53" s="67">
        <f>ABS(Q53)</f>
        <v/>
      </c>
      <c r="S53" s="50">
        <f>TRIM(LEFT('Blind Scoring Sheet'!K791,FIND("|",'Blind Scoring Sheet'!K791)-1))</f>
        <v/>
      </c>
      <c r="T53" s="50">
        <f>TRIM(MID('Blind Scoring Sheet'!K791,FIND("|",'Blind Scoring Sheet'!K791)+1,20))</f>
        <v/>
      </c>
      <c r="U53" s="50">
        <f>IF(S53=T53,"No","Yes")</f>
        <v/>
      </c>
      <c r="V53" s="75">
        <f>IF(S53=T53,"— (agree)",S53&amp;" → "&amp;T53)</f>
        <v/>
      </c>
      <c r="W53" s="67">
        <f>R53+ROW()/1000000</f>
        <v/>
      </c>
    </row>
    <row r="54" ht="15" customHeight="1" s="38">
      <c r="A54" s="75" t="inlineStr">
        <is>
          <t>R_0789</t>
        </is>
      </c>
      <c r="B54" s="50" t="n">
        <v>792</v>
      </c>
      <c r="C54" s="49">
        <f>VALUE(TRIM(LEFT('Blind Scoring Sheet'!B792,FIND("|",'Blind Scoring Sheet'!B792)-1)))</f>
        <v/>
      </c>
      <c r="D54" s="49">
        <f>VALUE(TRIM(MID('Blind Scoring Sheet'!B792,FIND("|",'Blind Scoring Sheet'!B792)+1,20)))</f>
        <v/>
      </c>
      <c r="E54" s="67">
        <f>D54-C54</f>
        <v/>
      </c>
      <c r="F54" s="49">
        <f>VALUE(TRIM(LEFT('Blind Scoring Sheet'!D792,FIND("|",'Blind Scoring Sheet'!D792)-1)))</f>
        <v/>
      </c>
      <c r="G54" s="49">
        <f>VALUE(TRIM(MID('Blind Scoring Sheet'!D792,FIND("|",'Blind Scoring Sheet'!D792)+1,20)))</f>
        <v/>
      </c>
      <c r="H54" s="67">
        <f>G54-F54</f>
        <v/>
      </c>
      <c r="I54" s="49">
        <f>VALUE(TRIM(LEFT('Blind Scoring Sheet'!F792,FIND("|",'Blind Scoring Sheet'!F792)-1)))</f>
        <v/>
      </c>
      <c r="J54" s="49">
        <f>VALUE(TRIM(MID('Blind Scoring Sheet'!F792,FIND("|",'Blind Scoring Sheet'!F792)+1,20)))</f>
        <v/>
      </c>
      <c r="K54" s="67">
        <f>J54-I54</f>
        <v/>
      </c>
      <c r="L54" s="49">
        <f>VALUE(TRIM(LEFT('Blind Scoring Sheet'!H792,FIND("|",'Blind Scoring Sheet'!H792)-1)))</f>
        <v/>
      </c>
      <c r="M54" s="49">
        <f>VALUE(TRIM(MID('Blind Scoring Sheet'!H792,FIND("|",'Blind Scoring Sheet'!H792)+1,20)))</f>
        <v/>
      </c>
      <c r="N54" s="67">
        <f>M54-L54</f>
        <v/>
      </c>
      <c r="O54" s="49">
        <f>VALUE(TRIM(LEFT('Blind Scoring Sheet'!J792,FIND("|",'Blind Scoring Sheet'!J792)-1)))</f>
        <v/>
      </c>
      <c r="P54" s="49">
        <f>VALUE(TRIM(MID('Blind Scoring Sheet'!J792,FIND("|",'Blind Scoring Sheet'!J792)+1,20)))</f>
        <v/>
      </c>
      <c r="Q54" s="67">
        <f>P54-O54</f>
        <v/>
      </c>
      <c r="R54" s="67">
        <f>ABS(Q54)</f>
        <v/>
      </c>
      <c r="S54" s="50">
        <f>TRIM(LEFT('Blind Scoring Sheet'!K792,FIND("|",'Blind Scoring Sheet'!K792)-1))</f>
        <v/>
      </c>
      <c r="T54" s="50">
        <f>TRIM(MID('Blind Scoring Sheet'!K792,FIND("|",'Blind Scoring Sheet'!K792)+1,20))</f>
        <v/>
      </c>
      <c r="U54" s="50">
        <f>IF(S54=T54,"No","Yes")</f>
        <v/>
      </c>
      <c r="V54" s="75">
        <f>IF(S54=T54,"— (agree)",S54&amp;" → "&amp;T54)</f>
        <v/>
      </c>
      <c r="W54" s="67">
        <f>R54+ROW()/1000000</f>
        <v/>
      </c>
    </row>
    <row r="55" ht="15" customHeight="1" s="38">
      <c r="A55" s="75" t="inlineStr">
        <is>
          <t>R_0796</t>
        </is>
      </c>
      <c r="B55" s="50" t="n">
        <v>799</v>
      </c>
      <c r="C55" s="49">
        <f>VALUE(TRIM(LEFT('Blind Scoring Sheet'!B799,FIND("|",'Blind Scoring Sheet'!B799)-1)))</f>
        <v/>
      </c>
      <c r="D55" s="49">
        <f>VALUE(TRIM(MID('Blind Scoring Sheet'!B799,FIND("|",'Blind Scoring Sheet'!B799)+1,20)))</f>
        <v/>
      </c>
      <c r="E55" s="67">
        <f>D55-C55</f>
        <v/>
      </c>
      <c r="F55" s="49">
        <f>VALUE(TRIM(LEFT('Blind Scoring Sheet'!D799,FIND("|",'Blind Scoring Sheet'!D799)-1)))</f>
        <v/>
      </c>
      <c r="G55" s="49">
        <f>VALUE(TRIM(MID('Blind Scoring Sheet'!D799,FIND("|",'Blind Scoring Sheet'!D799)+1,20)))</f>
        <v/>
      </c>
      <c r="H55" s="67">
        <f>G55-F55</f>
        <v/>
      </c>
      <c r="I55" s="49">
        <f>VALUE(TRIM(LEFT('Blind Scoring Sheet'!F799,FIND("|",'Blind Scoring Sheet'!F799)-1)))</f>
        <v/>
      </c>
      <c r="J55" s="49">
        <f>VALUE(TRIM(MID('Blind Scoring Sheet'!F799,FIND("|",'Blind Scoring Sheet'!F799)+1,20)))</f>
        <v/>
      </c>
      <c r="K55" s="67">
        <f>J55-I55</f>
        <v/>
      </c>
      <c r="L55" s="49">
        <f>VALUE(TRIM(LEFT('Blind Scoring Sheet'!H799,FIND("|",'Blind Scoring Sheet'!H799)-1)))</f>
        <v/>
      </c>
      <c r="M55" s="49">
        <f>VALUE(TRIM(MID('Blind Scoring Sheet'!H799,FIND("|",'Blind Scoring Sheet'!H799)+1,20)))</f>
        <v/>
      </c>
      <c r="N55" s="67">
        <f>M55-L55</f>
        <v/>
      </c>
      <c r="O55" s="49">
        <f>VALUE(TRIM(LEFT('Blind Scoring Sheet'!J799,FIND("|",'Blind Scoring Sheet'!J799)-1)))</f>
        <v/>
      </c>
      <c r="P55" s="49">
        <f>VALUE(TRIM(MID('Blind Scoring Sheet'!J799,FIND("|",'Blind Scoring Sheet'!J799)+1,20)))</f>
        <v/>
      </c>
      <c r="Q55" s="67">
        <f>P55-O55</f>
        <v/>
      </c>
      <c r="R55" s="67">
        <f>ABS(Q55)</f>
        <v/>
      </c>
      <c r="S55" s="50">
        <f>TRIM(LEFT('Blind Scoring Sheet'!K799,FIND("|",'Blind Scoring Sheet'!K799)-1))</f>
        <v/>
      </c>
      <c r="T55" s="50">
        <f>TRIM(MID('Blind Scoring Sheet'!K799,FIND("|",'Blind Scoring Sheet'!K799)+1,20))</f>
        <v/>
      </c>
      <c r="U55" s="50">
        <f>IF(S55=T55,"No","Yes")</f>
        <v/>
      </c>
      <c r="V55" s="75">
        <f>IF(S55=T55,"— (agree)",S55&amp;" → "&amp;T55)</f>
        <v/>
      </c>
      <c r="W55" s="67">
        <f>R55+ROW()/1000000</f>
        <v/>
      </c>
    </row>
    <row r="56" ht="15" customHeight="1" s="38">
      <c r="A56" s="75" t="inlineStr">
        <is>
          <t>R_0804</t>
        </is>
      </c>
      <c r="B56" s="50" t="n">
        <v>807</v>
      </c>
      <c r="C56" s="49">
        <f>VALUE(TRIM(LEFT('Blind Scoring Sheet'!B807,FIND("|",'Blind Scoring Sheet'!B807)-1)))</f>
        <v/>
      </c>
      <c r="D56" s="49">
        <f>VALUE(TRIM(MID('Blind Scoring Sheet'!B807,FIND("|",'Blind Scoring Sheet'!B807)+1,20)))</f>
        <v/>
      </c>
      <c r="E56" s="67">
        <f>D56-C56</f>
        <v/>
      </c>
      <c r="F56" s="49">
        <f>VALUE(TRIM(LEFT('Blind Scoring Sheet'!D807,FIND("|",'Blind Scoring Sheet'!D807)-1)))</f>
        <v/>
      </c>
      <c r="G56" s="49">
        <f>VALUE(TRIM(MID('Blind Scoring Sheet'!D807,FIND("|",'Blind Scoring Sheet'!D807)+1,20)))</f>
        <v/>
      </c>
      <c r="H56" s="67">
        <f>G56-F56</f>
        <v/>
      </c>
      <c r="I56" s="49">
        <f>VALUE(TRIM(LEFT('Blind Scoring Sheet'!F807,FIND("|",'Blind Scoring Sheet'!F807)-1)))</f>
        <v/>
      </c>
      <c r="J56" s="49">
        <f>VALUE(TRIM(MID('Blind Scoring Sheet'!F807,FIND("|",'Blind Scoring Sheet'!F807)+1,20)))</f>
        <v/>
      </c>
      <c r="K56" s="67">
        <f>J56-I56</f>
        <v/>
      </c>
      <c r="L56" s="49">
        <f>VALUE(TRIM(LEFT('Blind Scoring Sheet'!H807,FIND("|",'Blind Scoring Sheet'!H807)-1)))</f>
        <v/>
      </c>
      <c r="M56" s="49">
        <f>VALUE(TRIM(MID('Blind Scoring Sheet'!H807,FIND("|",'Blind Scoring Sheet'!H807)+1,20)))</f>
        <v/>
      </c>
      <c r="N56" s="67">
        <f>M56-L56</f>
        <v/>
      </c>
      <c r="O56" s="49">
        <f>VALUE(TRIM(LEFT('Blind Scoring Sheet'!J807,FIND("|",'Blind Scoring Sheet'!J807)-1)))</f>
        <v/>
      </c>
      <c r="P56" s="49">
        <f>VALUE(TRIM(MID('Blind Scoring Sheet'!J807,FIND("|",'Blind Scoring Sheet'!J807)+1,20)))</f>
        <v/>
      </c>
      <c r="Q56" s="67">
        <f>P56-O56</f>
        <v/>
      </c>
      <c r="R56" s="67">
        <f>ABS(Q56)</f>
        <v/>
      </c>
      <c r="S56" s="50">
        <f>TRIM(LEFT('Blind Scoring Sheet'!K807,FIND("|",'Blind Scoring Sheet'!K807)-1))</f>
        <v/>
      </c>
      <c r="T56" s="50">
        <f>TRIM(MID('Blind Scoring Sheet'!K807,FIND("|",'Blind Scoring Sheet'!K807)+1,20))</f>
        <v/>
      </c>
      <c r="U56" s="50">
        <f>IF(S56=T56,"No","Yes")</f>
        <v/>
      </c>
      <c r="V56" s="75">
        <f>IF(S56=T56,"— (agree)",S56&amp;" → "&amp;T56)</f>
        <v/>
      </c>
      <c r="W56" s="67">
        <f>R56+ROW()/1000000</f>
        <v/>
      </c>
    </row>
    <row r="57" ht="15" customHeight="1" s="38">
      <c r="A57" s="75" t="inlineStr">
        <is>
          <t>R_0858</t>
        </is>
      </c>
      <c r="B57" s="50" t="n">
        <v>861</v>
      </c>
      <c r="C57" s="49">
        <f>VALUE(TRIM(LEFT('Blind Scoring Sheet'!B861,FIND("|",'Blind Scoring Sheet'!B861)-1)))</f>
        <v/>
      </c>
      <c r="D57" s="49">
        <f>VALUE(TRIM(MID('Blind Scoring Sheet'!B861,FIND("|",'Blind Scoring Sheet'!B861)+1,20)))</f>
        <v/>
      </c>
      <c r="E57" s="67">
        <f>D57-C57</f>
        <v/>
      </c>
      <c r="F57" s="49">
        <f>VALUE(TRIM(LEFT('Blind Scoring Sheet'!D861,FIND("|",'Blind Scoring Sheet'!D861)-1)))</f>
        <v/>
      </c>
      <c r="G57" s="49">
        <f>VALUE(TRIM(MID('Blind Scoring Sheet'!D861,FIND("|",'Blind Scoring Sheet'!D861)+1,20)))</f>
        <v/>
      </c>
      <c r="H57" s="67">
        <f>G57-F57</f>
        <v/>
      </c>
      <c r="I57" s="49">
        <f>VALUE(TRIM(LEFT('Blind Scoring Sheet'!F861,FIND("|",'Blind Scoring Sheet'!F861)-1)))</f>
        <v/>
      </c>
      <c r="J57" s="49">
        <f>VALUE(TRIM(MID('Blind Scoring Sheet'!F861,FIND("|",'Blind Scoring Sheet'!F861)+1,20)))</f>
        <v/>
      </c>
      <c r="K57" s="67">
        <f>J57-I57</f>
        <v/>
      </c>
      <c r="L57" s="49">
        <f>VALUE(TRIM(LEFT('Blind Scoring Sheet'!H861,FIND("|",'Blind Scoring Sheet'!H861)-1)))</f>
        <v/>
      </c>
      <c r="M57" s="49">
        <f>VALUE(TRIM(MID('Blind Scoring Sheet'!H861,FIND("|",'Blind Scoring Sheet'!H861)+1,20)))</f>
        <v/>
      </c>
      <c r="N57" s="67">
        <f>M57-L57</f>
        <v/>
      </c>
      <c r="O57" s="49">
        <f>VALUE(TRIM(LEFT('Blind Scoring Sheet'!J861,FIND("|",'Blind Scoring Sheet'!J861)-1)))</f>
        <v/>
      </c>
      <c r="P57" s="49">
        <f>VALUE(TRIM(MID('Blind Scoring Sheet'!J861,FIND("|",'Blind Scoring Sheet'!J861)+1,20)))</f>
        <v/>
      </c>
      <c r="Q57" s="67">
        <f>P57-O57</f>
        <v/>
      </c>
      <c r="R57" s="67">
        <f>ABS(Q57)</f>
        <v/>
      </c>
      <c r="S57" s="50">
        <f>TRIM(LEFT('Blind Scoring Sheet'!K861,FIND("|",'Blind Scoring Sheet'!K861)-1))</f>
        <v/>
      </c>
      <c r="T57" s="50">
        <f>TRIM(MID('Blind Scoring Sheet'!K861,FIND("|",'Blind Scoring Sheet'!K861)+1,20))</f>
        <v/>
      </c>
      <c r="U57" s="50">
        <f>IF(S57=T57,"No","Yes")</f>
        <v/>
      </c>
      <c r="V57" s="75">
        <f>IF(S57=T57,"— (agree)",S57&amp;" → "&amp;T57)</f>
        <v/>
      </c>
      <c r="W57" s="67">
        <f>R57+ROW()/1000000</f>
        <v/>
      </c>
    </row>
    <row r="58" ht="15" customHeight="1" s="38">
      <c r="A58" s="75" t="inlineStr">
        <is>
          <t>R_0917</t>
        </is>
      </c>
      <c r="B58" s="50" t="n">
        <v>920</v>
      </c>
      <c r="C58" s="49">
        <f>VALUE(TRIM(LEFT('Blind Scoring Sheet'!B920,FIND("|",'Blind Scoring Sheet'!B920)-1)))</f>
        <v/>
      </c>
      <c r="D58" s="49">
        <f>VALUE(TRIM(MID('Blind Scoring Sheet'!B920,FIND("|",'Blind Scoring Sheet'!B920)+1,20)))</f>
        <v/>
      </c>
      <c r="E58" s="67">
        <f>D58-C58</f>
        <v/>
      </c>
      <c r="F58" s="49">
        <f>VALUE(TRIM(LEFT('Blind Scoring Sheet'!D920,FIND("|",'Blind Scoring Sheet'!D920)-1)))</f>
        <v/>
      </c>
      <c r="G58" s="49">
        <f>VALUE(TRIM(MID('Blind Scoring Sheet'!D920,FIND("|",'Blind Scoring Sheet'!D920)+1,20)))</f>
        <v/>
      </c>
      <c r="H58" s="67">
        <f>G58-F58</f>
        <v/>
      </c>
      <c r="I58" s="49">
        <f>VALUE(TRIM(LEFT('Blind Scoring Sheet'!F920,FIND("|",'Blind Scoring Sheet'!F920)-1)))</f>
        <v/>
      </c>
      <c r="J58" s="49">
        <f>VALUE(TRIM(MID('Blind Scoring Sheet'!F920,FIND("|",'Blind Scoring Sheet'!F920)+1,20)))</f>
        <v/>
      </c>
      <c r="K58" s="67">
        <f>J58-I58</f>
        <v/>
      </c>
      <c r="L58" s="49">
        <f>VALUE(TRIM(LEFT('Blind Scoring Sheet'!H920,FIND("|",'Blind Scoring Sheet'!H920)-1)))</f>
        <v/>
      </c>
      <c r="M58" s="49">
        <f>VALUE(TRIM(MID('Blind Scoring Sheet'!H920,FIND("|",'Blind Scoring Sheet'!H920)+1,20)))</f>
        <v/>
      </c>
      <c r="N58" s="67">
        <f>M58-L58</f>
        <v/>
      </c>
      <c r="O58" s="49">
        <f>VALUE(TRIM(LEFT('Blind Scoring Sheet'!J920,FIND("|",'Blind Scoring Sheet'!J920)-1)))</f>
        <v/>
      </c>
      <c r="P58" s="49">
        <f>VALUE(TRIM(MID('Blind Scoring Sheet'!J920,FIND("|",'Blind Scoring Sheet'!J920)+1,20)))</f>
        <v/>
      </c>
      <c r="Q58" s="67">
        <f>P58-O58</f>
        <v/>
      </c>
      <c r="R58" s="67">
        <f>ABS(Q58)</f>
        <v/>
      </c>
      <c r="S58" s="50">
        <f>TRIM(LEFT('Blind Scoring Sheet'!K920,FIND("|",'Blind Scoring Sheet'!K920)-1))</f>
        <v/>
      </c>
      <c r="T58" s="50">
        <f>TRIM(MID('Blind Scoring Sheet'!K920,FIND("|",'Blind Scoring Sheet'!K920)+1,20))</f>
        <v/>
      </c>
      <c r="U58" s="50">
        <f>IF(S58=T58,"No","Yes")</f>
        <v/>
      </c>
      <c r="V58" s="75">
        <f>IF(S58=T58,"— (agree)",S58&amp;" → "&amp;T58)</f>
        <v/>
      </c>
      <c r="W58" s="67">
        <f>R58+ROW()/1000000</f>
        <v/>
      </c>
    </row>
    <row r="59" ht="15" customHeight="1" s="38">
      <c r="A59" s="75" t="inlineStr">
        <is>
          <t>R_0918</t>
        </is>
      </c>
      <c r="B59" s="50" t="n">
        <v>921</v>
      </c>
      <c r="C59" s="49">
        <f>VALUE(TRIM(LEFT('Blind Scoring Sheet'!B921,FIND("|",'Blind Scoring Sheet'!B921)-1)))</f>
        <v/>
      </c>
      <c r="D59" s="49">
        <f>VALUE(TRIM(MID('Blind Scoring Sheet'!B921,FIND("|",'Blind Scoring Sheet'!B921)+1,20)))</f>
        <v/>
      </c>
      <c r="E59" s="67">
        <f>D59-C59</f>
        <v/>
      </c>
      <c r="F59" s="49">
        <f>VALUE(TRIM(LEFT('Blind Scoring Sheet'!D921,FIND("|",'Blind Scoring Sheet'!D921)-1)))</f>
        <v/>
      </c>
      <c r="G59" s="49">
        <f>VALUE(TRIM(MID('Blind Scoring Sheet'!D921,FIND("|",'Blind Scoring Sheet'!D921)+1,20)))</f>
        <v/>
      </c>
      <c r="H59" s="67">
        <f>G59-F59</f>
        <v/>
      </c>
      <c r="I59" s="49">
        <f>VALUE(TRIM(LEFT('Blind Scoring Sheet'!F921,FIND("|",'Blind Scoring Sheet'!F921)-1)))</f>
        <v/>
      </c>
      <c r="J59" s="49">
        <f>VALUE(TRIM(MID('Blind Scoring Sheet'!F921,FIND("|",'Blind Scoring Sheet'!F921)+1,20)))</f>
        <v/>
      </c>
      <c r="K59" s="67">
        <f>J59-I59</f>
        <v/>
      </c>
      <c r="L59" s="49">
        <f>VALUE(TRIM(LEFT('Blind Scoring Sheet'!H921,FIND("|",'Blind Scoring Sheet'!H921)-1)))</f>
        <v/>
      </c>
      <c r="M59" s="49">
        <f>VALUE(TRIM(MID('Blind Scoring Sheet'!H921,FIND("|",'Blind Scoring Sheet'!H921)+1,20)))</f>
        <v/>
      </c>
      <c r="N59" s="67">
        <f>M59-L59</f>
        <v/>
      </c>
      <c r="O59" s="49">
        <f>VALUE(TRIM(LEFT('Blind Scoring Sheet'!J921,FIND("|",'Blind Scoring Sheet'!J921)-1)))</f>
        <v/>
      </c>
      <c r="P59" s="49">
        <f>VALUE(TRIM(MID('Blind Scoring Sheet'!J921,FIND("|",'Blind Scoring Sheet'!J921)+1,20)))</f>
        <v/>
      </c>
      <c r="Q59" s="67">
        <f>P59-O59</f>
        <v/>
      </c>
      <c r="R59" s="67">
        <f>ABS(Q59)</f>
        <v/>
      </c>
      <c r="S59" s="50">
        <f>TRIM(LEFT('Blind Scoring Sheet'!K921,FIND("|",'Blind Scoring Sheet'!K921)-1))</f>
        <v/>
      </c>
      <c r="T59" s="50">
        <f>TRIM(MID('Blind Scoring Sheet'!K921,FIND("|",'Blind Scoring Sheet'!K921)+1,20))</f>
        <v/>
      </c>
      <c r="U59" s="50">
        <f>IF(S59=T59,"No","Yes")</f>
        <v/>
      </c>
      <c r="V59" s="75">
        <f>IF(S59=T59,"— (agree)",S59&amp;" → "&amp;T59)</f>
        <v/>
      </c>
      <c r="W59" s="67">
        <f>R59+ROW()/1000000</f>
        <v/>
      </c>
    </row>
    <row r="60" ht="15" customHeight="1" s="38">
      <c r="A60" s="75" t="inlineStr">
        <is>
          <t>R_0943</t>
        </is>
      </c>
      <c r="B60" s="50" t="n">
        <v>946</v>
      </c>
      <c r="C60" s="49">
        <f>VALUE(TRIM(LEFT('Blind Scoring Sheet'!B946,FIND("|",'Blind Scoring Sheet'!B946)-1)))</f>
        <v/>
      </c>
      <c r="D60" s="49">
        <f>VALUE(TRIM(MID('Blind Scoring Sheet'!B946,FIND("|",'Blind Scoring Sheet'!B946)+1,20)))</f>
        <v/>
      </c>
      <c r="E60" s="67">
        <f>D60-C60</f>
        <v/>
      </c>
      <c r="F60" s="49">
        <f>VALUE(TRIM(LEFT('Blind Scoring Sheet'!D946,FIND("|",'Blind Scoring Sheet'!D946)-1)))</f>
        <v/>
      </c>
      <c r="G60" s="49">
        <f>VALUE(TRIM(MID('Blind Scoring Sheet'!D946,FIND("|",'Blind Scoring Sheet'!D946)+1,20)))</f>
        <v/>
      </c>
      <c r="H60" s="67">
        <f>G60-F60</f>
        <v/>
      </c>
      <c r="I60" s="49">
        <f>VALUE(TRIM(LEFT('Blind Scoring Sheet'!F946,FIND("|",'Blind Scoring Sheet'!F946)-1)))</f>
        <v/>
      </c>
      <c r="J60" s="49">
        <f>VALUE(TRIM(MID('Blind Scoring Sheet'!F946,FIND("|",'Blind Scoring Sheet'!F946)+1,20)))</f>
        <v/>
      </c>
      <c r="K60" s="67">
        <f>J60-I60</f>
        <v/>
      </c>
      <c r="L60" s="49">
        <f>VALUE(TRIM(LEFT('Blind Scoring Sheet'!H946,FIND("|",'Blind Scoring Sheet'!H946)-1)))</f>
        <v/>
      </c>
      <c r="M60" s="49">
        <f>VALUE(TRIM(MID('Blind Scoring Sheet'!H946,FIND("|",'Blind Scoring Sheet'!H946)+1,20)))</f>
        <v/>
      </c>
      <c r="N60" s="67">
        <f>M60-L60</f>
        <v/>
      </c>
      <c r="O60" s="49">
        <f>VALUE(TRIM(LEFT('Blind Scoring Sheet'!J946,FIND("|",'Blind Scoring Sheet'!J946)-1)))</f>
        <v/>
      </c>
      <c r="P60" s="49">
        <f>VALUE(TRIM(MID('Blind Scoring Sheet'!J946,FIND("|",'Blind Scoring Sheet'!J946)+1,20)))</f>
        <v/>
      </c>
      <c r="Q60" s="67">
        <f>P60-O60</f>
        <v/>
      </c>
      <c r="R60" s="67">
        <f>ABS(Q60)</f>
        <v/>
      </c>
      <c r="S60" s="50">
        <f>TRIM(LEFT('Blind Scoring Sheet'!K946,FIND("|",'Blind Scoring Sheet'!K946)-1))</f>
        <v/>
      </c>
      <c r="T60" s="50">
        <f>TRIM(MID('Blind Scoring Sheet'!K946,FIND("|",'Blind Scoring Sheet'!K946)+1,20))</f>
        <v/>
      </c>
      <c r="U60" s="50">
        <f>IF(S60=T60,"No","Yes")</f>
        <v/>
      </c>
      <c r="V60" s="75">
        <f>IF(S60=T60,"— (agree)",S60&amp;" → "&amp;T60)</f>
        <v/>
      </c>
      <c r="W60" s="67">
        <f>R60+ROW()/1000000</f>
        <v/>
      </c>
    </row>
    <row r="61" ht="15" customHeight="1" s="38">
      <c r="A61" s="75" t="inlineStr">
        <is>
          <t>R_0963</t>
        </is>
      </c>
      <c r="B61" s="50" t="n">
        <v>966</v>
      </c>
      <c r="C61" s="49">
        <f>VALUE(TRIM(LEFT('Blind Scoring Sheet'!B966,FIND("|",'Blind Scoring Sheet'!B966)-1)))</f>
        <v/>
      </c>
      <c r="D61" s="49">
        <f>VALUE(TRIM(MID('Blind Scoring Sheet'!B966,FIND("|",'Blind Scoring Sheet'!B966)+1,20)))</f>
        <v/>
      </c>
      <c r="E61" s="67">
        <f>D61-C61</f>
        <v/>
      </c>
      <c r="F61" s="49">
        <f>VALUE(TRIM(LEFT('Blind Scoring Sheet'!D966,FIND("|",'Blind Scoring Sheet'!D966)-1)))</f>
        <v/>
      </c>
      <c r="G61" s="49">
        <f>VALUE(TRIM(MID('Blind Scoring Sheet'!D966,FIND("|",'Blind Scoring Sheet'!D966)+1,20)))</f>
        <v/>
      </c>
      <c r="H61" s="67">
        <f>G61-F61</f>
        <v/>
      </c>
      <c r="I61" s="49">
        <f>VALUE(TRIM(LEFT('Blind Scoring Sheet'!F966,FIND("|",'Blind Scoring Sheet'!F966)-1)))</f>
        <v/>
      </c>
      <c r="J61" s="49">
        <f>VALUE(TRIM(MID('Blind Scoring Sheet'!F966,FIND("|",'Blind Scoring Sheet'!F966)+1,20)))</f>
        <v/>
      </c>
      <c r="K61" s="67">
        <f>J61-I61</f>
        <v/>
      </c>
      <c r="L61" s="49">
        <f>VALUE(TRIM(LEFT('Blind Scoring Sheet'!H966,FIND("|",'Blind Scoring Sheet'!H966)-1)))</f>
        <v/>
      </c>
      <c r="M61" s="49">
        <f>VALUE(TRIM(MID('Blind Scoring Sheet'!H966,FIND("|",'Blind Scoring Sheet'!H966)+1,20)))</f>
        <v/>
      </c>
      <c r="N61" s="67">
        <f>M61-L61</f>
        <v/>
      </c>
      <c r="O61" s="49">
        <f>VALUE(TRIM(LEFT('Blind Scoring Sheet'!J966,FIND("|",'Blind Scoring Sheet'!J966)-1)))</f>
        <v/>
      </c>
      <c r="P61" s="49">
        <f>VALUE(TRIM(MID('Blind Scoring Sheet'!J966,FIND("|",'Blind Scoring Sheet'!J966)+1,20)))</f>
        <v/>
      </c>
      <c r="Q61" s="67">
        <f>P61-O61</f>
        <v/>
      </c>
      <c r="R61" s="67">
        <f>ABS(Q61)</f>
        <v/>
      </c>
      <c r="S61" s="50">
        <f>TRIM(LEFT('Blind Scoring Sheet'!K966,FIND("|",'Blind Scoring Sheet'!K966)-1))</f>
        <v/>
      </c>
      <c r="T61" s="50">
        <f>TRIM(MID('Blind Scoring Sheet'!K966,FIND("|",'Blind Scoring Sheet'!K966)+1,20))</f>
        <v/>
      </c>
      <c r="U61" s="50">
        <f>IF(S61=T61,"No","Yes")</f>
        <v/>
      </c>
      <c r="V61" s="75">
        <f>IF(S61=T61,"— (agree)",S61&amp;" → "&amp;T61)</f>
        <v/>
      </c>
      <c r="W61" s="67">
        <f>R61+ROW()/1000000</f>
        <v/>
      </c>
    </row>
    <row r="62" ht="15" customHeight="1" s="38">
      <c r="A62" s="75" t="inlineStr">
        <is>
          <t>R_0993</t>
        </is>
      </c>
      <c r="B62" s="50" t="n">
        <v>996</v>
      </c>
      <c r="C62" s="49">
        <f>VALUE(TRIM(LEFT('Blind Scoring Sheet'!B996,FIND("|",'Blind Scoring Sheet'!B996)-1)))</f>
        <v/>
      </c>
      <c r="D62" s="49">
        <f>VALUE(TRIM(MID('Blind Scoring Sheet'!B996,FIND("|",'Blind Scoring Sheet'!B996)+1,20)))</f>
        <v/>
      </c>
      <c r="E62" s="67">
        <f>D62-C62</f>
        <v/>
      </c>
      <c r="F62" s="49">
        <f>VALUE(TRIM(LEFT('Blind Scoring Sheet'!D996,FIND("|",'Blind Scoring Sheet'!D996)-1)))</f>
        <v/>
      </c>
      <c r="G62" s="49">
        <f>VALUE(TRIM(MID('Blind Scoring Sheet'!D996,FIND("|",'Blind Scoring Sheet'!D996)+1,20)))</f>
        <v/>
      </c>
      <c r="H62" s="67">
        <f>G62-F62</f>
        <v/>
      </c>
      <c r="I62" s="49">
        <f>VALUE(TRIM(LEFT('Blind Scoring Sheet'!F996,FIND("|",'Blind Scoring Sheet'!F996)-1)))</f>
        <v/>
      </c>
      <c r="J62" s="49">
        <f>VALUE(TRIM(MID('Blind Scoring Sheet'!F996,FIND("|",'Blind Scoring Sheet'!F996)+1,20)))</f>
        <v/>
      </c>
      <c r="K62" s="67">
        <f>J62-I62</f>
        <v/>
      </c>
      <c r="L62" s="49">
        <f>VALUE(TRIM(LEFT('Blind Scoring Sheet'!H996,FIND("|",'Blind Scoring Sheet'!H996)-1)))</f>
        <v/>
      </c>
      <c r="M62" s="49">
        <f>VALUE(TRIM(MID('Blind Scoring Sheet'!H996,FIND("|",'Blind Scoring Sheet'!H996)+1,20)))</f>
        <v/>
      </c>
      <c r="N62" s="67">
        <f>M62-L62</f>
        <v/>
      </c>
      <c r="O62" s="49">
        <f>VALUE(TRIM(LEFT('Blind Scoring Sheet'!J996,FIND("|",'Blind Scoring Sheet'!J996)-1)))</f>
        <v/>
      </c>
      <c r="P62" s="49">
        <f>VALUE(TRIM(MID('Blind Scoring Sheet'!J996,FIND("|",'Blind Scoring Sheet'!J996)+1,20)))</f>
        <v/>
      </c>
      <c r="Q62" s="67">
        <f>P62-O62</f>
        <v/>
      </c>
      <c r="R62" s="67">
        <f>ABS(Q62)</f>
        <v/>
      </c>
      <c r="S62" s="50">
        <f>TRIM(LEFT('Blind Scoring Sheet'!K996,FIND("|",'Blind Scoring Sheet'!K996)-1))</f>
        <v/>
      </c>
      <c r="T62" s="50">
        <f>TRIM(MID('Blind Scoring Sheet'!K996,FIND("|",'Blind Scoring Sheet'!K996)+1,20))</f>
        <v/>
      </c>
      <c r="U62" s="50">
        <f>IF(S62=T62,"No","Yes")</f>
        <v/>
      </c>
      <c r="V62" s="75">
        <f>IF(S62=T62,"— (agree)",S62&amp;" → "&amp;T62)</f>
        <v/>
      </c>
      <c r="W62" s="67">
        <f>R62+ROW()/1000000</f>
        <v/>
      </c>
    </row>
    <row r="63" ht="15" customHeight="1" s="38">
      <c r="A63" s="75" t="inlineStr">
        <is>
          <t>R_0994</t>
        </is>
      </c>
      <c r="B63" s="50" t="n">
        <v>997</v>
      </c>
      <c r="C63" s="49">
        <f>VALUE(TRIM(LEFT('Blind Scoring Sheet'!B997,FIND("|",'Blind Scoring Sheet'!B997)-1)))</f>
        <v/>
      </c>
      <c r="D63" s="49">
        <f>VALUE(TRIM(MID('Blind Scoring Sheet'!B997,FIND("|",'Blind Scoring Sheet'!B997)+1,20)))</f>
        <v/>
      </c>
      <c r="E63" s="67">
        <f>D63-C63</f>
        <v/>
      </c>
      <c r="F63" s="49">
        <f>VALUE(TRIM(LEFT('Blind Scoring Sheet'!D997,FIND("|",'Blind Scoring Sheet'!D997)-1)))</f>
        <v/>
      </c>
      <c r="G63" s="49">
        <f>VALUE(TRIM(MID('Blind Scoring Sheet'!D997,FIND("|",'Blind Scoring Sheet'!D997)+1,20)))</f>
        <v/>
      </c>
      <c r="H63" s="67">
        <f>G63-F63</f>
        <v/>
      </c>
      <c r="I63" s="49">
        <f>VALUE(TRIM(LEFT('Blind Scoring Sheet'!F997,FIND("|",'Blind Scoring Sheet'!F997)-1)))</f>
        <v/>
      </c>
      <c r="J63" s="49">
        <f>VALUE(TRIM(MID('Blind Scoring Sheet'!F997,FIND("|",'Blind Scoring Sheet'!F997)+1,20)))</f>
        <v/>
      </c>
      <c r="K63" s="67">
        <f>J63-I63</f>
        <v/>
      </c>
      <c r="L63" s="49">
        <f>VALUE(TRIM(LEFT('Blind Scoring Sheet'!H997,FIND("|",'Blind Scoring Sheet'!H997)-1)))</f>
        <v/>
      </c>
      <c r="M63" s="49">
        <f>VALUE(TRIM(MID('Blind Scoring Sheet'!H997,FIND("|",'Blind Scoring Sheet'!H997)+1,20)))</f>
        <v/>
      </c>
      <c r="N63" s="67">
        <f>M63-L63</f>
        <v/>
      </c>
      <c r="O63" s="49">
        <f>VALUE(TRIM(LEFT('Blind Scoring Sheet'!J997,FIND("|",'Blind Scoring Sheet'!J997)-1)))</f>
        <v/>
      </c>
      <c r="P63" s="49">
        <f>VALUE(TRIM(MID('Blind Scoring Sheet'!J997,FIND("|",'Blind Scoring Sheet'!J997)+1,20)))</f>
        <v/>
      </c>
      <c r="Q63" s="67">
        <f>P63-O63</f>
        <v/>
      </c>
      <c r="R63" s="67">
        <f>ABS(Q63)</f>
        <v/>
      </c>
      <c r="S63" s="50">
        <f>TRIM(LEFT('Blind Scoring Sheet'!K997,FIND("|",'Blind Scoring Sheet'!K997)-1))</f>
        <v/>
      </c>
      <c r="T63" s="50">
        <f>TRIM(MID('Blind Scoring Sheet'!K997,FIND("|",'Blind Scoring Sheet'!K997)+1,20))</f>
        <v/>
      </c>
      <c r="U63" s="50">
        <f>IF(S63=T63,"No","Yes")</f>
        <v/>
      </c>
      <c r="V63" s="75">
        <f>IF(S63=T63,"— (agree)",S63&amp;" → "&amp;T63)</f>
        <v/>
      </c>
      <c r="W63" s="67">
        <f>R63+ROW()/1000000</f>
        <v/>
      </c>
    </row>
  </sheetData>
  <mergeCells count="2">
    <mergeCell ref="A2:W2"/>
    <mergeCell ref="A1:W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0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359375" defaultRowHeight="15" customHeight="0" zeroHeight="0" outlineLevelRow="0"/>
  <cols>
    <col width="12" customWidth="1" style="37" min="1" max="1"/>
    <col width="9" customWidth="1" style="37" min="2" max="2"/>
    <col width="18" customWidth="1" style="37" min="3" max="3"/>
    <col width="20" customWidth="1" style="37" min="4" max="4"/>
    <col width="18" customWidth="1" style="37" min="5" max="5"/>
    <col width="16" customWidth="1" style="37" min="6" max="7"/>
    <col width="14" customWidth="1" style="37" min="8" max="8"/>
  </cols>
  <sheetData>
    <row r="1" ht="15" customHeight="1" s="38">
      <c r="A1" s="78" t="inlineStr">
        <is>
          <t>DASHBOARD CALC (helper)  |  Auto-generated. Live formulas extract the Gemma3/model score (left of pipe on dual-scored rows) and the strategy for every report. Feeds Analysis Dashboard rows 4-8.</t>
        </is>
      </c>
    </row>
    <row r="3" ht="15" customHeight="1" s="38">
      <c r="A3" s="79" t="inlineStr">
        <is>
          <t>Random_ID</t>
        </is>
      </c>
      <c r="B3" s="79" t="inlineStr">
        <is>
          <t>Strategy</t>
        </is>
      </c>
      <c r="C3" s="79" t="inlineStr">
        <is>
          <t>Gemma3 Actionability</t>
        </is>
      </c>
      <c r="D3" s="79" t="inlineStr">
        <is>
          <t>Gemma3 Analytical Rigor</t>
        </is>
      </c>
      <c r="E3" s="79" t="inlineStr">
        <is>
          <t>Gemma3 Language Appr.</t>
        </is>
      </c>
      <c r="F3" s="79" t="inlineStr">
        <is>
          <t>Gemma3 Structure</t>
        </is>
      </c>
      <c r="G3" s="79" t="inlineStr">
        <is>
          <t>Gemma3 Composite</t>
        </is>
      </c>
      <c r="H3" s="79" t="inlineStr">
        <is>
          <t>Gemma3 Verdict</t>
        </is>
      </c>
    </row>
    <row r="4" ht="15" customHeight="1" s="38">
      <c r="A4" s="80">
        <f>'Blind Scoring Sheet'!A4</f>
        <v/>
      </c>
      <c r="B4" s="80">
        <f>MID(INDEX('Anonymization Key'!$B$4:$B$1003,MATCH(A4,'Anonymization Key'!$A$4:$A$1003,0)),3,2)</f>
        <v/>
      </c>
      <c r="C4" s="81">
        <f>IF(ISNUMBER('Blind Scoring Sheet'!B4),'Blind Scoring Sheet'!B4,VALUE(TRIM(LEFT('Blind Scoring Sheet'!B4,FIND("|",'Blind Scoring Sheet'!B4)-1))))</f>
        <v/>
      </c>
      <c r="D4" s="81">
        <f>IF(ISNUMBER('Blind Scoring Sheet'!D4),'Blind Scoring Sheet'!D4,VALUE(TRIM(LEFT('Blind Scoring Sheet'!D4,FIND("|",'Blind Scoring Sheet'!D4)-1))))</f>
        <v/>
      </c>
      <c r="E4" s="81">
        <f>IF(ISNUMBER('Blind Scoring Sheet'!F4),'Blind Scoring Sheet'!F4,VALUE(TRIM(LEFT('Blind Scoring Sheet'!F4,FIND("|",'Blind Scoring Sheet'!F4)-1))))</f>
        <v/>
      </c>
      <c r="F4" s="81">
        <f>IF(ISNUMBER('Blind Scoring Sheet'!H4),'Blind Scoring Sheet'!H4,VALUE(TRIM(LEFT('Blind Scoring Sheet'!H4,FIND("|",'Blind Scoring Sheet'!H4)-1))))</f>
        <v/>
      </c>
      <c r="G4" s="81">
        <f>IF(ISNUMBER('Blind Scoring Sheet'!J4),'Blind Scoring Sheet'!J4,VALUE(TRIM(LEFT('Blind Scoring Sheet'!J4,FIND("|",'Blind Scoring Sheet'!J4)-1))))</f>
        <v/>
      </c>
      <c r="H4" s="80">
        <f>IF(ISNUMBER(SEARCH("|",'Blind Scoring Sheet'!K4)),TRIM(LEFT('Blind Scoring Sheet'!K4,FIND("|",'Blind Scoring Sheet'!K4)-1)),TRIM('Blind Scoring Sheet'!K4))</f>
        <v/>
      </c>
    </row>
    <row r="5" ht="15" customHeight="1" s="38">
      <c r="A5" s="80">
        <f>'Blind Scoring Sheet'!A5</f>
        <v/>
      </c>
      <c r="B5" s="80">
        <f>MID(INDEX('Anonymization Key'!$B$4:$B$1003,MATCH(A5,'Anonymization Key'!$A$4:$A$1003,0)),3,2)</f>
        <v/>
      </c>
      <c r="C5" s="81">
        <f>IF(ISNUMBER('Blind Scoring Sheet'!B5),'Blind Scoring Sheet'!B5,VALUE(TRIM(LEFT('Blind Scoring Sheet'!B5,FIND("|",'Blind Scoring Sheet'!B5)-1))))</f>
        <v/>
      </c>
      <c r="D5" s="81">
        <f>IF(ISNUMBER('Blind Scoring Sheet'!D5),'Blind Scoring Sheet'!D5,VALUE(TRIM(LEFT('Blind Scoring Sheet'!D5,FIND("|",'Blind Scoring Sheet'!D5)-1))))</f>
        <v/>
      </c>
      <c r="E5" s="81">
        <f>IF(ISNUMBER('Blind Scoring Sheet'!F5),'Blind Scoring Sheet'!F5,VALUE(TRIM(LEFT('Blind Scoring Sheet'!F5,FIND("|",'Blind Scoring Sheet'!F5)-1))))</f>
        <v/>
      </c>
      <c r="F5" s="81">
        <f>IF(ISNUMBER('Blind Scoring Sheet'!H5),'Blind Scoring Sheet'!H5,VALUE(TRIM(LEFT('Blind Scoring Sheet'!H5,FIND("|",'Blind Scoring Sheet'!H5)-1))))</f>
        <v/>
      </c>
      <c r="G5" s="81">
        <f>IF(ISNUMBER('Blind Scoring Sheet'!J5),'Blind Scoring Sheet'!J5,VALUE(TRIM(LEFT('Blind Scoring Sheet'!J5,FIND("|",'Blind Scoring Sheet'!J5)-1))))</f>
        <v/>
      </c>
      <c r="H5" s="80">
        <f>IF(ISNUMBER(SEARCH("|",'Blind Scoring Sheet'!K5)),TRIM(LEFT('Blind Scoring Sheet'!K5,FIND("|",'Blind Scoring Sheet'!K5)-1)),TRIM('Blind Scoring Sheet'!K5))</f>
        <v/>
      </c>
    </row>
    <row r="6" ht="15" customHeight="1" s="38">
      <c r="A6" s="80">
        <f>'Blind Scoring Sheet'!A6</f>
        <v/>
      </c>
      <c r="B6" s="80">
        <f>MID(INDEX('Anonymization Key'!$B$4:$B$1003,MATCH(A6,'Anonymization Key'!$A$4:$A$1003,0)),3,2)</f>
        <v/>
      </c>
      <c r="C6" s="81">
        <f>IF(ISNUMBER('Blind Scoring Sheet'!B6),'Blind Scoring Sheet'!B6,VALUE(TRIM(LEFT('Blind Scoring Sheet'!B6,FIND("|",'Blind Scoring Sheet'!B6)-1))))</f>
        <v/>
      </c>
      <c r="D6" s="81">
        <f>IF(ISNUMBER('Blind Scoring Sheet'!D6),'Blind Scoring Sheet'!D6,VALUE(TRIM(LEFT('Blind Scoring Sheet'!D6,FIND("|",'Blind Scoring Sheet'!D6)-1))))</f>
        <v/>
      </c>
      <c r="E6" s="81">
        <f>IF(ISNUMBER('Blind Scoring Sheet'!F6),'Blind Scoring Sheet'!F6,VALUE(TRIM(LEFT('Blind Scoring Sheet'!F6,FIND("|",'Blind Scoring Sheet'!F6)-1))))</f>
        <v/>
      </c>
      <c r="F6" s="81">
        <f>IF(ISNUMBER('Blind Scoring Sheet'!H6),'Blind Scoring Sheet'!H6,VALUE(TRIM(LEFT('Blind Scoring Sheet'!H6,FIND("|",'Blind Scoring Sheet'!H6)-1))))</f>
        <v/>
      </c>
      <c r="G6" s="81">
        <f>IF(ISNUMBER('Blind Scoring Sheet'!J6),'Blind Scoring Sheet'!J6,VALUE(TRIM(LEFT('Blind Scoring Sheet'!J6,FIND("|",'Blind Scoring Sheet'!J6)-1))))</f>
        <v/>
      </c>
      <c r="H6" s="80">
        <f>IF(ISNUMBER(SEARCH("|",'Blind Scoring Sheet'!K6)),TRIM(LEFT('Blind Scoring Sheet'!K6,FIND("|",'Blind Scoring Sheet'!K6)-1)),TRIM('Blind Scoring Sheet'!K6))</f>
        <v/>
      </c>
    </row>
    <row r="7" ht="15" customHeight="1" s="38">
      <c r="A7" s="80">
        <f>'Blind Scoring Sheet'!A7</f>
        <v/>
      </c>
      <c r="B7" s="80">
        <f>MID(INDEX('Anonymization Key'!$B$4:$B$1003,MATCH(A7,'Anonymization Key'!$A$4:$A$1003,0)),3,2)</f>
        <v/>
      </c>
      <c r="C7" s="81">
        <f>IF(ISNUMBER('Blind Scoring Sheet'!B7),'Blind Scoring Sheet'!B7,VALUE(TRIM(LEFT('Blind Scoring Sheet'!B7,FIND("|",'Blind Scoring Sheet'!B7)-1))))</f>
        <v/>
      </c>
      <c r="D7" s="81">
        <f>IF(ISNUMBER('Blind Scoring Sheet'!D7),'Blind Scoring Sheet'!D7,VALUE(TRIM(LEFT('Blind Scoring Sheet'!D7,FIND("|",'Blind Scoring Sheet'!D7)-1))))</f>
        <v/>
      </c>
      <c r="E7" s="81">
        <f>IF(ISNUMBER('Blind Scoring Sheet'!F7),'Blind Scoring Sheet'!F7,VALUE(TRIM(LEFT('Blind Scoring Sheet'!F7,FIND("|",'Blind Scoring Sheet'!F7)-1))))</f>
        <v/>
      </c>
      <c r="F7" s="81">
        <f>IF(ISNUMBER('Blind Scoring Sheet'!H7),'Blind Scoring Sheet'!H7,VALUE(TRIM(LEFT('Blind Scoring Sheet'!H7,FIND("|",'Blind Scoring Sheet'!H7)-1))))</f>
        <v/>
      </c>
      <c r="G7" s="81">
        <f>IF(ISNUMBER('Blind Scoring Sheet'!J7),'Blind Scoring Sheet'!J7,VALUE(TRIM(LEFT('Blind Scoring Sheet'!J7,FIND("|",'Blind Scoring Sheet'!J7)-1))))</f>
        <v/>
      </c>
      <c r="H7" s="80">
        <f>IF(ISNUMBER(SEARCH("|",'Blind Scoring Sheet'!K7)),TRIM(LEFT('Blind Scoring Sheet'!K7,FIND("|",'Blind Scoring Sheet'!K7)-1)),TRIM('Blind Scoring Sheet'!K7))</f>
        <v/>
      </c>
    </row>
    <row r="8" ht="15" customHeight="1" s="38">
      <c r="A8" s="80">
        <f>'Blind Scoring Sheet'!A8</f>
        <v/>
      </c>
      <c r="B8" s="80">
        <f>MID(INDEX('Anonymization Key'!$B$4:$B$1003,MATCH(A8,'Anonymization Key'!$A$4:$A$1003,0)),3,2)</f>
        <v/>
      </c>
      <c r="C8" s="81">
        <f>IF(ISNUMBER('Blind Scoring Sheet'!B8),'Blind Scoring Sheet'!B8,VALUE(TRIM(LEFT('Blind Scoring Sheet'!B8,FIND("|",'Blind Scoring Sheet'!B8)-1))))</f>
        <v/>
      </c>
      <c r="D8" s="81">
        <f>IF(ISNUMBER('Blind Scoring Sheet'!D8),'Blind Scoring Sheet'!D8,VALUE(TRIM(LEFT('Blind Scoring Sheet'!D8,FIND("|",'Blind Scoring Sheet'!D8)-1))))</f>
        <v/>
      </c>
      <c r="E8" s="81">
        <f>IF(ISNUMBER('Blind Scoring Sheet'!F8),'Blind Scoring Sheet'!F8,VALUE(TRIM(LEFT('Blind Scoring Sheet'!F8,FIND("|",'Blind Scoring Sheet'!F8)-1))))</f>
        <v/>
      </c>
      <c r="F8" s="81">
        <f>IF(ISNUMBER('Blind Scoring Sheet'!H8),'Blind Scoring Sheet'!H8,VALUE(TRIM(LEFT('Blind Scoring Sheet'!H8,FIND("|",'Blind Scoring Sheet'!H8)-1))))</f>
        <v/>
      </c>
      <c r="G8" s="81">
        <f>IF(ISNUMBER('Blind Scoring Sheet'!J8),'Blind Scoring Sheet'!J8,VALUE(TRIM(LEFT('Blind Scoring Sheet'!J8,FIND("|",'Blind Scoring Sheet'!J8)-1))))</f>
        <v/>
      </c>
      <c r="H8" s="80">
        <f>IF(ISNUMBER(SEARCH("|",'Blind Scoring Sheet'!K8)),TRIM(LEFT('Blind Scoring Sheet'!K8,FIND("|",'Blind Scoring Sheet'!K8)-1)),TRIM('Blind Scoring Sheet'!K8))</f>
        <v/>
      </c>
    </row>
    <row r="9" ht="15" customHeight="1" s="38">
      <c r="A9" s="80">
        <f>'Blind Scoring Sheet'!A9</f>
        <v/>
      </c>
      <c r="B9" s="80">
        <f>MID(INDEX('Anonymization Key'!$B$4:$B$1003,MATCH(A9,'Anonymization Key'!$A$4:$A$1003,0)),3,2)</f>
        <v/>
      </c>
      <c r="C9" s="81">
        <f>IF(ISNUMBER('Blind Scoring Sheet'!B9),'Blind Scoring Sheet'!B9,VALUE(TRIM(LEFT('Blind Scoring Sheet'!B9,FIND("|",'Blind Scoring Sheet'!B9)-1))))</f>
        <v/>
      </c>
      <c r="D9" s="81">
        <f>IF(ISNUMBER('Blind Scoring Sheet'!D9),'Blind Scoring Sheet'!D9,VALUE(TRIM(LEFT('Blind Scoring Sheet'!D9,FIND("|",'Blind Scoring Sheet'!D9)-1))))</f>
        <v/>
      </c>
      <c r="E9" s="81">
        <f>IF(ISNUMBER('Blind Scoring Sheet'!F9),'Blind Scoring Sheet'!F9,VALUE(TRIM(LEFT('Blind Scoring Sheet'!F9,FIND("|",'Blind Scoring Sheet'!F9)-1))))</f>
        <v/>
      </c>
      <c r="F9" s="81">
        <f>IF(ISNUMBER('Blind Scoring Sheet'!H9),'Blind Scoring Sheet'!H9,VALUE(TRIM(LEFT('Blind Scoring Sheet'!H9,FIND("|",'Blind Scoring Sheet'!H9)-1))))</f>
        <v/>
      </c>
      <c r="G9" s="81">
        <f>IF(ISNUMBER('Blind Scoring Sheet'!J9),'Blind Scoring Sheet'!J9,VALUE(TRIM(LEFT('Blind Scoring Sheet'!J9,FIND("|",'Blind Scoring Sheet'!J9)-1))))</f>
        <v/>
      </c>
      <c r="H9" s="80">
        <f>IF(ISNUMBER(SEARCH("|",'Blind Scoring Sheet'!K9)),TRIM(LEFT('Blind Scoring Sheet'!K9,FIND("|",'Blind Scoring Sheet'!K9)-1)),TRIM('Blind Scoring Sheet'!K9))</f>
        <v/>
      </c>
    </row>
    <row r="10" ht="15" customHeight="1" s="38">
      <c r="A10" s="80">
        <f>'Blind Scoring Sheet'!A10</f>
        <v/>
      </c>
      <c r="B10" s="80">
        <f>MID(INDEX('Anonymization Key'!$B$4:$B$1003,MATCH(A10,'Anonymization Key'!$A$4:$A$1003,0)),3,2)</f>
        <v/>
      </c>
      <c r="C10" s="81">
        <f>IF(ISNUMBER('Blind Scoring Sheet'!B10),'Blind Scoring Sheet'!B10,VALUE(TRIM(LEFT('Blind Scoring Sheet'!B10,FIND("|",'Blind Scoring Sheet'!B10)-1))))</f>
        <v/>
      </c>
      <c r="D10" s="81">
        <f>IF(ISNUMBER('Blind Scoring Sheet'!D10),'Blind Scoring Sheet'!D10,VALUE(TRIM(LEFT('Blind Scoring Sheet'!D10,FIND("|",'Blind Scoring Sheet'!D10)-1))))</f>
        <v/>
      </c>
      <c r="E10" s="81">
        <f>IF(ISNUMBER('Blind Scoring Sheet'!F10),'Blind Scoring Sheet'!F10,VALUE(TRIM(LEFT('Blind Scoring Sheet'!F10,FIND("|",'Blind Scoring Sheet'!F10)-1))))</f>
        <v/>
      </c>
      <c r="F10" s="81">
        <f>IF(ISNUMBER('Blind Scoring Sheet'!H10),'Blind Scoring Sheet'!H10,VALUE(TRIM(LEFT('Blind Scoring Sheet'!H10,FIND("|",'Blind Scoring Sheet'!H10)-1))))</f>
        <v/>
      </c>
      <c r="G10" s="81">
        <f>IF(ISNUMBER('Blind Scoring Sheet'!J10),'Blind Scoring Sheet'!J10,VALUE(TRIM(LEFT('Blind Scoring Sheet'!J10,FIND("|",'Blind Scoring Sheet'!J10)-1))))</f>
        <v/>
      </c>
      <c r="H10" s="80">
        <f>IF(ISNUMBER(SEARCH("|",'Blind Scoring Sheet'!K10)),TRIM(LEFT('Blind Scoring Sheet'!K10,FIND("|",'Blind Scoring Sheet'!K10)-1)),TRIM('Blind Scoring Sheet'!K10))</f>
        <v/>
      </c>
    </row>
    <row r="11" ht="15" customHeight="1" s="38">
      <c r="A11" s="80">
        <f>'Blind Scoring Sheet'!A11</f>
        <v/>
      </c>
      <c r="B11" s="80">
        <f>MID(INDEX('Anonymization Key'!$B$4:$B$1003,MATCH(A11,'Anonymization Key'!$A$4:$A$1003,0)),3,2)</f>
        <v/>
      </c>
      <c r="C11" s="81">
        <f>IF(ISNUMBER('Blind Scoring Sheet'!B11),'Blind Scoring Sheet'!B11,VALUE(TRIM(LEFT('Blind Scoring Sheet'!B11,FIND("|",'Blind Scoring Sheet'!B11)-1))))</f>
        <v/>
      </c>
      <c r="D11" s="81">
        <f>IF(ISNUMBER('Blind Scoring Sheet'!D11),'Blind Scoring Sheet'!D11,VALUE(TRIM(LEFT('Blind Scoring Sheet'!D11,FIND("|",'Blind Scoring Sheet'!D11)-1))))</f>
        <v/>
      </c>
      <c r="E11" s="81">
        <f>IF(ISNUMBER('Blind Scoring Sheet'!F11),'Blind Scoring Sheet'!F11,VALUE(TRIM(LEFT('Blind Scoring Sheet'!F11,FIND("|",'Blind Scoring Sheet'!F11)-1))))</f>
        <v/>
      </c>
      <c r="F11" s="81">
        <f>IF(ISNUMBER('Blind Scoring Sheet'!H11),'Blind Scoring Sheet'!H11,VALUE(TRIM(LEFT('Blind Scoring Sheet'!H11,FIND("|",'Blind Scoring Sheet'!H11)-1))))</f>
        <v/>
      </c>
      <c r="G11" s="81">
        <f>IF(ISNUMBER('Blind Scoring Sheet'!J11),'Blind Scoring Sheet'!J11,VALUE(TRIM(LEFT('Blind Scoring Sheet'!J11,FIND("|",'Blind Scoring Sheet'!J11)-1))))</f>
        <v/>
      </c>
      <c r="H11" s="80">
        <f>IF(ISNUMBER(SEARCH("|",'Blind Scoring Sheet'!K11)),TRIM(LEFT('Blind Scoring Sheet'!K11,FIND("|",'Blind Scoring Sheet'!K11)-1)),TRIM('Blind Scoring Sheet'!K11))</f>
        <v/>
      </c>
    </row>
    <row r="12" ht="15" customHeight="1" s="38">
      <c r="A12" s="80">
        <f>'Blind Scoring Sheet'!A12</f>
        <v/>
      </c>
      <c r="B12" s="80">
        <f>MID(INDEX('Anonymization Key'!$B$4:$B$1003,MATCH(A12,'Anonymization Key'!$A$4:$A$1003,0)),3,2)</f>
        <v/>
      </c>
      <c r="C12" s="81">
        <f>IF(ISNUMBER('Blind Scoring Sheet'!B12),'Blind Scoring Sheet'!B12,VALUE(TRIM(LEFT('Blind Scoring Sheet'!B12,FIND("|",'Blind Scoring Sheet'!B12)-1))))</f>
        <v/>
      </c>
      <c r="D12" s="81">
        <f>IF(ISNUMBER('Blind Scoring Sheet'!D12),'Blind Scoring Sheet'!D12,VALUE(TRIM(LEFT('Blind Scoring Sheet'!D12,FIND("|",'Blind Scoring Sheet'!D12)-1))))</f>
        <v/>
      </c>
      <c r="E12" s="81">
        <f>IF(ISNUMBER('Blind Scoring Sheet'!F12),'Blind Scoring Sheet'!F12,VALUE(TRIM(LEFT('Blind Scoring Sheet'!F12,FIND("|",'Blind Scoring Sheet'!F12)-1))))</f>
        <v/>
      </c>
      <c r="F12" s="81">
        <f>IF(ISNUMBER('Blind Scoring Sheet'!H12),'Blind Scoring Sheet'!H12,VALUE(TRIM(LEFT('Blind Scoring Sheet'!H12,FIND("|",'Blind Scoring Sheet'!H12)-1))))</f>
        <v/>
      </c>
      <c r="G12" s="81">
        <f>IF(ISNUMBER('Blind Scoring Sheet'!J12),'Blind Scoring Sheet'!J12,VALUE(TRIM(LEFT('Blind Scoring Sheet'!J12,FIND("|",'Blind Scoring Sheet'!J12)-1))))</f>
        <v/>
      </c>
      <c r="H12" s="80">
        <f>IF(ISNUMBER(SEARCH("|",'Blind Scoring Sheet'!K12)),TRIM(LEFT('Blind Scoring Sheet'!K12,FIND("|",'Blind Scoring Sheet'!K12)-1)),TRIM('Blind Scoring Sheet'!K12))</f>
        <v/>
      </c>
    </row>
    <row r="13" ht="15" customHeight="1" s="38">
      <c r="A13" s="80">
        <f>'Blind Scoring Sheet'!A13</f>
        <v/>
      </c>
      <c r="B13" s="80">
        <f>MID(INDEX('Anonymization Key'!$B$4:$B$1003,MATCH(A13,'Anonymization Key'!$A$4:$A$1003,0)),3,2)</f>
        <v/>
      </c>
      <c r="C13" s="81">
        <f>IF(ISNUMBER('Blind Scoring Sheet'!B13),'Blind Scoring Sheet'!B13,VALUE(TRIM(LEFT('Blind Scoring Sheet'!B13,FIND("|",'Blind Scoring Sheet'!B13)-1))))</f>
        <v/>
      </c>
      <c r="D13" s="81">
        <f>IF(ISNUMBER('Blind Scoring Sheet'!D13),'Blind Scoring Sheet'!D13,VALUE(TRIM(LEFT('Blind Scoring Sheet'!D13,FIND("|",'Blind Scoring Sheet'!D13)-1))))</f>
        <v/>
      </c>
      <c r="E13" s="81">
        <f>IF(ISNUMBER('Blind Scoring Sheet'!F13),'Blind Scoring Sheet'!F13,VALUE(TRIM(LEFT('Blind Scoring Sheet'!F13,FIND("|",'Blind Scoring Sheet'!F13)-1))))</f>
        <v/>
      </c>
      <c r="F13" s="81">
        <f>IF(ISNUMBER('Blind Scoring Sheet'!H13),'Blind Scoring Sheet'!H13,VALUE(TRIM(LEFT('Blind Scoring Sheet'!H13,FIND("|",'Blind Scoring Sheet'!H13)-1))))</f>
        <v/>
      </c>
      <c r="G13" s="81">
        <f>IF(ISNUMBER('Blind Scoring Sheet'!J13),'Blind Scoring Sheet'!J13,VALUE(TRIM(LEFT('Blind Scoring Sheet'!J13,FIND("|",'Blind Scoring Sheet'!J13)-1))))</f>
        <v/>
      </c>
      <c r="H13" s="80">
        <f>IF(ISNUMBER(SEARCH("|",'Blind Scoring Sheet'!K13)),TRIM(LEFT('Blind Scoring Sheet'!K13,FIND("|",'Blind Scoring Sheet'!K13)-1)),TRIM('Blind Scoring Sheet'!K13))</f>
        <v/>
      </c>
    </row>
    <row r="14" ht="15" customHeight="1" s="38">
      <c r="A14" s="80">
        <f>'Blind Scoring Sheet'!A14</f>
        <v/>
      </c>
      <c r="B14" s="80">
        <f>MID(INDEX('Anonymization Key'!$B$4:$B$1003,MATCH(A14,'Anonymization Key'!$A$4:$A$1003,0)),3,2)</f>
        <v/>
      </c>
      <c r="C14" s="81">
        <f>IF(ISNUMBER('Blind Scoring Sheet'!B14),'Blind Scoring Sheet'!B14,VALUE(TRIM(LEFT('Blind Scoring Sheet'!B14,FIND("|",'Blind Scoring Sheet'!B14)-1))))</f>
        <v/>
      </c>
      <c r="D14" s="81">
        <f>IF(ISNUMBER('Blind Scoring Sheet'!D14),'Blind Scoring Sheet'!D14,VALUE(TRIM(LEFT('Blind Scoring Sheet'!D14,FIND("|",'Blind Scoring Sheet'!D14)-1))))</f>
        <v/>
      </c>
      <c r="E14" s="81">
        <f>IF(ISNUMBER('Blind Scoring Sheet'!F14),'Blind Scoring Sheet'!F14,VALUE(TRIM(LEFT('Blind Scoring Sheet'!F14,FIND("|",'Blind Scoring Sheet'!F14)-1))))</f>
        <v/>
      </c>
      <c r="F14" s="81">
        <f>IF(ISNUMBER('Blind Scoring Sheet'!H14),'Blind Scoring Sheet'!H14,VALUE(TRIM(LEFT('Blind Scoring Sheet'!H14,FIND("|",'Blind Scoring Sheet'!H14)-1))))</f>
        <v/>
      </c>
      <c r="G14" s="81">
        <f>IF(ISNUMBER('Blind Scoring Sheet'!J14),'Blind Scoring Sheet'!J14,VALUE(TRIM(LEFT('Blind Scoring Sheet'!J14,FIND("|",'Blind Scoring Sheet'!J14)-1))))</f>
        <v/>
      </c>
      <c r="H14" s="80">
        <f>IF(ISNUMBER(SEARCH("|",'Blind Scoring Sheet'!K14)),TRIM(LEFT('Blind Scoring Sheet'!K14,FIND("|",'Blind Scoring Sheet'!K14)-1)),TRIM('Blind Scoring Sheet'!K14))</f>
        <v/>
      </c>
    </row>
    <row r="15" ht="15" customHeight="1" s="38">
      <c r="A15" s="80">
        <f>'Blind Scoring Sheet'!A15</f>
        <v/>
      </c>
      <c r="B15" s="80">
        <f>MID(INDEX('Anonymization Key'!$B$4:$B$1003,MATCH(A15,'Anonymization Key'!$A$4:$A$1003,0)),3,2)</f>
        <v/>
      </c>
      <c r="C15" s="81">
        <f>IF(ISNUMBER('Blind Scoring Sheet'!B15),'Blind Scoring Sheet'!B15,VALUE(TRIM(LEFT('Blind Scoring Sheet'!B15,FIND("|",'Blind Scoring Sheet'!B15)-1))))</f>
        <v/>
      </c>
      <c r="D15" s="81">
        <f>IF(ISNUMBER('Blind Scoring Sheet'!D15),'Blind Scoring Sheet'!D15,VALUE(TRIM(LEFT('Blind Scoring Sheet'!D15,FIND("|",'Blind Scoring Sheet'!D15)-1))))</f>
        <v/>
      </c>
      <c r="E15" s="81">
        <f>IF(ISNUMBER('Blind Scoring Sheet'!F15),'Blind Scoring Sheet'!F15,VALUE(TRIM(LEFT('Blind Scoring Sheet'!F15,FIND("|",'Blind Scoring Sheet'!F15)-1))))</f>
        <v/>
      </c>
      <c r="F15" s="81">
        <f>IF(ISNUMBER('Blind Scoring Sheet'!H15),'Blind Scoring Sheet'!H15,VALUE(TRIM(LEFT('Blind Scoring Sheet'!H15,FIND("|",'Blind Scoring Sheet'!H15)-1))))</f>
        <v/>
      </c>
      <c r="G15" s="81">
        <f>IF(ISNUMBER('Blind Scoring Sheet'!J15),'Blind Scoring Sheet'!J15,VALUE(TRIM(LEFT('Blind Scoring Sheet'!J15,FIND("|",'Blind Scoring Sheet'!J15)-1))))</f>
        <v/>
      </c>
      <c r="H15" s="80">
        <f>IF(ISNUMBER(SEARCH("|",'Blind Scoring Sheet'!K15)),TRIM(LEFT('Blind Scoring Sheet'!K15,FIND("|",'Blind Scoring Sheet'!K15)-1)),TRIM('Blind Scoring Sheet'!K15))</f>
        <v/>
      </c>
    </row>
    <row r="16" ht="15" customHeight="1" s="38">
      <c r="A16" s="80">
        <f>'Blind Scoring Sheet'!A16</f>
        <v/>
      </c>
      <c r="B16" s="80">
        <f>MID(INDEX('Anonymization Key'!$B$4:$B$1003,MATCH(A16,'Anonymization Key'!$A$4:$A$1003,0)),3,2)</f>
        <v/>
      </c>
      <c r="C16" s="81">
        <f>IF(ISNUMBER('Blind Scoring Sheet'!B16),'Blind Scoring Sheet'!B16,VALUE(TRIM(LEFT('Blind Scoring Sheet'!B16,FIND("|",'Blind Scoring Sheet'!B16)-1))))</f>
        <v/>
      </c>
      <c r="D16" s="81">
        <f>IF(ISNUMBER('Blind Scoring Sheet'!D16),'Blind Scoring Sheet'!D16,VALUE(TRIM(LEFT('Blind Scoring Sheet'!D16,FIND("|",'Blind Scoring Sheet'!D16)-1))))</f>
        <v/>
      </c>
      <c r="E16" s="81">
        <f>IF(ISNUMBER('Blind Scoring Sheet'!F16),'Blind Scoring Sheet'!F16,VALUE(TRIM(LEFT('Blind Scoring Sheet'!F16,FIND("|",'Blind Scoring Sheet'!F16)-1))))</f>
        <v/>
      </c>
      <c r="F16" s="81">
        <f>IF(ISNUMBER('Blind Scoring Sheet'!H16),'Blind Scoring Sheet'!H16,VALUE(TRIM(LEFT('Blind Scoring Sheet'!H16,FIND("|",'Blind Scoring Sheet'!H16)-1))))</f>
        <v/>
      </c>
      <c r="G16" s="81">
        <f>IF(ISNUMBER('Blind Scoring Sheet'!J16),'Blind Scoring Sheet'!J16,VALUE(TRIM(LEFT('Blind Scoring Sheet'!J16,FIND("|",'Blind Scoring Sheet'!J16)-1))))</f>
        <v/>
      </c>
      <c r="H16" s="80">
        <f>IF(ISNUMBER(SEARCH("|",'Blind Scoring Sheet'!K16)),TRIM(LEFT('Blind Scoring Sheet'!K16,FIND("|",'Blind Scoring Sheet'!K16)-1)),TRIM('Blind Scoring Sheet'!K16))</f>
        <v/>
      </c>
    </row>
    <row r="17" ht="15" customHeight="1" s="38">
      <c r="A17" s="80">
        <f>'Blind Scoring Sheet'!A17</f>
        <v/>
      </c>
      <c r="B17" s="80">
        <f>MID(INDEX('Anonymization Key'!$B$4:$B$1003,MATCH(A17,'Anonymization Key'!$A$4:$A$1003,0)),3,2)</f>
        <v/>
      </c>
      <c r="C17" s="81">
        <f>IF(ISNUMBER('Blind Scoring Sheet'!B17),'Blind Scoring Sheet'!B17,VALUE(TRIM(LEFT('Blind Scoring Sheet'!B17,FIND("|",'Blind Scoring Sheet'!B17)-1))))</f>
        <v/>
      </c>
      <c r="D17" s="81">
        <f>IF(ISNUMBER('Blind Scoring Sheet'!D17),'Blind Scoring Sheet'!D17,VALUE(TRIM(LEFT('Blind Scoring Sheet'!D17,FIND("|",'Blind Scoring Sheet'!D17)-1))))</f>
        <v/>
      </c>
      <c r="E17" s="81">
        <f>IF(ISNUMBER('Blind Scoring Sheet'!F17),'Blind Scoring Sheet'!F17,VALUE(TRIM(LEFT('Blind Scoring Sheet'!F17,FIND("|",'Blind Scoring Sheet'!F17)-1))))</f>
        <v/>
      </c>
      <c r="F17" s="81">
        <f>IF(ISNUMBER('Blind Scoring Sheet'!H17),'Blind Scoring Sheet'!H17,VALUE(TRIM(LEFT('Blind Scoring Sheet'!H17,FIND("|",'Blind Scoring Sheet'!H17)-1))))</f>
        <v/>
      </c>
      <c r="G17" s="81">
        <f>IF(ISNUMBER('Blind Scoring Sheet'!J17),'Blind Scoring Sheet'!J17,VALUE(TRIM(LEFT('Blind Scoring Sheet'!J17,FIND("|",'Blind Scoring Sheet'!J17)-1))))</f>
        <v/>
      </c>
      <c r="H17" s="80">
        <f>IF(ISNUMBER(SEARCH("|",'Blind Scoring Sheet'!K17)),TRIM(LEFT('Blind Scoring Sheet'!K17,FIND("|",'Blind Scoring Sheet'!K17)-1)),TRIM('Blind Scoring Sheet'!K17))</f>
        <v/>
      </c>
    </row>
    <row r="18" ht="15" customHeight="1" s="38">
      <c r="A18" s="80">
        <f>'Blind Scoring Sheet'!A18</f>
        <v/>
      </c>
      <c r="B18" s="80">
        <f>MID(INDEX('Anonymization Key'!$B$4:$B$1003,MATCH(A18,'Anonymization Key'!$A$4:$A$1003,0)),3,2)</f>
        <v/>
      </c>
      <c r="C18" s="81">
        <f>IF(ISNUMBER('Blind Scoring Sheet'!B18),'Blind Scoring Sheet'!B18,VALUE(TRIM(LEFT('Blind Scoring Sheet'!B18,FIND("|",'Blind Scoring Sheet'!B18)-1))))</f>
        <v/>
      </c>
      <c r="D18" s="81">
        <f>IF(ISNUMBER('Blind Scoring Sheet'!D18),'Blind Scoring Sheet'!D18,VALUE(TRIM(LEFT('Blind Scoring Sheet'!D18,FIND("|",'Blind Scoring Sheet'!D18)-1))))</f>
        <v/>
      </c>
      <c r="E18" s="81">
        <f>IF(ISNUMBER('Blind Scoring Sheet'!F18),'Blind Scoring Sheet'!F18,VALUE(TRIM(LEFT('Blind Scoring Sheet'!F18,FIND("|",'Blind Scoring Sheet'!F18)-1))))</f>
        <v/>
      </c>
      <c r="F18" s="81">
        <f>IF(ISNUMBER('Blind Scoring Sheet'!H18),'Blind Scoring Sheet'!H18,VALUE(TRIM(LEFT('Blind Scoring Sheet'!H18,FIND("|",'Blind Scoring Sheet'!H18)-1))))</f>
        <v/>
      </c>
      <c r="G18" s="81">
        <f>IF(ISNUMBER('Blind Scoring Sheet'!J18),'Blind Scoring Sheet'!J18,VALUE(TRIM(LEFT('Blind Scoring Sheet'!J18,FIND("|",'Blind Scoring Sheet'!J18)-1))))</f>
        <v/>
      </c>
      <c r="H18" s="80">
        <f>IF(ISNUMBER(SEARCH("|",'Blind Scoring Sheet'!K18)),TRIM(LEFT('Blind Scoring Sheet'!K18,FIND("|",'Blind Scoring Sheet'!K18)-1)),TRIM('Blind Scoring Sheet'!K18))</f>
        <v/>
      </c>
    </row>
    <row r="19" ht="15" customHeight="1" s="38">
      <c r="A19" s="80">
        <f>'Blind Scoring Sheet'!A19</f>
        <v/>
      </c>
      <c r="B19" s="80">
        <f>MID(INDEX('Anonymization Key'!$B$4:$B$1003,MATCH(A19,'Anonymization Key'!$A$4:$A$1003,0)),3,2)</f>
        <v/>
      </c>
      <c r="C19" s="81">
        <f>IF(ISNUMBER('Blind Scoring Sheet'!B19),'Blind Scoring Sheet'!B19,VALUE(TRIM(LEFT('Blind Scoring Sheet'!B19,FIND("|",'Blind Scoring Sheet'!B19)-1))))</f>
        <v/>
      </c>
      <c r="D19" s="81">
        <f>IF(ISNUMBER('Blind Scoring Sheet'!D19),'Blind Scoring Sheet'!D19,VALUE(TRIM(LEFT('Blind Scoring Sheet'!D19,FIND("|",'Blind Scoring Sheet'!D19)-1))))</f>
        <v/>
      </c>
      <c r="E19" s="81">
        <f>IF(ISNUMBER('Blind Scoring Sheet'!F19),'Blind Scoring Sheet'!F19,VALUE(TRIM(LEFT('Blind Scoring Sheet'!F19,FIND("|",'Blind Scoring Sheet'!F19)-1))))</f>
        <v/>
      </c>
      <c r="F19" s="81">
        <f>IF(ISNUMBER('Blind Scoring Sheet'!H19),'Blind Scoring Sheet'!H19,VALUE(TRIM(LEFT('Blind Scoring Sheet'!H19,FIND("|",'Blind Scoring Sheet'!H19)-1))))</f>
        <v/>
      </c>
      <c r="G19" s="81">
        <f>IF(ISNUMBER('Blind Scoring Sheet'!J19),'Blind Scoring Sheet'!J19,VALUE(TRIM(LEFT('Blind Scoring Sheet'!J19,FIND("|",'Blind Scoring Sheet'!J19)-1))))</f>
        <v/>
      </c>
      <c r="H19" s="80">
        <f>IF(ISNUMBER(SEARCH("|",'Blind Scoring Sheet'!K19)),TRIM(LEFT('Blind Scoring Sheet'!K19,FIND("|",'Blind Scoring Sheet'!K19)-1)),TRIM('Blind Scoring Sheet'!K19))</f>
        <v/>
      </c>
    </row>
    <row r="20" ht="15" customHeight="1" s="38">
      <c r="A20" s="80">
        <f>'Blind Scoring Sheet'!A20</f>
        <v/>
      </c>
      <c r="B20" s="80">
        <f>MID(INDEX('Anonymization Key'!$B$4:$B$1003,MATCH(A20,'Anonymization Key'!$A$4:$A$1003,0)),3,2)</f>
        <v/>
      </c>
      <c r="C20" s="81">
        <f>IF(ISNUMBER('Blind Scoring Sheet'!B20),'Blind Scoring Sheet'!B20,VALUE(TRIM(LEFT('Blind Scoring Sheet'!B20,FIND("|",'Blind Scoring Sheet'!B20)-1))))</f>
        <v/>
      </c>
      <c r="D20" s="81">
        <f>IF(ISNUMBER('Blind Scoring Sheet'!D20),'Blind Scoring Sheet'!D20,VALUE(TRIM(LEFT('Blind Scoring Sheet'!D20,FIND("|",'Blind Scoring Sheet'!D20)-1))))</f>
        <v/>
      </c>
      <c r="E20" s="81">
        <f>IF(ISNUMBER('Blind Scoring Sheet'!F20),'Blind Scoring Sheet'!F20,VALUE(TRIM(LEFT('Blind Scoring Sheet'!F20,FIND("|",'Blind Scoring Sheet'!F20)-1))))</f>
        <v/>
      </c>
      <c r="F20" s="81">
        <f>IF(ISNUMBER('Blind Scoring Sheet'!H20),'Blind Scoring Sheet'!H20,VALUE(TRIM(LEFT('Blind Scoring Sheet'!H20,FIND("|",'Blind Scoring Sheet'!H20)-1))))</f>
        <v/>
      </c>
      <c r="G20" s="81">
        <f>IF(ISNUMBER('Blind Scoring Sheet'!J20),'Blind Scoring Sheet'!J20,VALUE(TRIM(LEFT('Blind Scoring Sheet'!J20,FIND("|",'Blind Scoring Sheet'!J20)-1))))</f>
        <v/>
      </c>
      <c r="H20" s="80">
        <f>IF(ISNUMBER(SEARCH("|",'Blind Scoring Sheet'!K20)),TRIM(LEFT('Blind Scoring Sheet'!K20,FIND("|",'Blind Scoring Sheet'!K20)-1)),TRIM('Blind Scoring Sheet'!K20))</f>
        <v/>
      </c>
    </row>
    <row r="21" ht="15" customHeight="1" s="38">
      <c r="A21" s="80">
        <f>'Blind Scoring Sheet'!A21</f>
        <v/>
      </c>
      <c r="B21" s="80">
        <f>MID(INDEX('Anonymization Key'!$B$4:$B$1003,MATCH(A21,'Anonymization Key'!$A$4:$A$1003,0)),3,2)</f>
        <v/>
      </c>
      <c r="C21" s="81">
        <f>IF(ISNUMBER('Blind Scoring Sheet'!B21),'Blind Scoring Sheet'!B21,VALUE(TRIM(LEFT('Blind Scoring Sheet'!B21,FIND("|",'Blind Scoring Sheet'!B21)-1))))</f>
        <v/>
      </c>
      <c r="D21" s="81">
        <f>IF(ISNUMBER('Blind Scoring Sheet'!D21),'Blind Scoring Sheet'!D21,VALUE(TRIM(LEFT('Blind Scoring Sheet'!D21,FIND("|",'Blind Scoring Sheet'!D21)-1))))</f>
        <v/>
      </c>
      <c r="E21" s="81">
        <f>IF(ISNUMBER('Blind Scoring Sheet'!F21),'Blind Scoring Sheet'!F21,VALUE(TRIM(LEFT('Blind Scoring Sheet'!F21,FIND("|",'Blind Scoring Sheet'!F21)-1))))</f>
        <v/>
      </c>
      <c r="F21" s="81">
        <f>IF(ISNUMBER('Blind Scoring Sheet'!H21),'Blind Scoring Sheet'!H21,VALUE(TRIM(LEFT('Blind Scoring Sheet'!H21,FIND("|",'Blind Scoring Sheet'!H21)-1))))</f>
        <v/>
      </c>
      <c r="G21" s="81">
        <f>IF(ISNUMBER('Blind Scoring Sheet'!J21),'Blind Scoring Sheet'!J21,VALUE(TRIM(LEFT('Blind Scoring Sheet'!J21,FIND("|",'Blind Scoring Sheet'!J21)-1))))</f>
        <v/>
      </c>
      <c r="H21" s="80">
        <f>IF(ISNUMBER(SEARCH("|",'Blind Scoring Sheet'!K21)),TRIM(LEFT('Blind Scoring Sheet'!K21,FIND("|",'Blind Scoring Sheet'!K21)-1)),TRIM('Blind Scoring Sheet'!K21))</f>
        <v/>
      </c>
    </row>
    <row r="22" ht="15" customHeight="1" s="38">
      <c r="A22" s="80">
        <f>'Blind Scoring Sheet'!A22</f>
        <v/>
      </c>
      <c r="B22" s="80">
        <f>MID(INDEX('Anonymization Key'!$B$4:$B$1003,MATCH(A22,'Anonymization Key'!$A$4:$A$1003,0)),3,2)</f>
        <v/>
      </c>
      <c r="C22" s="81">
        <f>IF(ISNUMBER('Blind Scoring Sheet'!B22),'Blind Scoring Sheet'!B22,VALUE(TRIM(LEFT('Blind Scoring Sheet'!B22,FIND("|",'Blind Scoring Sheet'!B22)-1))))</f>
        <v/>
      </c>
      <c r="D22" s="81">
        <f>IF(ISNUMBER('Blind Scoring Sheet'!D22),'Blind Scoring Sheet'!D22,VALUE(TRIM(LEFT('Blind Scoring Sheet'!D22,FIND("|",'Blind Scoring Sheet'!D22)-1))))</f>
        <v/>
      </c>
      <c r="E22" s="81">
        <f>IF(ISNUMBER('Blind Scoring Sheet'!F22),'Blind Scoring Sheet'!F22,VALUE(TRIM(LEFT('Blind Scoring Sheet'!F22,FIND("|",'Blind Scoring Sheet'!F22)-1))))</f>
        <v/>
      </c>
      <c r="F22" s="81">
        <f>IF(ISNUMBER('Blind Scoring Sheet'!H22),'Blind Scoring Sheet'!H22,VALUE(TRIM(LEFT('Blind Scoring Sheet'!H22,FIND("|",'Blind Scoring Sheet'!H22)-1))))</f>
        <v/>
      </c>
      <c r="G22" s="81">
        <f>IF(ISNUMBER('Blind Scoring Sheet'!J22),'Blind Scoring Sheet'!J22,VALUE(TRIM(LEFT('Blind Scoring Sheet'!J22,FIND("|",'Blind Scoring Sheet'!J22)-1))))</f>
        <v/>
      </c>
      <c r="H22" s="80">
        <f>IF(ISNUMBER(SEARCH("|",'Blind Scoring Sheet'!K22)),TRIM(LEFT('Blind Scoring Sheet'!K22,FIND("|",'Blind Scoring Sheet'!K22)-1)),TRIM('Blind Scoring Sheet'!K22))</f>
        <v/>
      </c>
    </row>
    <row r="23" ht="15" customHeight="1" s="38">
      <c r="A23" s="80">
        <f>'Blind Scoring Sheet'!A23</f>
        <v/>
      </c>
      <c r="B23" s="80">
        <f>MID(INDEX('Anonymization Key'!$B$4:$B$1003,MATCH(A23,'Anonymization Key'!$A$4:$A$1003,0)),3,2)</f>
        <v/>
      </c>
      <c r="C23" s="81">
        <f>IF(ISNUMBER('Blind Scoring Sheet'!B23),'Blind Scoring Sheet'!B23,VALUE(TRIM(LEFT('Blind Scoring Sheet'!B23,FIND("|",'Blind Scoring Sheet'!B23)-1))))</f>
        <v/>
      </c>
      <c r="D23" s="81">
        <f>IF(ISNUMBER('Blind Scoring Sheet'!D23),'Blind Scoring Sheet'!D23,VALUE(TRIM(LEFT('Blind Scoring Sheet'!D23,FIND("|",'Blind Scoring Sheet'!D23)-1))))</f>
        <v/>
      </c>
      <c r="E23" s="81">
        <f>IF(ISNUMBER('Blind Scoring Sheet'!F23),'Blind Scoring Sheet'!F23,VALUE(TRIM(LEFT('Blind Scoring Sheet'!F23,FIND("|",'Blind Scoring Sheet'!F23)-1))))</f>
        <v/>
      </c>
      <c r="F23" s="81">
        <f>IF(ISNUMBER('Blind Scoring Sheet'!H23),'Blind Scoring Sheet'!H23,VALUE(TRIM(LEFT('Blind Scoring Sheet'!H23,FIND("|",'Blind Scoring Sheet'!H23)-1))))</f>
        <v/>
      </c>
      <c r="G23" s="81">
        <f>IF(ISNUMBER('Blind Scoring Sheet'!J23),'Blind Scoring Sheet'!J23,VALUE(TRIM(LEFT('Blind Scoring Sheet'!J23,FIND("|",'Blind Scoring Sheet'!J23)-1))))</f>
        <v/>
      </c>
      <c r="H23" s="80">
        <f>IF(ISNUMBER(SEARCH("|",'Blind Scoring Sheet'!K23)),TRIM(LEFT('Blind Scoring Sheet'!K23,FIND("|",'Blind Scoring Sheet'!K23)-1)),TRIM('Blind Scoring Sheet'!K23))</f>
        <v/>
      </c>
    </row>
    <row r="24" ht="15" customHeight="1" s="38">
      <c r="A24" s="80">
        <f>'Blind Scoring Sheet'!A24</f>
        <v/>
      </c>
      <c r="B24" s="80">
        <f>MID(INDEX('Anonymization Key'!$B$4:$B$1003,MATCH(A24,'Anonymization Key'!$A$4:$A$1003,0)),3,2)</f>
        <v/>
      </c>
      <c r="C24" s="81">
        <f>IF(ISNUMBER('Blind Scoring Sheet'!B24),'Blind Scoring Sheet'!B24,VALUE(TRIM(LEFT('Blind Scoring Sheet'!B24,FIND("|",'Blind Scoring Sheet'!B24)-1))))</f>
        <v/>
      </c>
      <c r="D24" s="81">
        <f>IF(ISNUMBER('Blind Scoring Sheet'!D24),'Blind Scoring Sheet'!D24,VALUE(TRIM(LEFT('Blind Scoring Sheet'!D24,FIND("|",'Blind Scoring Sheet'!D24)-1))))</f>
        <v/>
      </c>
      <c r="E24" s="81">
        <f>IF(ISNUMBER('Blind Scoring Sheet'!F24),'Blind Scoring Sheet'!F24,VALUE(TRIM(LEFT('Blind Scoring Sheet'!F24,FIND("|",'Blind Scoring Sheet'!F24)-1))))</f>
        <v/>
      </c>
      <c r="F24" s="81">
        <f>IF(ISNUMBER('Blind Scoring Sheet'!H24),'Blind Scoring Sheet'!H24,VALUE(TRIM(LEFT('Blind Scoring Sheet'!H24,FIND("|",'Blind Scoring Sheet'!H24)-1))))</f>
        <v/>
      </c>
      <c r="G24" s="81">
        <f>IF(ISNUMBER('Blind Scoring Sheet'!J24),'Blind Scoring Sheet'!J24,VALUE(TRIM(LEFT('Blind Scoring Sheet'!J24,FIND("|",'Blind Scoring Sheet'!J24)-1))))</f>
        <v/>
      </c>
      <c r="H24" s="80">
        <f>IF(ISNUMBER(SEARCH("|",'Blind Scoring Sheet'!K24)),TRIM(LEFT('Blind Scoring Sheet'!K24,FIND("|",'Blind Scoring Sheet'!K24)-1)),TRIM('Blind Scoring Sheet'!K24))</f>
        <v/>
      </c>
    </row>
    <row r="25" ht="15" customHeight="1" s="38">
      <c r="A25" s="80">
        <f>'Blind Scoring Sheet'!A25</f>
        <v/>
      </c>
      <c r="B25" s="80">
        <f>MID(INDEX('Anonymization Key'!$B$4:$B$1003,MATCH(A25,'Anonymization Key'!$A$4:$A$1003,0)),3,2)</f>
        <v/>
      </c>
      <c r="C25" s="81">
        <f>IF(ISNUMBER('Blind Scoring Sheet'!B25),'Blind Scoring Sheet'!B25,VALUE(TRIM(LEFT('Blind Scoring Sheet'!B25,FIND("|",'Blind Scoring Sheet'!B25)-1))))</f>
        <v/>
      </c>
      <c r="D25" s="81">
        <f>IF(ISNUMBER('Blind Scoring Sheet'!D25),'Blind Scoring Sheet'!D25,VALUE(TRIM(LEFT('Blind Scoring Sheet'!D25,FIND("|",'Blind Scoring Sheet'!D25)-1))))</f>
        <v/>
      </c>
      <c r="E25" s="81">
        <f>IF(ISNUMBER('Blind Scoring Sheet'!F25),'Blind Scoring Sheet'!F25,VALUE(TRIM(LEFT('Blind Scoring Sheet'!F25,FIND("|",'Blind Scoring Sheet'!F25)-1))))</f>
        <v/>
      </c>
      <c r="F25" s="81">
        <f>IF(ISNUMBER('Blind Scoring Sheet'!H25),'Blind Scoring Sheet'!H25,VALUE(TRIM(LEFT('Blind Scoring Sheet'!H25,FIND("|",'Blind Scoring Sheet'!H25)-1))))</f>
        <v/>
      </c>
      <c r="G25" s="81">
        <f>IF(ISNUMBER('Blind Scoring Sheet'!J25),'Blind Scoring Sheet'!J25,VALUE(TRIM(LEFT('Blind Scoring Sheet'!J25,FIND("|",'Blind Scoring Sheet'!J25)-1))))</f>
        <v/>
      </c>
      <c r="H25" s="80">
        <f>IF(ISNUMBER(SEARCH("|",'Blind Scoring Sheet'!K25)),TRIM(LEFT('Blind Scoring Sheet'!K25,FIND("|",'Blind Scoring Sheet'!K25)-1)),TRIM('Blind Scoring Sheet'!K25))</f>
        <v/>
      </c>
    </row>
    <row r="26" ht="15" customHeight="1" s="38">
      <c r="A26" s="80">
        <f>'Blind Scoring Sheet'!A26</f>
        <v/>
      </c>
      <c r="B26" s="80">
        <f>MID(INDEX('Anonymization Key'!$B$4:$B$1003,MATCH(A26,'Anonymization Key'!$A$4:$A$1003,0)),3,2)</f>
        <v/>
      </c>
      <c r="C26" s="81">
        <f>IF(ISNUMBER('Blind Scoring Sheet'!B26),'Blind Scoring Sheet'!B26,VALUE(TRIM(LEFT('Blind Scoring Sheet'!B26,FIND("|",'Blind Scoring Sheet'!B26)-1))))</f>
        <v/>
      </c>
      <c r="D26" s="81">
        <f>IF(ISNUMBER('Blind Scoring Sheet'!D26),'Blind Scoring Sheet'!D26,VALUE(TRIM(LEFT('Blind Scoring Sheet'!D26,FIND("|",'Blind Scoring Sheet'!D26)-1))))</f>
        <v/>
      </c>
      <c r="E26" s="81">
        <f>IF(ISNUMBER('Blind Scoring Sheet'!F26),'Blind Scoring Sheet'!F26,VALUE(TRIM(LEFT('Blind Scoring Sheet'!F26,FIND("|",'Blind Scoring Sheet'!F26)-1))))</f>
        <v/>
      </c>
      <c r="F26" s="81">
        <f>IF(ISNUMBER('Blind Scoring Sheet'!H26),'Blind Scoring Sheet'!H26,VALUE(TRIM(LEFT('Blind Scoring Sheet'!H26,FIND("|",'Blind Scoring Sheet'!H26)-1))))</f>
        <v/>
      </c>
      <c r="G26" s="81">
        <f>IF(ISNUMBER('Blind Scoring Sheet'!J26),'Blind Scoring Sheet'!J26,VALUE(TRIM(LEFT('Blind Scoring Sheet'!J26,FIND("|",'Blind Scoring Sheet'!J26)-1))))</f>
        <v/>
      </c>
      <c r="H26" s="80">
        <f>IF(ISNUMBER(SEARCH("|",'Blind Scoring Sheet'!K26)),TRIM(LEFT('Blind Scoring Sheet'!K26,FIND("|",'Blind Scoring Sheet'!K26)-1)),TRIM('Blind Scoring Sheet'!K26))</f>
        <v/>
      </c>
    </row>
    <row r="27" ht="15" customHeight="1" s="38">
      <c r="A27" s="80">
        <f>'Blind Scoring Sheet'!A27</f>
        <v/>
      </c>
      <c r="B27" s="80">
        <f>MID(INDEX('Anonymization Key'!$B$4:$B$1003,MATCH(A27,'Anonymization Key'!$A$4:$A$1003,0)),3,2)</f>
        <v/>
      </c>
      <c r="C27" s="81">
        <f>IF(ISNUMBER('Blind Scoring Sheet'!B27),'Blind Scoring Sheet'!B27,VALUE(TRIM(LEFT('Blind Scoring Sheet'!B27,FIND("|",'Blind Scoring Sheet'!B27)-1))))</f>
        <v/>
      </c>
      <c r="D27" s="81">
        <f>IF(ISNUMBER('Blind Scoring Sheet'!D27),'Blind Scoring Sheet'!D27,VALUE(TRIM(LEFT('Blind Scoring Sheet'!D27,FIND("|",'Blind Scoring Sheet'!D27)-1))))</f>
        <v/>
      </c>
      <c r="E27" s="81">
        <f>IF(ISNUMBER('Blind Scoring Sheet'!F27),'Blind Scoring Sheet'!F27,VALUE(TRIM(LEFT('Blind Scoring Sheet'!F27,FIND("|",'Blind Scoring Sheet'!F27)-1))))</f>
        <v/>
      </c>
      <c r="F27" s="81">
        <f>IF(ISNUMBER('Blind Scoring Sheet'!H27),'Blind Scoring Sheet'!H27,VALUE(TRIM(LEFT('Blind Scoring Sheet'!H27,FIND("|",'Blind Scoring Sheet'!H27)-1))))</f>
        <v/>
      </c>
      <c r="G27" s="81">
        <f>IF(ISNUMBER('Blind Scoring Sheet'!J27),'Blind Scoring Sheet'!J27,VALUE(TRIM(LEFT('Blind Scoring Sheet'!J27,FIND("|",'Blind Scoring Sheet'!J27)-1))))</f>
        <v/>
      </c>
      <c r="H27" s="80">
        <f>IF(ISNUMBER(SEARCH("|",'Blind Scoring Sheet'!K27)),TRIM(LEFT('Blind Scoring Sheet'!K27,FIND("|",'Blind Scoring Sheet'!K27)-1)),TRIM('Blind Scoring Sheet'!K27))</f>
        <v/>
      </c>
    </row>
    <row r="28" ht="15" customHeight="1" s="38">
      <c r="A28" s="80">
        <f>'Blind Scoring Sheet'!A28</f>
        <v/>
      </c>
      <c r="B28" s="80">
        <f>MID(INDEX('Anonymization Key'!$B$4:$B$1003,MATCH(A28,'Anonymization Key'!$A$4:$A$1003,0)),3,2)</f>
        <v/>
      </c>
      <c r="C28" s="81">
        <f>IF(ISNUMBER('Blind Scoring Sheet'!B28),'Blind Scoring Sheet'!B28,VALUE(TRIM(LEFT('Blind Scoring Sheet'!B28,FIND("|",'Blind Scoring Sheet'!B28)-1))))</f>
        <v/>
      </c>
      <c r="D28" s="81">
        <f>IF(ISNUMBER('Blind Scoring Sheet'!D28),'Blind Scoring Sheet'!D28,VALUE(TRIM(LEFT('Blind Scoring Sheet'!D28,FIND("|",'Blind Scoring Sheet'!D28)-1))))</f>
        <v/>
      </c>
      <c r="E28" s="81">
        <f>IF(ISNUMBER('Blind Scoring Sheet'!F28),'Blind Scoring Sheet'!F28,VALUE(TRIM(LEFT('Blind Scoring Sheet'!F28,FIND("|",'Blind Scoring Sheet'!F28)-1))))</f>
        <v/>
      </c>
      <c r="F28" s="81">
        <f>IF(ISNUMBER('Blind Scoring Sheet'!H28),'Blind Scoring Sheet'!H28,VALUE(TRIM(LEFT('Blind Scoring Sheet'!H28,FIND("|",'Blind Scoring Sheet'!H28)-1))))</f>
        <v/>
      </c>
      <c r="G28" s="81">
        <f>IF(ISNUMBER('Blind Scoring Sheet'!J28),'Blind Scoring Sheet'!J28,VALUE(TRIM(LEFT('Blind Scoring Sheet'!J28,FIND("|",'Blind Scoring Sheet'!J28)-1))))</f>
        <v/>
      </c>
      <c r="H28" s="80">
        <f>IF(ISNUMBER(SEARCH("|",'Blind Scoring Sheet'!K28)),TRIM(LEFT('Blind Scoring Sheet'!K28,FIND("|",'Blind Scoring Sheet'!K28)-1)),TRIM('Blind Scoring Sheet'!K28))</f>
        <v/>
      </c>
    </row>
    <row r="29" ht="15" customHeight="1" s="38">
      <c r="A29" s="80">
        <f>'Blind Scoring Sheet'!A29</f>
        <v/>
      </c>
      <c r="B29" s="80">
        <f>MID(INDEX('Anonymization Key'!$B$4:$B$1003,MATCH(A29,'Anonymization Key'!$A$4:$A$1003,0)),3,2)</f>
        <v/>
      </c>
      <c r="C29" s="81">
        <f>IF(ISNUMBER('Blind Scoring Sheet'!B29),'Blind Scoring Sheet'!B29,VALUE(TRIM(LEFT('Blind Scoring Sheet'!B29,FIND("|",'Blind Scoring Sheet'!B29)-1))))</f>
        <v/>
      </c>
      <c r="D29" s="81">
        <f>IF(ISNUMBER('Blind Scoring Sheet'!D29),'Blind Scoring Sheet'!D29,VALUE(TRIM(LEFT('Blind Scoring Sheet'!D29,FIND("|",'Blind Scoring Sheet'!D29)-1))))</f>
        <v/>
      </c>
      <c r="E29" s="81">
        <f>IF(ISNUMBER('Blind Scoring Sheet'!F29),'Blind Scoring Sheet'!F29,VALUE(TRIM(LEFT('Blind Scoring Sheet'!F29,FIND("|",'Blind Scoring Sheet'!F29)-1))))</f>
        <v/>
      </c>
      <c r="F29" s="81">
        <f>IF(ISNUMBER('Blind Scoring Sheet'!H29),'Blind Scoring Sheet'!H29,VALUE(TRIM(LEFT('Blind Scoring Sheet'!H29,FIND("|",'Blind Scoring Sheet'!H29)-1))))</f>
        <v/>
      </c>
      <c r="G29" s="81">
        <f>IF(ISNUMBER('Blind Scoring Sheet'!J29),'Blind Scoring Sheet'!J29,VALUE(TRIM(LEFT('Blind Scoring Sheet'!J29,FIND("|",'Blind Scoring Sheet'!J29)-1))))</f>
        <v/>
      </c>
      <c r="H29" s="80">
        <f>IF(ISNUMBER(SEARCH("|",'Blind Scoring Sheet'!K29)),TRIM(LEFT('Blind Scoring Sheet'!K29,FIND("|",'Blind Scoring Sheet'!K29)-1)),TRIM('Blind Scoring Sheet'!K29))</f>
        <v/>
      </c>
    </row>
    <row r="30" ht="15" customHeight="1" s="38">
      <c r="A30" s="80">
        <f>'Blind Scoring Sheet'!A30</f>
        <v/>
      </c>
      <c r="B30" s="80">
        <f>MID(INDEX('Anonymization Key'!$B$4:$B$1003,MATCH(A30,'Anonymization Key'!$A$4:$A$1003,0)),3,2)</f>
        <v/>
      </c>
      <c r="C30" s="81">
        <f>IF(ISNUMBER('Blind Scoring Sheet'!B30),'Blind Scoring Sheet'!B30,VALUE(TRIM(LEFT('Blind Scoring Sheet'!B30,FIND("|",'Blind Scoring Sheet'!B30)-1))))</f>
        <v/>
      </c>
      <c r="D30" s="81">
        <f>IF(ISNUMBER('Blind Scoring Sheet'!D30),'Blind Scoring Sheet'!D30,VALUE(TRIM(LEFT('Blind Scoring Sheet'!D30,FIND("|",'Blind Scoring Sheet'!D30)-1))))</f>
        <v/>
      </c>
      <c r="E30" s="81">
        <f>IF(ISNUMBER('Blind Scoring Sheet'!F30),'Blind Scoring Sheet'!F30,VALUE(TRIM(LEFT('Blind Scoring Sheet'!F30,FIND("|",'Blind Scoring Sheet'!F30)-1))))</f>
        <v/>
      </c>
      <c r="F30" s="81">
        <f>IF(ISNUMBER('Blind Scoring Sheet'!H30),'Blind Scoring Sheet'!H30,VALUE(TRIM(LEFT('Blind Scoring Sheet'!H30,FIND("|",'Blind Scoring Sheet'!H30)-1))))</f>
        <v/>
      </c>
      <c r="G30" s="81">
        <f>IF(ISNUMBER('Blind Scoring Sheet'!J30),'Blind Scoring Sheet'!J30,VALUE(TRIM(LEFT('Blind Scoring Sheet'!J30,FIND("|",'Blind Scoring Sheet'!J30)-1))))</f>
        <v/>
      </c>
      <c r="H30" s="80">
        <f>IF(ISNUMBER(SEARCH("|",'Blind Scoring Sheet'!K30)),TRIM(LEFT('Blind Scoring Sheet'!K30,FIND("|",'Blind Scoring Sheet'!K30)-1)),TRIM('Blind Scoring Sheet'!K30))</f>
        <v/>
      </c>
    </row>
    <row r="31" ht="15" customHeight="1" s="38">
      <c r="A31" s="80">
        <f>'Blind Scoring Sheet'!A31</f>
        <v/>
      </c>
      <c r="B31" s="80">
        <f>MID(INDEX('Anonymization Key'!$B$4:$B$1003,MATCH(A31,'Anonymization Key'!$A$4:$A$1003,0)),3,2)</f>
        <v/>
      </c>
      <c r="C31" s="81">
        <f>IF(ISNUMBER('Blind Scoring Sheet'!B31),'Blind Scoring Sheet'!B31,VALUE(TRIM(LEFT('Blind Scoring Sheet'!B31,FIND("|",'Blind Scoring Sheet'!B31)-1))))</f>
        <v/>
      </c>
      <c r="D31" s="81">
        <f>IF(ISNUMBER('Blind Scoring Sheet'!D31),'Blind Scoring Sheet'!D31,VALUE(TRIM(LEFT('Blind Scoring Sheet'!D31,FIND("|",'Blind Scoring Sheet'!D31)-1))))</f>
        <v/>
      </c>
      <c r="E31" s="81">
        <f>IF(ISNUMBER('Blind Scoring Sheet'!F31),'Blind Scoring Sheet'!F31,VALUE(TRIM(LEFT('Blind Scoring Sheet'!F31,FIND("|",'Blind Scoring Sheet'!F31)-1))))</f>
        <v/>
      </c>
      <c r="F31" s="81">
        <f>IF(ISNUMBER('Blind Scoring Sheet'!H31),'Blind Scoring Sheet'!H31,VALUE(TRIM(LEFT('Blind Scoring Sheet'!H31,FIND("|",'Blind Scoring Sheet'!H31)-1))))</f>
        <v/>
      </c>
      <c r="G31" s="81">
        <f>IF(ISNUMBER('Blind Scoring Sheet'!J31),'Blind Scoring Sheet'!J31,VALUE(TRIM(LEFT('Blind Scoring Sheet'!J31,FIND("|",'Blind Scoring Sheet'!J31)-1))))</f>
        <v/>
      </c>
      <c r="H31" s="80">
        <f>IF(ISNUMBER(SEARCH("|",'Blind Scoring Sheet'!K31)),TRIM(LEFT('Blind Scoring Sheet'!K31,FIND("|",'Blind Scoring Sheet'!K31)-1)),TRIM('Blind Scoring Sheet'!K31))</f>
        <v/>
      </c>
    </row>
    <row r="32" ht="15" customHeight="1" s="38">
      <c r="A32" s="80">
        <f>'Blind Scoring Sheet'!A32</f>
        <v/>
      </c>
      <c r="B32" s="80">
        <f>MID(INDEX('Anonymization Key'!$B$4:$B$1003,MATCH(A32,'Anonymization Key'!$A$4:$A$1003,0)),3,2)</f>
        <v/>
      </c>
      <c r="C32" s="81">
        <f>IF(ISNUMBER('Blind Scoring Sheet'!B32),'Blind Scoring Sheet'!B32,VALUE(TRIM(LEFT('Blind Scoring Sheet'!B32,FIND("|",'Blind Scoring Sheet'!B32)-1))))</f>
        <v/>
      </c>
      <c r="D32" s="81">
        <f>IF(ISNUMBER('Blind Scoring Sheet'!D32),'Blind Scoring Sheet'!D32,VALUE(TRIM(LEFT('Blind Scoring Sheet'!D32,FIND("|",'Blind Scoring Sheet'!D32)-1))))</f>
        <v/>
      </c>
      <c r="E32" s="81">
        <f>IF(ISNUMBER('Blind Scoring Sheet'!F32),'Blind Scoring Sheet'!F32,VALUE(TRIM(LEFT('Blind Scoring Sheet'!F32,FIND("|",'Blind Scoring Sheet'!F32)-1))))</f>
        <v/>
      </c>
      <c r="F32" s="81">
        <f>IF(ISNUMBER('Blind Scoring Sheet'!H32),'Blind Scoring Sheet'!H32,VALUE(TRIM(LEFT('Blind Scoring Sheet'!H32,FIND("|",'Blind Scoring Sheet'!H32)-1))))</f>
        <v/>
      </c>
      <c r="G32" s="81">
        <f>IF(ISNUMBER('Blind Scoring Sheet'!J32),'Blind Scoring Sheet'!J32,VALUE(TRIM(LEFT('Blind Scoring Sheet'!J32,FIND("|",'Blind Scoring Sheet'!J32)-1))))</f>
        <v/>
      </c>
      <c r="H32" s="80">
        <f>IF(ISNUMBER(SEARCH("|",'Blind Scoring Sheet'!K32)),TRIM(LEFT('Blind Scoring Sheet'!K32,FIND("|",'Blind Scoring Sheet'!K32)-1)),TRIM('Blind Scoring Sheet'!K32))</f>
        <v/>
      </c>
    </row>
    <row r="33" ht="15" customHeight="1" s="38">
      <c r="A33" s="80">
        <f>'Blind Scoring Sheet'!A33</f>
        <v/>
      </c>
      <c r="B33" s="80">
        <f>MID(INDEX('Anonymization Key'!$B$4:$B$1003,MATCH(A33,'Anonymization Key'!$A$4:$A$1003,0)),3,2)</f>
        <v/>
      </c>
      <c r="C33" s="81">
        <f>IF(ISNUMBER('Blind Scoring Sheet'!B33),'Blind Scoring Sheet'!B33,VALUE(TRIM(LEFT('Blind Scoring Sheet'!B33,FIND("|",'Blind Scoring Sheet'!B33)-1))))</f>
        <v/>
      </c>
      <c r="D33" s="81">
        <f>IF(ISNUMBER('Blind Scoring Sheet'!D33),'Blind Scoring Sheet'!D33,VALUE(TRIM(LEFT('Blind Scoring Sheet'!D33,FIND("|",'Blind Scoring Sheet'!D33)-1))))</f>
        <v/>
      </c>
      <c r="E33" s="81">
        <f>IF(ISNUMBER('Blind Scoring Sheet'!F33),'Blind Scoring Sheet'!F33,VALUE(TRIM(LEFT('Blind Scoring Sheet'!F33,FIND("|",'Blind Scoring Sheet'!F33)-1))))</f>
        <v/>
      </c>
      <c r="F33" s="81">
        <f>IF(ISNUMBER('Blind Scoring Sheet'!H33),'Blind Scoring Sheet'!H33,VALUE(TRIM(LEFT('Blind Scoring Sheet'!H33,FIND("|",'Blind Scoring Sheet'!H33)-1))))</f>
        <v/>
      </c>
      <c r="G33" s="81">
        <f>IF(ISNUMBER('Blind Scoring Sheet'!J33),'Blind Scoring Sheet'!J33,VALUE(TRIM(LEFT('Blind Scoring Sheet'!J33,FIND("|",'Blind Scoring Sheet'!J33)-1))))</f>
        <v/>
      </c>
      <c r="H33" s="80">
        <f>IF(ISNUMBER(SEARCH("|",'Blind Scoring Sheet'!K33)),TRIM(LEFT('Blind Scoring Sheet'!K33,FIND("|",'Blind Scoring Sheet'!K33)-1)),TRIM('Blind Scoring Sheet'!K33))</f>
        <v/>
      </c>
    </row>
    <row r="34" ht="15" customHeight="1" s="38">
      <c r="A34" s="80">
        <f>'Blind Scoring Sheet'!A34</f>
        <v/>
      </c>
      <c r="B34" s="80">
        <f>MID(INDEX('Anonymization Key'!$B$4:$B$1003,MATCH(A34,'Anonymization Key'!$A$4:$A$1003,0)),3,2)</f>
        <v/>
      </c>
      <c r="C34" s="81">
        <f>IF(ISNUMBER('Blind Scoring Sheet'!B34),'Blind Scoring Sheet'!B34,VALUE(TRIM(LEFT('Blind Scoring Sheet'!B34,FIND("|",'Blind Scoring Sheet'!B34)-1))))</f>
        <v/>
      </c>
      <c r="D34" s="81">
        <f>IF(ISNUMBER('Blind Scoring Sheet'!D34),'Blind Scoring Sheet'!D34,VALUE(TRIM(LEFT('Blind Scoring Sheet'!D34,FIND("|",'Blind Scoring Sheet'!D34)-1))))</f>
        <v/>
      </c>
      <c r="E34" s="81">
        <f>IF(ISNUMBER('Blind Scoring Sheet'!F34),'Blind Scoring Sheet'!F34,VALUE(TRIM(LEFT('Blind Scoring Sheet'!F34,FIND("|",'Blind Scoring Sheet'!F34)-1))))</f>
        <v/>
      </c>
      <c r="F34" s="81">
        <f>IF(ISNUMBER('Blind Scoring Sheet'!H34),'Blind Scoring Sheet'!H34,VALUE(TRIM(LEFT('Blind Scoring Sheet'!H34,FIND("|",'Blind Scoring Sheet'!H34)-1))))</f>
        <v/>
      </c>
      <c r="G34" s="81">
        <f>IF(ISNUMBER('Blind Scoring Sheet'!J34),'Blind Scoring Sheet'!J34,VALUE(TRIM(LEFT('Blind Scoring Sheet'!J34,FIND("|",'Blind Scoring Sheet'!J34)-1))))</f>
        <v/>
      </c>
      <c r="H34" s="80">
        <f>IF(ISNUMBER(SEARCH("|",'Blind Scoring Sheet'!K34)),TRIM(LEFT('Blind Scoring Sheet'!K34,FIND("|",'Blind Scoring Sheet'!K34)-1)),TRIM('Blind Scoring Sheet'!K34))</f>
        <v/>
      </c>
    </row>
    <row r="35" ht="15" customHeight="1" s="38">
      <c r="A35" s="80">
        <f>'Blind Scoring Sheet'!A35</f>
        <v/>
      </c>
      <c r="B35" s="80">
        <f>MID(INDEX('Anonymization Key'!$B$4:$B$1003,MATCH(A35,'Anonymization Key'!$A$4:$A$1003,0)),3,2)</f>
        <v/>
      </c>
      <c r="C35" s="81">
        <f>IF(ISNUMBER('Blind Scoring Sheet'!B35),'Blind Scoring Sheet'!B35,VALUE(TRIM(LEFT('Blind Scoring Sheet'!B35,FIND("|",'Blind Scoring Sheet'!B35)-1))))</f>
        <v/>
      </c>
      <c r="D35" s="81">
        <f>IF(ISNUMBER('Blind Scoring Sheet'!D35),'Blind Scoring Sheet'!D35,VALUE(TRIM(LEFT('Blind Scoring Sheet'!D35,FIND("|",'Blind Scoring Sheet'!D35)-1))))</f>
        <v/>
      </c>
      <c r="E35" s="81">
        <f>IF(ISNUMBER('Blind Scoring Sheet'!F35),'Blind Scoring Sheet'!F35,VALUE(TRIM(LEFT('Blind Scoring Sheet'!F35,FIND("|",'Blind Scoring Sheet'!F35)-1))))</f>
        <v/>
      </c>
      <c r="F35" s="81">
        <f>IF(ISNUMBER('Blind Scoring Sheet'!H35),'Blind Scoring Sheet'!H35,VALUE(TRIM(LEFT('Blind Scoring Sheet'!H35,FIND("|",'Blind Scoring Sheet'!H35)-1))))</f>
        <v/>
      </c>
      <c r="G35" s="81">
        <f>IF(ISNUMBER('Blind Scoring Sheet'!J35),'Blind Scoring Sheet'!J35,VALUE(TRIM(LEFT('Blind Scoring Sheet'!J35,FIND("|",'Blind Scoring Sheet'!J35)-1))))</f>
        <v/>
      </c>
      <c r="H35" s="80">
        <f>IF(ISNUMBER(SEARCH("|",'Blind Scoring Sheet'!K35)),TRIM(LEFT('Blind Scoring Sheet'!K35,FIND("|",'Blind Scoring Sheet'!K35)-1)),TRIM('Blind Scoring Sheet'!K35))</f>
        <v/>
      </c>
    </row>
    <row r="36" ht="15" customHeight="1" s="38">
      <c r="A36" s="80">
        <f>'Blind Scoring Sheet'!A36</f>
        <v/>
      </c>
      <c r="B36" s="80">
        <f>MID(INDEX('Anonymization Key'!$B$4:$B$1003,MATCH(A36,'Anonymization Key'!$A$4:$A$1003,0)),3,2)</f>
        <v/>
      </c>
      <c r="C36" s="81">
        <f>IF(ISNUMBER('Blind Scoring Sheet'!B36),'Blind Scoring Sheet'!B36,VALUE(TRIM(LEFT('Blind Scoring Sheet'!B36,FIND("|",'Blind Scoring Sheet'!B36)-1))))</f>
        <v/>
      </c>
      <c r="D36" s="81">
        <f>IF(ISNUMBER('Blind Scoring Sheet'!D36),'Blind Scoring Sheet'!D36,VALUE(TRIM(LEFT('Blind Scoring Sheet'!D36,FIND("|",'Blind Scoring Sheet'!D36)-1))))</f>
        <v/>
      </c>
      <c r="E36" s="81">
        <f>IF(ISNUMBER('Blind Scoring Sheet'!F36),'Blind Scoring Sheet'!F36,VALUE(TRIM(LEFT('Blind Scoring Sheet'!F36,FIND("|",'Blind Scoring Sheet'!F36)-1))))</f>
        <v/>
      </c>
      <c r="F36" s="81">
        <f>IF(ISNUMBER('Blind Scoring Sheet'!H36),'Blind Scoring Sheet'!H36,VALUE(TRIM(LEFT('Blind Scoring Sheet'!H36,FIND("|",'Blind Scoring Sheet'!H36)-1))))</f>
        <v/>
      </c>
      <c r="G36" s="81">
        <f>IF(ISNUMBER('Blind Scoring Sheet'!J36),'Blind Scoring Sheet'!J36,VALUE(TRIM(LEFT('Blind Scoring Sheet'!J36,FIND("|",'Blind Scoring Sheet'!J36)-1))))</f>
        <v/>
      </c>
      <c r="H36" s="80">
        <f>IF(ISNUMBER(SEARCH("|",'Blind Scoring Sheet'!K36)),TRIM(LEFT('Blind Scoring Sheet'!K36,FIND("|",'Blind Scoring Sheet'!K36)-1)),TRIM('Blind Scoring Sheet'!K36))</f>
        <v/>
      </c>
    </row>
    <row r="37" ht="15" customHeight="1" s="38">
      <c r="A37" s="80">
        <f>'Blind Scoring Sheet'!A37</f>
        <v/>
      </c>
      <c r="B37" s="80">
        <f>MID(INDEX('Anonymization Key'!$B$4:$B$1003,MATCH(A37,'Anonymization Key'!$A$4:$A$1003,0)),3,2)</f>
        <v/>
      </c>
      <c r="C37" s="81">
        <f>IF(ISNUMBER('Blind Scoring Sheet'!B37),'Blind Scoring Sheet'!B37,VALUE(TRIM(LEFT('Blind Scoring Sheet'!B37,FIND("|",'Blind Scoring Sheet'!B37)-1))))</f>
        <v/>
      </c>
      <c r="D37" s="81">
        <f>IF(ISNUMBER('Blind Scoring Sheet'!D37),'Blind Scoring Sheet'!D37,VALUE(TRIM(LEFT('Blind Scoring Sheet'!D37,FIND("|",'Blind Scoring Sheet'!D37)-1))))</f>
        <v/>
      </c>
      <c r="E37" s="81">
        <f>IF(ISNUMBER('Blind Scoring Sheet'!F37),'Blind Scoring Sheet'!F37,VALUE(TRIM(LEFT('Blind Scoring Sheet'!F37,FIND("|",'Blind Scoring Sheet'!F37)-1))))</f>
        <v/>
      </c>
      <c r="F37" s="81">
        <f>IF(ISNUMBER('Blind Scoring Sheet'!H37),'Blind Scoring Sheet'!H37,VALUE(TRIM(LEFT('Blind Scoring Sheet'!H37,FIND("|",'Blind Scoring Sheet'!H37)-1))))</f>
        <v/>
      </c>
      <c r="G37" s="81">
        <f>IF(ISNUMBER('Blind Scoring Sheet'!J37),'Blind Scoring Sheet'!J37,VALUE(TRIM(LEFT('Blind Scoring Sheet'!J37,FIND("|",'Blind Scoring Sheet'!J37)-1))))</f>
        <v/>
      </c>
      <c r="H37" s="80">
        <f>IF(ISNUMBER(SEARCH("|",'Blind Scoring Sheet'!K37)),TRIM(LEFT('Blind Scoring Sheet'!K37,FIND("|",'Blind Scoring Sheet'!K37)-1)),TRIM('Blind Scoring Sheet'!K37))</f>
        <v/>
      </c>
    </row>
    <row r="38" ht="15" customHeight="1" s="38">
      <c r="A38" s="80">
        <f>'Blind Scoring Sheet'!A38</f>
        <v/>
      </c>
      <c r="B38" s="80">
        <f>MID(INDEX('Anonymization Key'!$B$4:$B$1003,MATCH(A38,'Anonymization Key'!$A$4:$A$1003,0)),3,2)</f>
        <v/>
      </c>
      <c r="C38" s="81">
        <f>IF(ISNUMBER('Blind Scoring Sheet'!B38),'Blind Scoring Sheet'!B38,VALUE(TRIM(LEFT('Blind Scoring Sheet'!B38,FIND("|",'Blind Scoring Sheet'!B38)-1))))</f>
        <v/>
      </c>
      <c r="D38" s="81">
        <f>IF(ISNUMBER('Blind Scoring Sheet'!D38),'Blind Scoring Sheet'!D38,VALUE(TRIM(LEFT('Blind Scoring Sheet'!D38,FIND("|",'Blind Scoring Sheet'!D38)-1))))</f>
        <v/>
      </c>
      <c r="E38" s="81">
        <f>IF(ISNUMBER('Blind Scoring Sheet'!F38),'Blind Scoring Sheet'!F38,VALUE(TRIM(LEFT('Blind Scoring Sheet'!F38,FIND("|",'Blind Scoring Sheet'!F38)-1))))</f>
        <v/>
      </c>
      <c r="F38" s="81">
        <f>IF(ISNUMBER('Blind Scoring Sheet'!H38),'Blind Scoring Sheet'!H38,VALUE(TRIM(LEFT('Blind Scoring Sheet'!H38,FIND("|",'Blind Scoring Sheet'!H38)-1))))</f>
        <v/>
      </c>
      <c r="G38" s="81">
        <f>IF(ISNUMBER('Blind Scoring Sheet'!J38),'Blind Scoring Sheet'!J38,VALUE(TRIM(LEFT('Blind Scoring Sheet'!J38,FIND("|",'Blind Scoring Sheet'!J38)-1))))</f>
        <v/>
      </c>
      <c r="H38" s="80">
        <f>IF(ISNUMBER(SEARCH("|",'Blind Scoring Sheet'!K38)),TRIM(LEFT('Blind Scoring Sheet'!K38,FIND("|",'Blind Scoring Sheet'!K38)-1)),TRIM('Blind Scoring Sheet'!K38))</f>
        <v/>
      </c>
    </row>
    <row r="39" ht="15" customHeight="1" s="38">
      <c r="A39" s="80">
        <f>'Blind Scoring Sheet'!A39</f>
        <v/>
      </c>
      <c r="B39" s="80">
        <f>MID(INDEX('Anonymization Key'!$B$4:$B$1003,MATCH(A39,'Anonymization Key'!$A$4:$A$1003,0)),3,2)</f>
        <v/>
      </c>
      <c r="C39" s="81">
        <f>IF(ISNUMBER('Blind Scoring Sheet'!B39),'Blind Scoring Sheet'!B39,VALUE(TRIM(LEFT('Blind Scoring Sheet'!B39,FIND("|",'Blind Scoring Sheet'!B39)-1))))</f>
        <v/>
      </c>
      <c r="D39" s="81">
        <f>IF(ISNUMBER('Blind Scoring Sheet'!D39),'Blind Scoring Sheet'!D39,VALUE(TRIM(LEFT('Blind Scoring Sheet'!D39,FIND("|",'Blind Scoring Sheet'!D39)-1))))</f>
        <v/>
      </c>
      <c r="E39" s="81">
        <f>IF(ISNUMBER('Blind Scoring Sheet'!F39),'Blind Scoring Sheet'!F39,VALUE(TRIM(LEFT('Blind Scoring Sheet'!F39,FIND("|",'Blind Scoring Sheet'!F39)-1))))</f>
        <v/>
      </c>
      <c r="F39" s="81">
        <f>IF(ISNUMBER('Blind Scoring Sheet'!H39),'Blind Scoring Sheet'!H39,VALUE(TRIM(LEFT('Blind Scoring Sheet'!H39,FIND("|",'Blind Scoring Sheet'!H39)-1))))</f>
        <v/>
      </c>
      <c r="G39" s="81">
        <f>IF(ISNUMBER('Blind Scoring Sheet'!J39),'Blind Scoring Sheet'!J39,VALUE(TRIM(LEFT('Blind Scoring Sheet'!J39,FIND("|",'Blind Scoring Sheet'!J39)-1))))</f>
        <v/>
      </c>
      <c r="H39" s="80">
        <f>IF(ISNUMBER(SEARCH("|",'Blind Scoring Sheet'!K39)),TRIM(LEFT('Blind Scoring Sheet'!K39,FIND("|",'Blind Scoring Sheet'!K39)-1)),TRIM('Blind Scoring Sheet'!K39))</f>
        <v/>
      </c>
    </row>
    <row r="40" ht="15" customHeight="1" s="38">
      <c r="A40" s="80">
        <f>'Blind Scoring Sheet'!A40</f>
        <v/>
      </c>
      <c r="B40" s="80">
        <f>MID(INDEX('Anonymization Key'!$B$4:$B$1003,MATCH(A40,'Anonymization Key'!$A$4:$A$1003,0)),3,2)</f>
        <v/>
      </c>
      <c r="C40" s="81">
        <f>IF(ISNUMBER('Blind Scoring Sheet'!B40),'Blind Scoring Sheet'!B40,VALUE(TRIM(LEFT('Blind Scoring Sheet'!B40,FIND("|",'Blind Scoring Sheet'!B40)-1))))</f>
        <v/>
      </c>
      <c r="D40" s="81">
        <f>IF(ISNUMBER('Blind Scoring Sheet'!D40),'Blind Scoring Sheet'!D40,VALUE(TRIM(LEFT('Blind Scoring Sheet'!D40,FIND("|",'Blind Scoring Sheet'!D40)-1))))</f>
        <v/>
      </c>
      <c r="E40" s="81">
        <f>IF(ISNUMBER('Blind Scoring Sheet'!F40),'Blind Scoring Sheet'!F40,VALUE(TRIM(LEFT('Blind Scoring Sheet'!F40,FIND("|",'Blind Scoring Sheet'!F40)-1))))</f>
        <v/>
      </c>
      <c r="F40" s="81">
        <f>IF(ISNUMBER('Blind Scoring Sheet'!H40),'Blind Scoring Sheet'!H40,VALUE(TRIM(LEFT('Blind Scoring Sheet'!H40,FIND("|",'Blind Scoring Sheet'!H40)-1))))</f>
        <v/>
      </c>
      <c r="G40" s="81">
        <f>IF(ISNUMBER('Blind Scoring Sheet'!J40),'Blind Scoring Sheet'!J40,VALUE(TRIM(LEFT('Blind Scoring Sheet'!J40,FIND("|",'Blind Scoring Sheet'!J40)-1))))</f>
        <v/>
      </c>
      <c r="H40" s="80">
        <f>IF(ISNUMBER(SEARCH("|",'Blind Scoring Sheet'!K40)),TRIM(LEFT('Blind Scoring Sheet'!K40,FIND("|",'Blind Scoring Sheet'!K40)-1)),TRIM('Blind Scoring Sheet'!K40))</f>
        <v/>
      </c>
    </row>
    <row r="41" ht="15" customHeight="1" s="38">
      <c r="A41" s="80">
        <f>'Blind Scoring Sheet'!A41</f>
        <v/>
      </c>
      <c r="B41" s="80">
        <f>MID(INDEX('Anonymization Key'!$B$4:$B$1003,MATCH(A41,'Anonymization Key'!$A$4:$A$1003,0)),3,2)</f>
        <v/>
      </c>
      <c r="C41" s="81">
        <f>IF(ISNUMBER('Blind Scoring Sheet'!B41),'Blind Scoring Sheet'!B41,VALUE(TRIM(LEFT('Blind Scoring Sheet'!B41,FIND("|",'Blind Scoring Sheet'!B41)-1))))</f>
        <v/>
      </c>
      <c r="D41" s="81">
        <f>IF(ISNUMBER('Blind Scoring Sheet'!D41),'Blind Scoring Sheet'!D41,VALUE(TRIM(LEFT('Blind Scoring Sheet'!D41,FIND("|",'Blind Scoring Sheet'!D41)-1))))</f>
        <v/>
      </c>
      <c r="E41" s="81">
        <f>IF(ISNUMBER('Blind Scoring Sheet'!F41),'Blind Scoring Sheet'!F41,VALUE(TRIM(LEFT('Blind Scoring Sheet'!F41,FIND("|",'Blind Scoring Sheet'!F41)-1))))</f>
        <v/>
      </c>
      <c r="F41" s="81">
        <f>IF(ISNUMBER('Blind Scoring Sheet'!H41),'Blind Scoring Sheet'!H41,VALUE(TRIM(LEFT('Blind Scoring Sheet'!H41,FIND("|",'Blind Scoring Sheet'!H41)-1))))</f>
        <v/>
      </c>
      <c r="G41" s="81">
        <f>IF(ISNUMBER('Blind Scoring Sheet'!J41),'Blind Scoring Sheet'!J41,VALUE(TRIM(LEFT('Blind Scoring Sheet'!J41,FIND("|",'Blind Scoring Sheet'!J41)-1))))</f>
        <v/>
      </c>
      <c r="H41" s="80">
        <f>IF(ISNUMBER(SEARCH("|",'Blind Scoring Sheet'!K41)),TRIM(LEFT('Blind Scoring Sheet'!K41,FIND("|",'Blind Scoring Sheet'!K41)-1)),TRIM('Blind Scoring Sheet'!K41))</f>
        <v/>
      </c>
    </row>
    <row r="42" ht="15" customHeight="1" s="38">
      <c r="A42" s="80">
        <f>'Blind Scoring Sheet'!A42</f>
        <v/>
      </c>
      <c r="B42" s="80">
        <f>MID(INDEX('Anonymization Key'!$B$4:$B$1003,MATCH(A42,'Anonymization Key'!$A$4:$A$1003,0)),3,2)</f>
        <v/>
      </c>
      <c r="C42" s="81">
        <f>IF(ISNUMBER('Blind Scoring Sheet'!B42),'Blind Scoring Sheet'!B42,VALUE(TRIM(LEFT('Blind Scoring Sheet'!B42,FIND("|",'Blind Scoring Sheet'!B42)-1))))</f>
        <v/>
      </c>
      <c r="D42" s="81">
        <f>IF(ISNUMBER('Blind Scoring Sheet'!D42),'Blind Scoring Sheet'!D42,VALUE(TRIM(LEFT('Blind Scoring Sheet'!D42,FIND("|",'Blind Scoring Sheet'!D42)-1))))</f>
        <v/>
      </c>
      <c r="E42" s="81">
        <f>IF(ISNUMBER('Blind Scoring Sheet'!F42),'Blind Scoring Sheet'!F42,VALUE(TRIM(LEFT('Blind Scoring Sheet'!F42,FIND("|",'Blind Scoring Sheet'!F42)-1))))</f>
        <v/>
      </c>
      <c r="F42" s="81">
        <f>IF(ISNUMBER('Blind Scoring Sheet'!H42),'Blind Scoring Sheet'!H42,VALUE(TRIM(LEFT('Blind Scoring Sheet'!H42,FIND("|",'Blind Scoring Sheet'!H42)-1))))</f>
        <v/>
      </c>
      <c r="G42" s="81">
        <f>IF(ISNUMBER('Blind Scoring Sheet'!J42),'Blind Scoring Sheet'!J42,VALUE(TRIM(LEFT('Blind Scoring Sheet'!J42,FIND("|",'Blind Scoring Sheet'!J42)-1))))</f>
        <v/>
      </c>
      <c r="H42" s="80">
        <f>IF(ISNUMBER(SEARCH("|",'Blind Scoring Sheet'!K42)),TRIM(LEFT('Blind Scoring Sheet'!K42,FIND("|",'Blind Scoring Sheet'!K42)-1)),TRIM('Blind Scoring Sheet'!K42))</f>
        <v/>
      </c>
    </row>
    <row r="43" ht="15" customHeight="1" s="38">
      <c r="A43" s="80">
        <f>'Blind Scoring Sheet'!A43</f>
        <v/>
      </c>
      <c r="B43" s="80">
        <f>MID(INDEX('Anonymization Key'!$B$4:$B$1003,MATCH(A43,'Anonymization Key'!$A$4:$A$1003,0)),3,2)</f>
        <v/>
      </c>
      <c r="C43" s="81">
        <f>IF(ISNUMBER('Blind Scoring Sheet'!B43),'Blind Scoring Sheet'!B43,VALUE(TRIM(LEFT('Blind Scoring Sheet'!B43,FIND("|",'Blind Scoring Sheet'!B43)-1))))</f>
        <v/>
      </c>
      <c r="D43" s="81">
        <f>IF(ISNUMBER('Blind Scoring Sheet'!D43),'Blind Scoring Sheet'!D43,VALUE(TRIM(LEFT('Blind Scoring Sheet'!D43,FIND("|",'Blind Scoring Sheet'!D43)-1))))</f>
        <v/>
      </c>
      <c r="E43" s="81">
        <f>IF(ISNUMBER('Blind Scoring Sheet'!F43),'Blind Scoring Sheet'!F43,VALUE(TRIM(LEFT('Blind Scoring Sheet'!F43,FIND("|",'Blind Scoring Sheet'!F43)-1))))</f>
        <v/>
      </c>
      <c r="F43" s="81">
        <f>IF(ISNUMBER('Blind Scoring Sheet'!H43),'Blind Scoring Sheet'!H43,VALUE(TRIM(LEFT('Blind Scoring Sheet'!H43,FIND("|",'Blind Scoring Sheet'!H43)-1))))</f>
        <v/>
      </c>
      <c r="G43" s="81">
        <f>IF(ISNUMBER('Blind Scoring Sheet'!J43),'Blind Scoring Sheet'!J43,VALUE(TRIM(LEFT('Blind Scoring Sheet'!J43,FIND("|",'Blind Scoring Sheet'!J43)-1))))</f>
        <v/>
      </c>
      <c r="H43" s="80">
        <f>IF(ISNUMBER(SEARCH("|",'Blind Scoring Sheet'!K43)),TRIM(LEFT('Blind Scoring Sheet'!K43,FIND("|",'Blind Scoring Sheet'!K43)-1)),TRIM('Blind Scoring Sheet'!K43))</f>
        <v/>
      </c>
    </row>
    <row r="44" ht="15" customHeight="1" s="38">
      <c r="A44" s="80">
        <f>'Blind Scoring Sheet'!A44</f>
        <v/>
      </c>
      <c r="B44" s="80">
        <f>MID(INDEX('Anonymization Key'!$B$4:$B$1003,MATCH(A44,'Anonymization Key'!$A$4:$A$1003,0)),3,2)</f>
        <v/>
      </c>
      <c r="C44" s="81">
        <f>IF(ISNUMBER('Blind Scoring Sheet'!B44),'Blind Scoring Sheet'!B44,VALUE(TRIM(LEFT('Blind Scoring Sheet'!B44,FIND("|",'Blind Scoring Sheet'!B44)-1))))</f>
        <v/>
      </c>
      <c r="D44" s="81">
        <f>IF(ISNUMBER('Blind Scoring Sheet'!D44),'Blind Scoring Sheet'!D44,VALUE(TRIM(LEFT('Blind Scoring Sheet'!D44,FIND("|",'Blind Scoring Sheet'!D44)-1))))</f>
        <v/>
      </c>
      <c r="E44" s="81">
        <f>IF(ISNUMBER('Blind Scoring Sheet'!F44),'Blind Scoring Sheet'!F44,VALUE(TRIM(LEFT('Blind Scoring Sheet'!F44,FIND("|",'Blind Scoring Sheet'!F44)-1))))</f>
        <v/>
      </c>
      <c r="F44" s="81">
        <f>IF(ISNUMBER('Blind Scoring Sheet'!H44),'Blind Scoring Sheet'!H44,VALUE(TRIM(LEFT('Blind Scoring Sheet'!H44,FIND("|",'Blind Scoring Sheet'!H44)-1))))</f>
        <v/>
      </c>
      <c r="G44" s="81">
        <f>IF(ISNUMBER('Blind Scoring Sheet'!J44),'Blind Scoring Sheet'!J44,VALUE(TRIM(LEFT('Blind Scoring Sheet'!J44,FIND("|",'Blind Scoring Sheet'!J44)-1))))</f>
        <v/>
      </c>
      <c r="H44" s="80">
        <f>IF(ISNUMBER(SEARCH("|",'Blind Scoring Sheet'!K44)),TRIM(LEFT('Blind Scoring Sheet'!K44,FIND("|",'Blind Scoring Sheet'!K44)-1)),TRIM('Blind Scoring Sheet'!K44))</f>
        <v/>
      </c>
    </row>
    <row r="45" ht="15" customHeight="1" s="38">
      <c r="A45" s="80">
        <f>'Blind Scoring Sheet'!A45</f>
        <v/>
      </c>
      <c r="B45" s="80">
        <f>MID(INDEX('Anonymization Key'!$B$4:$B$1003,MATCH(A45,'Anonymization Key'!$A$4:$A$1003,0)),3,2)</f>
        <v/>
      </c>
      <c r="C45" s="81">
        <f>IF(ISNUMBER('Blind Scoring Sheet'!B45),'Blind Scoring Sheet'!B45,VALUE(TRIM(LEFT('Blind Scoring Sheet'!B45,FIND("|",'Blind Scoring Sheet'!B45)-1))))</f>
        <v/>
      </c>
      <c r="D45" s="81">
        <f>IF(ISNUMBER('Blind Scoring Sheet'!D45),'Blind Scoring Sheet'!D45,VALUE(TRIM(LEFT('Blind Scoring Sheet'!D45,FIND("|",'Blind Scoring Sheet'!D45)-1))))</f>
        <v/>
      </c>
      <c r="E45" s="81">
        <f>IF(ISNUMBER('Blind Scoring Sheet'!F45),'Blind Scoring Sheet'!F45,VALUE(TRIM(LEFT('Blind Scoring Sheet'!F45,FIND("|",'Blind Scoring Sheet'!F45)-1))))</f>
        <v/>
      </c>
      <c r="F45" s="81">
        <f>IF(ISNUMBER('Blind Scoring Sheet'!H45),'Blind Scoring Sheet'!H45,VALUE(TRIM(LEFT('Blind Scoring Sheet'!H45,FIND("|",'Blind Scoring Sheet'!H45)-1))))</f>
        <v/>
      </c>
      <c r="G45" s="81">
        <f>IF(ISNUMBER('Blind Scoring Sheet'!J45),'Blind Scoring Sheet'!J45,VALUE(TRIM(LEFT('Blind Scoring Sheet'!J45,FIND("|",'Blind Scoring Sheet'!J45)-1))))</f>
        <v/>
      </c>
      <c r="H45" s="80">
        <f>IF(ISNUMBER(SEARCH("|",'Blind Scoring Sheet'!K45)),TRIM(LEFT('Blind Scoring Sheet'!K45,FIND("|",'Blind Scoring Sheet'!K45)-1)),TRIM('Blind Scoring Sheet'!K45))</f>
        <v/>
      </c>
    </row>
    <row r="46" ht="15" customHeight="1" s="38">
      <c r="A46" s="80">
        <f>'Blind Scoring Sheet'!A46</f>
        <v/>
      </c>
      <c r="B46" s="80">
        <f>MID(INDEX('Anonymization Key'!$B$4:$B$1003,MATCH(A46,'Anonymization Key'!$A$4:$A$1003,0)),3,2)</f>
        <v/>
      </c>
      <c r="C46" s="81">
        <f>IF(ISNUMBER('Blind Scoring Sheet'!B46),'Blind Scoring Sheet'!B46,VALUE(TRIM(LEFT('Blind Scoring Sheet'!B46,FIND("|",'Blind Scoring Sheet'!B46)-1))))</f>
        <v/>
      </c>
      <c r="D46" s="81">
        <f>IF(ISNUMBER('Blind Scoring Sheet'!D46),'Blind Scoring Sheet'!D46,VALUE(TRIM(LEFT('Blind Scoring Sheet'!D46,FIND("|",'Blind Scoring Sheet'!D46)-1))))</f>
        <v/>
      </c>
      <c r="E46" s="81">
        <f>IF(ISNUMBER('Blind Scoring Sheet'!F46),'Blind Scoring Sheet'!F46,VALUE(TRIM(LEFT('Blind Scoring Sheet'!F46,FIND("|",'Blind Scoring Sheet'!F46)-1))))</f>
        <v/>
      </c>
      <c r="F46" s="81">
        <f>IF(ISNUMBER('Blind Scoring Sheet'!H46),'Blind Scoring Sheet'!H46,VALUE(TRIM(LEFT('Blind Scoring Sheet'!H46,FIND("|",'Blind Scoring Sheet'!H46)-1))))</f>
        <v/>
      </c>
      <c r="G46" s="81">
        <f>IF(ISNUMBER('Blind Scoring Sheet'!J46),'Blind Scoring Sheet'!J46,VALUE(TRIM(LEFT('Blind Scoring Sheet'!J46,FIND("|",'Blind Scoring Sheet'!J46)-1))))</f>
        <v/>
      </c>
      <c r="H46" s="80">
        <f>IF(ISNUMBER(SEARCH("|",'Blind Scoring Sheet'!K46)),TRIM(LEFT('Blind Scoring Sheet'!K46,FIND("|",'Blind Scoring Sheet'!K46)-1)),TRIM('Blind Scoring Sheet'!K46))</f>
        <v/>
      </c>
    </row>
    <row r="47" ht="15" customHeight="1" s="38">
      <c r="A47" s="80">
        <f>'Blind Scoring Sheet'!A47</f>
        <v/>
      </c>
      <c r="B47" s="80">
        <f>MID(INDEX('Anonymization Key'!$B$4:$B$1003,MATCH(A47,'Anonymization Key'!$A$4:$A$1003,0)),3,2)</f>
        <v/>
      </c>
      <c r="C47" s="81">
        <f>IF(ISNUMBER('Blind Scoring Sheet'!B47),'Blind Scoring Sheet'!B47,VALUE(TRIM(LEFT('Blind Scoring Sheet'!B47,FIND("|",'Blind Scoring Sheet'!B47)-1))))</f>
        <v/>
      </c>
      <c r="D47" s="81">
        <f>IF(ISNUMBER('Blind Scoring Sheet'!D47),'Blind Scoring Sheet'!D47,VALUE(TRIM(LEFT('Blind Scoring Sheet'!D47,FIND("|",'Blind Scoring Sheet'!D47)-1))))</f>
        <v/>
      </c>
      <c r="E47" s="81">
        <f>IF(ISNUMBER('Blind Scoring Sheet'!F47),'Blind Scoring Sheet'!F47,VALUE(TRIM(LEFT('Blind Scoring Sheet'!F47,FIND("|",'Blind Scoring Sheet'!F47)-1))))</f>
        <v/>
      </c>
      <c r="F47" s="81">
        <f>IF(ISNUMBER('Blind Scoring Sheet'!H47),'Blind Scoring Sheet'!H47,VALUE(TRIM(LEFT('Blind Scoring Sheet'!H47,FIND("|",'Blind Scoring Sheet'!H47)-1))))</f>
        <v/>
      </c>
      <c r="G47" s="81">
        <f>IF(ISNUMBER('Blind Scoring Sheet'!J47),'Blind Scoring Sheet'!J47,VALUE(TRIM(LEFT('Blind Scoring Sheet'!J47,FIND("|",'Blind Scoring Sheet'!J47)-1))))</f>
        <v/>
      </c>
      <c r="H47" s="80">
        <f>IF(ISNUMBER(SEARCH("|",'Blind Scoring Sheet'!K47)),TRIM(LEFT('Blind Scoring Sheet'!K47,FIND("|",'Blind Scoring Sheet'!K47)-1)),TRIM('Blind Scoring Sheet'!K47))</f>
        <v/>
      </c>
    </row>
    <row r="48" ht="15" customHeight="1" s="38">
      <c r="A48" s="80">
        <f>'Blind Scoring Sheet'!A48</f>
        <v/>
      </c>
      <c r="B48" s="80">
        <f>MID(INDEX('Anonymization Key'!$B$4:$B$1003,MATCH(A48,'Anonymization Key'!$A$4:$A$1003,0)),3,2)</f>
        <v/>
      </c>
      <c r="C48" s="81">
        <f>IF(ISNUMBER('Blind Scoring Sheet'!B48),'Blind Scoring Sheet'!B48,VALUE(TRIM(LEFT('Blind Scoring Sheet'!B48,FIND("|",'Blind Scoring Sheet'!B48)-1))))</f>
        <v/>
      </c>
      <c r="D48" s="81">
        <f>IF(ISNUMBER('Blind Scoring Sheet'!D48),'Blind Scoring Sheet'!D48,VALUE(TRIM(LEFT('Blind Scoring Sheet'!D48,FIND("|",'Blind Scoring Sheet'!D48)-1))))</f>
        <v/>
      </c>
      <c r="E48" s="81">
        <f>IF(ISNUMBER('Blind Scoring Sheet'!F48),'Blind Scoring Sheet'!F48,VALUE(TRIM(LEFT('Blind Scoring Sheet'!F48,FIND("|",'Blind Scoring Sheet'!F48)-1))))</f>
        <v/>
      </c>
      <c r="F48" s="81">
        <f>IF(ISNUMBER('Blind Scoring Sheet'!H48),'Blind Scoring Sheet'!H48,VALUE(TRIM(LEFT('Blind Scoring Sheet'!H48,FIND("|",'Blind Scoring Sheet'!H48)-1))))</f>
        <v/>
      </c>
      <c r="G48" s="81">
        <f>IF(ISNUMBER('Blind Scoring Sheet'!J48),'Blind Scoring Sheet'!J48,VALUE(TRIM(LEFT('Blind Scoring Sheet'!J48,FIND("|",'Blind Scoring Sheet'!J48)-1))))</f>
        <v/>
      </c>
      <c r="H48" s="80">
        <f>IF(ISNUMBER(SEARCH("|",'Blind Scoring Sheet'!K48)),TRIM(LEFT('Blind Scoring Sheet'!K48,FIND("|",'Blind Scoring Sheet'!K48)-1)),TRIM('Blind Scoring Sheet'!K48))</f>
        <v/>
      </c>
    </row>
    <row r="49" ht="15" customHeight="1" s="38">
      <c r="A49" s="80">
        <f>'Blind Scoring Sheet'!A49</f>
        <v/>
      </c>
      <c r="B49" s="80">
        <f>MID(INDEX('Anonymization Key'!$B$4:$B$1003,MATCH(A49,'Anonymization Key'!$A$4:$A$1003,0)),3,2)</f>
        <v/>
      </c>
      <c r="C49" s="81">
        <f>IF(ISNUMBER('Blind Scoring Sheet'!B49),'Blind Scoring Sheet'!B49,VALUE(TRIM(LEFT('Blind Scoring Sheet'!B49,FIND("|",'Blind Scoring Sheet'!B49)-1))))</f>
        <v/>
      </c>
      <c r="D49" s="81">
        <f>IF(ISNUMBER('Blind Scoring Sheet'!D49),'Blind Scoring Sheet'!D49,VALUE(TRIM(LEFT('Blind Scoring Sheet'!D49,FIND("|",'Blind Scoring Sheet'!D49)-1))))</f>
        <v/>
      </c>
      <c r="E49" s="81">
        <f>IF(ISNUMBER('Blind Scoring Sheet'!F49),'Blind Scoring Sheet'!F49,VALUE(TRIM(LEFT('Blind Scoring Sheet'!F49,FIND("|",'Blind Scoring Sheet'!F49)-1))))</f>
        <v/>
      </c>
      <c r="F49" s="81">
        <f>IF(ISNUMBER('Blind Scoring Sheet'!H49),'Blind Scoring Sheet'!H49,VALUE(TRIM(LEFT('Blind Scoring Sheet'!H49,FIND("|",'Blind Scoring Sheet'!H49)-1))))</f>
        <v/>
      </c>
      <c r="G49" s="81">
        <f>IF(ISNUMBER('Blind Scoring Sheet'!J49),'Blind Scoring Sheet'!J49,VALUE(TRIM(LEFT('Blind Scoring Sheet'!J49,FIND("|",'Blind Scoring Sheet'!J49)-1))))</f>
        <v/>
      </c>
      <c r="H49" s="80">
        <f>IF(ISNUMBER(SEARCH("|",'Blind Scoring Sheet'!K49)),TRIM(LEFT('Blind Scoring Sheet'!K49,FIND("|",'Blind Scoring Sheet'!K49)-1)),TRIM('Blind Scoring Sheet'!K49))</f>
        <v/>
      </c>
    </row>
    <row r="50" ht="15" customHeight="1" s="38">
      <c r="A50" s="80">
        <f>'Blind Scoring Sheet'!A50</f>
        <v/>
      </c>
      <c r="B50" s="80">
        <f>MID(INDEX('Anonymization Key'!$B$4:$B$1003,MATCH(A50,'Anonymization Key'!$A$4:$A$1003,0)),3,2)</f>
        <v/>
      </c>
      <c r="C50" s="81">
        <f>IF(ISNUMBER('Blind Scoring Sheet'!B50),'Blind Scoring Sheet'!B50,VALUE(TRIM(LEFT('Blind Scoring Sheet'!B50,FIND("|",'Blind Scoring Sheet'!B50)-1))))</f>
        <v/>
      </c>
      <c r="D50" s="81">
        <f>IF(ISNUMBER('Blind Scoring Sheet'!D50),'Blind Scoring Sheet'!D50,VALUE(TRIM(LEFT('Blind Scoring Sheet'!D50,FIND("|",'Blind Scoring Sheet'!D50)-1))))</f>
        <v/>
      </c>
      <c r="E50" s="81">
        <f>IF(ISNUMBER('Blind Scoring Sheet'!F50),'Blind Scoring Sheet'!F50,VALUE(TRIM(LEFT('Blind Scoring Sheet'!F50,FIND("|",'Blind Scoring Sheet'!F50)-1))))</f>
        <v/>
      </c>
      <c r="F50" s="81">
        <f>IF(ISNUMBER('Blind Scoring Sheet'!H50),'Blind Scoring Sheet'!H50,VALUE(TRIM(LEFT('Blind Scoring Sheet'!H50,FIND("|",'Blind Scoring Sheet'!H50)-1))))</f>
        <v/>
      </c>
      <c r="G50" s="81">
        <f>IF(ISNUMBER('Blind Scoring Sheet'!J50),'Blind Scoring Sheet'!J50,VALUE(TRIM(LEFT('Blind Scoring Sheet'!J50,FIND("|",'Blind Scoring Sheet'!J50)-1))))</f>
        <v/>
      </c>
      <c r="H50" s="80">
        <f>IF(ISNUMBER(SEARCH("|",'Blind Scoring Sheet'!K50)),TRIM(LEFT('Blind Scoring Sheet'!K50,FIND("|",'Blind Scoring Sheet'!K50)-1)),TRIM('Blind Scoring Sheet'!K50))</f>
        <v/>
      </c>
    </row>
    <row r="51" ht="15" customHeight="1" s="38">
      <c r="A51" s="80">
        <f>'Blind Scoring Sheet'!A51</f>
        <v/>
      </c>
      <c r="B51" s="80">
        <f>MID(INDEX('Anonymization Key'!$B$4:$B$1003,MATCH(A51,'Anonymization Key'!$A$4:$A$1003,0)),3,2)</f>
        <v/>
      </c>
      <c r="C51" s="81">
        <f>IF(ISNUMBER('Blind Scoring Sheet'!B51),'Blind Scoring Sheet'!B51,VALUE(TRIM(LEFT('Blind Scoring Sheet'!B51,FIND("|",'Blind Scoring Sheet'!B51)-1))))</f>
        <v/>
      </c>
      <c r="D51" s="81">
        <f>IF(ISNUMBER('Blind Scoring Sheet'!D51),'Blind Scoring Sheet'!D51,VALUE(TRIM(LEFT('Blind Scoring Sheet'!D51,FIND("|",'Blind Scoring Sheet'!D51)-1))))</f>
        <v/>
      </c>
      <c r="E51" s="81">
        <f>IF(ISNUMBER('Blind Scoring Sheet'!F51),'Blind Scoring Sheet'!F51,VALUE(TRIM(LEFT('Blind Scoring Sheet'!F51,FIND("|",'Blind Scoring Sheet'!F51)-1))))</f>
        <v/>
      </c>
      <c r="F51" s="81">
        <f>IF(ISNUMBER('Blind Scoring Sheet'!H51),'Blind Scoring Sheet'!H51,VALUE(TRIM(LEFT('Blind Scoring Sheet'!H51,FIND("|",'Blind Scoring Sheet'!H51)-1))))</f>
        <v/>
      </c>
      <c r="G51" s="81">
        <f>IF(ISNUMBER('Blind Scoring Sheet'!J51),'Blind Scoring Sheet'!J51,VALUE(TRIM(LEFT('Blind Scoring Sheet'!J51,FIND("|",'Blind Scoring Sheet'!J51)-1))))</f>
        <v/>
      </c>
      <c r="H51" s="80">
        <f>IF(ISNUMBER(SEARCH("|",'Blind Scoring Sheet'!K51)),TRIM(LEFT('Blind Scoring Sheet'!K51,FIND("|",'Blind Scoring Sheet'!K51)-1)),TRIM('Blind Scoring Sheet'!K51))</f>
        <v/>
      </c>
    </row>
    <row r="52" ht="15" customHeight="1" s="38">
      <c r="A52" s="80">
        <f>'Blind Scoring Sheet'!A52</f>
        <v/>
      </c>
      <c r="B52" s="80">
        <f>MID(INDEX('Anonymization Key'!$B$4:$B$1003,MATCH(A52,'Anonymization Key'!$A$4:$A$1003,0)),3,2)</f>
        <v/>
      </c>
      <c r="C52" s="81">
        <f>IF(ISNUMBER('Blind Scoring Sheet'!B52),'Blind Scoring Sheet'!B52,VALUE(TRIM(LEFT('Blind Scoring Sheet'!B52,FIND("|",'Blind Scoring Sheet'!B52)-1))))</f>
        <v/>
      </c>
      <c r="D52" s="81">
        <f>IF(ISNUMBER('Blind Scoring Sheet'!D52),'Blind Scoring Sheet'!D52,VALUE(TRIM(LEFT('Blind Scoring Sheet'!D52,FIND("|",'Blind Scoring Sheet'!D52)-1))))</f>
        <v/>
      </c>
      <c r="E52" s="81">
        <f>IF(ISNUMBER('Blind Scoring Sheet'!F52),'Blind Scoring Sheet'!F52,VALUE(TRIM(LEFT('Blind Scoring Sheet'!F52,FIND("|",'Blind Scoring Sheet'!F52)-1))))</f>
        <v/>
      </c>
      <c r="F52" s="81">
        <f>IF(ISNUMBER('Blind Scoring Sheet'!H52),'Blind Scoring Sheet'!H52,VALUE(TRIM(LEFT('Blind Scoring Sheet'!H52,FIND("|",'Blind Scoring Sheet'!H52)-1))))</f>
        <v/>
      </c>
      <c r="G52" s="81">
        <f>IF(ISNUMBER('Blind Scoring Sheet'!J52),'Blind Scoring Sheet'!J52,VALUE(TRIM(LEFT('Blind Scoring Sheet'!J52,FIND("|",'Blind Scoring Sheet'!J52)-1))))</f>
        <v/>
      </c>
      <c r="H52" s="80">
        <f>IF(ISNUMBER(SEARCH("|",'Blind Scoring Sheet'!K52)),TRIM(LEFT('Blind Scoring Sheet'!K52,FIND("|",'Blind Scoring Sheet'!K52)-1)),TRIM('Blind Scoring Sheet'!K52))</f>
        <v/>
      </c>
    </row>
    <row r="53" ht="15" customHeight="1" s="38">
      <c r="A53" s="80">
        <f>'Blind Scoring Sheet'!A53</f>
        <v/>
      </c>
      <c r="B53" s="80">
        <f>MID(INDEX('Anonymization Key'!$B$4:$B$1003,MATCH(A53,'Anonymization Key'!$A$4:$A$1003,0)),3,2)</f>
        <v/>
      </c>
      <c r="C53" s="81">
        <f>IF(ISNUMBER('Blind Scoring Sheet'!B53),'Blind Scoring Sheet'!B53,VALUE(TRIM(LEFT('Blind Scoring Sheet'!B53,FIND("|",'Blind Scoring Sheet'!B53)-1))))</f>
        <v/>
      </c>
      <c r="D53" s="81">
        <f>IF(ISNUMBER('Blind Scoring Sheet'!D53),'Blind Scoring Sheet'!D53,VALUE(TRIM(LEFT('Blind Scoring Sheet'!D53,FIND("|",'Blind Scoring Sheet'!D53)-1))))</f>
        <v/>
      </c>
      <c r="E53" s="81">
        <f>IF(ISNUMBER('Blind Scoring Sheet'!F53),'Blind Scoring Sheet'!F53,VALUE(TRIM(LEFT('Blind Scoring Sheet'!F53,FIND("|",'Blind Scoring Sheet'!F53)-1))))</f>
        <v/>
      </c>
      <c r="F53" s="81">
        <f>IF(ISNUMBER('Blind Scoring Sheet'!H53),'Blind Scoring Sheet'!H53,VALUE(TRIM(LEFT('Blind Scoring Sheet'!H53,FIND("|",'Blind Scoring Sheet'!H53)-1))))</f>
        <v/>
      </c>
      <c r="G53" s="81">
        <f>IF(ISNUMBER('Blind Scoring Sheet'!J53),'Blind Scoring Sheet'!J53,VALUE(TRIM(LEFT('Blind Scoring Sheet'!J53,FIND("|",'Blind Scoring Sheet'!J53)-1))))</f>
        <v/>
      </c>
      <c r="H53" s="80">
        <f>IF(ISNUMBER(SEARCH("|",'Blind Scoring Sheet'!K53)),TRIM(LEFT('Blind Scoring Sheet'!K53,FIND("|",'Blind Scoring Sheet'!K53)-1)),TRIM('Blind Scoring Sheet'!K53))</f>
        <v/>
      </c>
    </row>
    <row r="54" ht="15" customHeight="1" s="38">
      <c r="A54" s="80">
        <f>'Blind Scoring Sheet'!A54</f>
        <v/>
      </c>
      <c r="B54" s="80">
        <f>MID(INDEX('Anonymization Key'!$B$4:$B$1003,MATCH(A54,'Anonymization Key'!$A$4:$A$1003,0)),3,2)</f>
        <v/>
      </c>
      <c r="C54" s="81">
        <f>IF(ISNUMBER('Blind Scoring Sheet'!B54),'Blind Scoring Sheet'!B54,VALUE(TRIM(LEFT('Blind Scoring Sheet'!B54,FIND("|",'Blind Scoring Sheet'!B54)-1))))</f>
        <v/>
      </c>
      <c r="D54" s="81">
        <f>IF(ISNUMBER('Blind Scoring Sheet'!D54),'Blind Scoring Sheet'!D54,VALUE(TRIM(LEFT('Blind Scoring Sheet'!D54,FIND("|",'Blind Scoring Sheet'!D54)-1))))</f>
        <v/>
      </c>
      <c r="E54" s="81">
        <f>IF(ISNUMBER('Blind Scoring Sheet'!F54),'Blind Scoring Sheet'!F54,VALUE(TRIM(LEFT('Blind Scoring Sheet'!F54,FIND("|",'Blind Scoring Sheet'!F54)-1))))</f>
        <v/>
      </c>
      <c r="F54" s="81">
        <f>IF(ISNUMBER('Blind Scoring Sheet'!H54),'Blind Scoring Sheet'!H54,VALUE(TRIM(LEFT('Blind Scoring Sheet'!H54,FIND("|",'Blind Scoring Sheet'!H54)-1))))</f>
        <v/>
      </c>
      <c r="G54" s="81">
        <f>IF(ISNUMBER('Blind Scoring Sheet'!J54),'Blind Scoring Sheet'!J54,VALUE(TRIM(LEFT('Blind Scoring Sheet'!J54,FIND("|",'Blind Scoring Sheet'!J54)-1))))</f>
        <v/>
      </c>
      <c r="H54" s="80">
        <f>IF(ISNUMBER(SEARCH("|",'Blind Scoring Sheet'!K54)),TRIM(LEFT('Blind Scoring Sheet'!K54,FIND("|",'Blind Scoring Sheet'!K54)-1)),TRIM('Blind Scoring Sheet'!K54))</f>
        <v/>
      </c>
    </row>
    <row r="55" ht="15" customHeight="1" s="38">
      <c r="A55" s="80">
        <f>'Blind Scoring Sheet'!A55</f>
        <v/>
      </c>
      <c r="B55" s="80">
        <f>MID(INDEX('Anonymization Key'!$B$4:$B$1003,MATCH(A55,'Anonymization Key'!$A$4:$A$1003,0)),3,2)</f>
        <v/>
      </c>
      <c r="C55" s="81">
        <f>IF(ISNUMBER('Blind Scoring Sheet'!B55),'Blind Scoring Sheet'!B55,VALUE(TRIM(LEFT('Blind Scoring Sheet'!B55,FIND("|",'Blind Scoring Sheet'!B55)-1))))</f>
        <v/>
      </c>
      <c r="D55" s="81">
        <f>IF(ISNUMBER('Blind Scoring Sheet'!D55),'Blind Scoring Sheet'!D55,VALUE(TRIM(LEFT('Blind Scoring Sheet'!D55,FIND("|",'Blind Scoring Sheet'!D55)-1))))</f>
        <v/>
      </c>
      <c r="E55" s="81">
        <f>IF(ISNUMBER('Blind Scoring Sheet'!F55),'Blind Scoring Sheet'!F55,VALUE(TRIM(LEFT('Blind Scoring Sheet'!F55,FIND("|",'Blind Scoring Sheet'!F55)-1))))</f>
        <v/>
      </c>
      <c r="F55" s="81">
        <f>IF(ISNUMBER('Blind Scoring Sheet'!H55),'Blind Scoring Sheet'!H55,VALUE(TRIM(LEFT('Blind Scoring Sheet'!H55,FIND("|",'Blind Scoring Sheet'!H55)-1))))</f>
        <v/>
      </c>
      <c r="G55" s="81">
        <f>IF(ISNUMBER('Blind Scoring Sheet'!J55),'Blind Scoring Sheet'!J55,VALUE(TRIM(LEFT('Blind Scoring Sheet'!J55,FIND("|",'Blind Scoring Sheet'!J55)-1))))</f>
        <v/>
      </c>
      <c r="H55" s="80">
        <f>IF(ISNUMBER(SEARCH("|",'Blind Scoring Sheet'!K55)),TRIM(LEFT('Blind Scoring Sheet'!K55,FIND("|",'Blind Scoring Sheet'!K55)-1)),TRIM('Blind Scoring Sheet'!K55))</f>
        <v/>
      </c>
    </row>
    <row r="56" ht="15" customHeight="1" s="38">
      <c r="A56" s="80">
        <f>'Blind Scoring Sheet'!A56</f>
        <v/>
      </c>
      <c r="B56" s="80">
        <f>MID(INDEX('Anonymization Key'!$B$4:$B$1003,MATCH(A56,'Anonymization Key'!$A$4:$A$1003,0)),3,2)</f>
        <v/>
      </c>
      <c r="C56" s="81">
        <f>IF(ISNUMBER('Blind Scoring Sheet'!B56),'Blind Scoring Sheet'!B56,VALUE(TRIM(LEFT('Blind Scoring Sheet'!B56,FIND("|",'Blind Scoring Sheet'!B56)-1))))</f>
        <v/>
      </c>
      <c r="D56" s="81">
        <f>IF(ISNUMBER('Blind Scoring Sheet'!D56),'Blind Scoring Sheet'!D56,VALUE(TRIM(LEFT('Blind Scoring Sheet'!D56,FIND("|",'Blind Scoring Sheet'!D56)-1))))</f>
        <v/>
      </c>
      <c r="E56" s="81">
        <f>IF(ISNUMBER('Blind Scoring Sheet'!F56),'Blind Scoring Sheet'!F56,VALUE(TRIM(LEFT('Blind Scoring Sheet'!F56,FIND("|",'Blind Scoring Sheet'!F56)-1))))</f>
        <v/>
      </c>
      <c r="F56" s="81">
        <f>IF(ISNUMBER('Blind Scoring Sheet'!H56),'Blind Scoring Sheet'!H56,VALUE(TRIM(LEFT('Blind Scoring Sheet'!H56,FIND("|",'Blind Scoring Sheet'!H56)-1))))</f>
        <v/>
      </c>
      <c r="G56" s="81">
        <f>IF(ISNUMBER('Blind Scoring Sheet'!J56),'Blind Scoring Sheet'!J56,VALUE(TRIM(LEFT('Blind Scoring Sheet'!J56,FIND("|",'Blind Scoring Sheet'!J56)-1))))</f>
        <v/>
      </c>
      <c r="H56" s="80">
        <f>IF(ISNUMBER(SEARCH("|",'Blind Scoring Sheet'!K56)),TRIM(LEFT('Blind Scoring Sheet'!K56,FIND("|",'Blind Scoring Sheet'!K56)-1)),TRIM('Blind Scoring Sheet'!K56))</f>
        <v/>
      </c>
    </row>
    <row r="57" ht="15" customHeight="1" s="38">
      <c r="A57" s="80">
        <f>'Blind Scoring Sheet'!A57</f>
        <v/>
      </c>
      <c r="B57" s="80">
        <f>MID(INDEX('Anonymization Key'!$B$4:$B$1003,MATCH(A57,'Anonymization Key'!$A$4:$A$1003,0)),3,2)</f>
        <v/>
      </c>
      <c r="C57" s="81">
        <f>IF(ISNUMBER('Blind Scoring Sheet'!B57),'Blind Scoring Sheet'!B57,VALUE(TRIM(LEFT('Blind Scoring Sheet'!B57,FIND("|",'Blind Scoring Sheet'!B57)-1))))</f>
        <v/>
      </c>
      <c r="D57" s="81">
        <f>IF(ISNUMBER('Blind Scoring Sheet'!D57),'Blind Scoring Sheet'!D57,VALUE(TRIM(LEFT('Blind Scoring Sheet'!D57,FIND("|",'Blind Scoring Sheet'!D57)-1))))</f>
        <v/>
      </c>
      <c r="E57" s="81">
        <f>IF(ISNUMBER('Blind Scoring Sheet'!F57),'Blind Scoring Sheet'!F57,VALUE(TRIM(LEFT('Blind Scoring Sheet'!F57,FIND("|",'Blind Scoring Sheet'!F57)-1))))</f>
        <v/>
      </c>
      <c r="F57" s="81">
        <f>IF(ISNUMBER('Blind Scoring Sheet'!H57),'Blind Scoring Sheet'!H57,VALUE(TRIM(LEFT('Blind Scoring Sheet'!H57,FIND("|",'Blind Scoring Sheet'!H57)-1))))</f>
        <v/>
      </c>
      <c r="G57" s="81">
        <f>IF(ISNUMBER('Blind Scoring Sheet'!J57),'Blind Scoring Sheet'!J57,VALUE(TRIM(LEFT('Blind Scoring Sheet'!J57,FIND("|",'Blind Scoring Sheet'!J57)-1))))</f>
        <v/>
      </c>
      <c r="H57" s="80">
        <f>IF(ISNUMBER(SEARCH("|",'Blind Scoring Sheet'!K57)),TRIM(LEFT('Blind Scoring Sheet'!K57,FIND("|",'Blind Scoring Sheet'!K57)-1)),TRIM('Blind Scoring Sheet'!K57))</f>
        <v/>
      </c>
    </row>
    <row r="58" ht="15" customHeight="1" s="38">
      <c r="A58" s="80">
        <f>'Blind Scoring Sheet'!A58</f>
        <v/>
      </c>
      <c r="B58" s="80">
        <f>MID(INDEX('Anonymization Key'!$B$4:$B$1003,MATCH(A58,'Anonymization Key'!$A$4:$A$1003,0)),3,2)</f>
        <v/>
      </c>
      <c r="C58" s="81">
        <f>IF(ISNUMBER('Blind Scoring Sheet'!B58),'Blind Scoring Sheet'!B58,VALUE(TRIM(LEFT('Blind Scoring Sheet'!B58,FIND("|",'Blind Scoring Sheet'!B58)-1))))</f>
        <v/>
      </c>
      <c r="D58" s="81">
        <f>IF(ISNUMBER('Blind Scoring Sheet'!D58),'Blind Scoring Sheet'!D58,VALUE(TRIM(LEFT('Blind Scoring Sheet'!D58,FIND("|",'Blind Scoring Sheet'!D58)-1))))</f>
        <v/>
      </c>
      <c r="E58" s="81">
        <f>IF(ISNUMBER('Blind Scoring Sheet'!F58),'Blind Scoring Sheet'!F58,VALUE(TRIM(LEFT('Blind Scoring Sheet'!F58,FIND("|",'Blind Scoring Sheet'!F58)-1))))</f>
        <v/>
      </c>
      <c r="F58" s="81">
        <f>IF(ISNUMBER('Blind Scoring Sheet'!H58),'Blind Scoring Sheet'!H58,VALUE(TRIM(LEFT('Blind Scoring Sheet'!H58,FIND("|",'Blind Scoring Sheet'!H58)-1))))</f>
        <v/>
      </c>
      <c r="G58" s="81">
        <f>IF(ISNUMBER('Blind Scoring Sheet'!J58),'Blind Scoring Sheet'!J58,VALUE(TRIM(LEFT('Blind Scoring Sheet'!J58,FIND("|",'Blind Scoring Sheet'!J58)-1))))</f>
        <v/>
      </c>
      <c r="H58" s="80">
        <f>IF(ISNUMBER(SEARCH("|",'Blind Scoring Sheet'!K58)),TRIM(LEFT('Blind Scoring Sheet'!K58,FIND("|",'Blind Scoring Sheet'!K58)-1)),TRIM('Blind Scoring Sheet'!K58))</f>
        <v/>
      </c>
    </row>
    <row r="59" ht="15" customHeight="1" s="38">
      <c r="A59" s="80">
        <f>'Blind Scoring Sheet'!A59</f>
        <v/>
      </c>
      <c r="B59" s="80">
        <f>MID(INDEX('Anonymization Key'!$B$4:$B$1003,MATCH(A59,'Anonymization Key'!$A$4:$A$1003,0)),3,2)</f>
        <v/>
      </c>
      <c r="C59" s="81">
        <f>IF(ISNUMBER('Blind Scoring Sheet'!B59),'Blind Scoring Sheet'!B59,VALUE(TRIM(LEFT('Blind Scoring Sheet'!B59,FIND("|",'Blind Scoring Sheet'!B59)-1))))</f>
        <v/>
      </c>
      <c r="D59" s="81">
        <f>IF(ISNUMBER('Blind Scoring Sheet'!D59),'Blind Scoring Sheet'!D59,VALUE(TRIM(LEFT('Blind Scoring Sheet'!D59,FIND("|",'Blind Scoring Sheet'!D59)-1))))</f>
        <v/>
      </c>
      <c r="E59" s="81">
        <f>IF(ISNUMBER('Blind Scoring Sheet'!F59),'Blind Scoring Sheet'!F59,VALUE(TRIM(LEFT('Blind Scoring Sheet'!F59,FIND("|",'Blind Scoring Sheet'!F59)-1))))</f>
        <v/>
      </c>
      <c r="F59" s="81">
        <f>IF(ISNUMBER('Blind Scoring Sheet'!H59),'Blind Scoring Sheet'!H59,VALUE(TRIM(LEFT('Blind Scoring Sheet'!H59,FIND("|",'Blind Scoring Sheet'!H59)-1))))</f>
        <v/>
      </c>
      <c r="G59" s="81">
        <f>IF(ISNUMBER('Blind Scoring Sheet'!J59),'Blind Scoring Sheet'!J59,VALUE(TRIM(LEFT('Blind Scoring Sheet'!J59,FIND("|",'Blind Scoring Sheet'!J59)-1))))</f>
        <v/>
      </c>
      <c r="H59" s="80">
        <f>IF(ISNUMBER(SEARCH("|",'Blind Scoring Sheet'!K59)),TRIM(LEFT('Blind Scoring Sheet'!K59,FIND("|",'Blind Scoring Sheet'!K59)-1)),TRIM('Blind Scoring Sheet'!K59))</f>
        <v/>
      </c>
    </row>
    <row r="60" ht="15" customHeight="1" s="38">
      <c r="A60" s="80">
        <f>'Blind Scoring Sheet'!A60</f>
        <v/>
      </c>
      <c r="B60" s="80">
        <f>MID(INDEX('Anonymization Key'!$B$4:$B$1003,MATCH(A60,'Anonymization Key'!$A$4:$A$1003,0)),3,2)</f>
        <v/>
      </c>
      <c r="C60" s="81">
        <f>IF(ISNUMBER('Blind Scoring Sheet'!B60),'Blind Scoring Sheet'!B60,VALUE(TRIM(LEFT('Blind Scoring Sheet'!B60,FIND("|",'Blind Scoring Sheet'!B60)-1))))</f>
        <v/>
      </c>
      <c r="D60" s="81">
        <f>IF(ISNUMBER('Blind Scoring Sheet'!D60),'Blind Scoring Sheet'!D60,VALUE(TRIM(LEFT('Blind Scoring Sheet'!D60,FIND("|",'Blind Scoring Sheet'!D60)-1))))</f>
        <v/>
      </c>
      <c r="E60" s="81">
        <f>IF(ISNUMBER('Blind Scoring Sheet'!F60),'Blind Scoring Sheet'!F60,VALUE(TRIM(LEFT('Blind Scoring Sheet'!F60,FIND("|",'Blind Scoring Sheet'!F60)-1))))</f>
        <v/>
      </c>
      <c r="F60" s="81">
        <f>IF(ISNUMBER('Blind Scoring Sheet'!H60),'Blind Scoring Sheet'!H60,VALUE(TRIM(LEFT('Blind Scoring Sheet'!H60,FIND("|",'Blind Scoring Sheet'!H60)-1))))</f>
        <v/>
      </c>
      <c r="G60" s="81">
        <f>IF(ISNUMBER('Blind Scoring Sheet'!J60),'Blind Scoring Sheet'!J60,VALUE(TRIM(LEFT('Blind Scoring Sheet'!J60,FIND("|",'Blind Scoring Sheet'!J60)-1))))</f>
        <v/>
      </c>
      <c r="H60" s="80">
        <f>IF(ISNUMBER(SEARCH("|",'Blind Scoring Sheet'!K60)),TRIM(LEFT('Blind Scoring Sheet'!K60,FIND("|",'Blind Scoring Sheet'!K60)-1)),TRIM('Blind Scoring Sheet'!K60))</f>
        <v/>
      </c>
    </row>
    <row r="61" ht="15" customHeight="1" s="38">
      <c r="A61" s="80">
        <f>'Blind Scoring Sheet'!A61</f>
        <v/>
      </c>
      <c r="B61" s="80">
        <f>MID(INDEX('Anonymization Key'!$B$4:$B$1003,MATCH(A61,'Anonymization Key'!$A$4:$A$1003,0)),3,2)</f>
        <v/>
      </c>
      <c r="C61" s="81">
        <f>IF(ISNUMBER('Blind Scoring Sheet'!B61),'Blind Scoring Sheet'!B61,VALUE(TRIM(LEFT('Blind Scoring Sheet'!B61,FIND("|",'Blind Scoring Sheet'!B61)-1))))</f>
        <v/>
      </c>
      <c r="D61" s="81">
        <f>IF(ISNUMBER('Blind Scoring Sheet'!D61),'Blind Scoring Sheet'!D61,VALUE(TRIM(LEFT('Blind Scoring Sheet'!D61,FIND("|",'Blind Scoring Sheet'!D61)-1))))</f>
        <v/>
      </c>
      <c r="E61" s="81">
        <f>IF(ISNUMBER('Blind Scoring Sheet'!F61),'Blind Scoring Sheet'!F61,VALUE(TRIM(LEFT('Blind Scoring Sheet'!F61,FIND("|",'Blind Scoring Sheet'!F61)-1))))</f>
        <v/>
      </c>
      <c r="F61" s="81">
        <f>IF(ISNUMBER('Blind Scoring Sheet'!H61),'Blind Scoring Sheet'!H61,VALUE(TRIM(LEFT('Blind Scoring Sheet'!H61,FIND("|",'Blind Scoring Sheet'!H61)-1))))</f>
        <v/>
      </c>
      <c r="G61" s="81">
        <f>IF(ISNUMBER('Blind Scoring Sheet'!J61),'Blind Scoring Sheet'!J61,VALUE(TRIM(LEFT('Blind Scoring Sheet'!J61,FIND("|",'Blind Scoring Sheet'!J61)-1))))</f>
        <v/>
      </c>
      <c r="H61" s="80">
        <f>IF(ISNUMBER(SEARCH("|",'Blind Scoring Sheet'!K61)),TRIM(LEFT('Blind Scoring Sheet'!K61,FIND("|",'Blind Scoring Sheet'!K61)-1)),TRIM('Blind Scoring Sheet'!K61))</f>
        <v/>
      </c>
    </row>
    <row r="62" ht="15" customHeight="1" s="38">
      <c r="A62" s="80">
        <f>'Blind Scoring Sheet'!A62</f>
        <v/>
      </c>
      <c r="B62" s="80">
        <f>MID(INDEX('Anonymization Key'!$B$4:$B$1003,MATCH(A62,'Anonymization Key'!$A$4:$A$1003,0)),3,2)</f>
        <v/>
      </c>
      <c r="C62" s="81">
        <f>IF(ISNUMBER('Blind Scoring Sheet'!B62),'Blind Scoring Sheet'!B62,VALUE(TRIM(LEFT('Blind Scoring Sheet'!B62,FIND("|",'Blind Scoring Sheet'!B62)-1))))</f>
        <v/>
      </c>
      <c r="D62" s="81">
        <f>IF(ISNUMBER('Blind Scoring Sheet'!D62),'Blind Scoring Sheet'!D62,VALUE(TRIM(LEFT('Blind Scoring Sheet'!D62,FIND("|",'Blind Scoring Sheet'!D62)-1))))</f>
        <v/>
      </c>
      <c r="E62" s="81">
        <f>IF(ISNUMBER('Blind Scoring Sheet'!F62),'Blind Scoring Sheet'!F62,VALUE(TRIM(LEFT('Blind Scoring Sheet'!F62,FIND("|",'Blind Scoring Sheet'!F62)-1))))</f>
        <v/>
      </c>
      <c r="F62" s="81">
        <f>IF(ISNUMBER('Blind Scoring Sheet'!H62),'Blind Scoring Sheet'!H62,VALUE(TRIM(LEFT('Blind Scoring Sheet'!H62,FIND("|",'Blind Scoring Sheet'!H62)-1))))</f>
        <v/>
      </c>
      <c r="G62" s="81">
        <f>IF(ISNUMBER('Blind Scoring Sheet'!J62),'Blind Scoring Sheet'!J62,VALUE(TRIM(LEFT('Blind Scoring Sheet'!J62,FIND("|",'Blind Scoring Sheet'!J62)-1))))</f>
        <v/>
      </c>
      <c r="H62" s="80">
        <f>IF(ISNUMBER(SEARCH("|",'Blind Scoring Sheet'!K62)),TRIM(LEFT('Blind Scoring Sheet'!K62,FIND("|",'Blind Scoring Sheet'!K62)-1)),TRIM('Blind Scoring Sheet'!K62))</f>
        <v/>
      </c>
    </row>
    <row r="63" ht="15" customHeight="1" s="38">
      <c r="A63" s="80">
        <f>'Blind Scoring Sheet'!A63</f>
        <v/>
      </c>
      <c r="B63" s="80">
        <f>MID(INDEX('Anonymization Key'!$B$4:$B$1003,MATCH(A63,'Anonymization Key'!$A$4:$A$1003,0)),3,2)</f>
        <v/>
      </c>
      <c r="C63" s="81">
        <f>IF(ISNUMBER('Blind Scoring Sheet'!B63),'Blind Scoring Sheet'!B63,VALUE(TRIM(LEFT('Blind Scoring Sheet'!B63,FIND("|",'Blind Scoring Sheet'!B63)-1))))</f>
        <v/>
      </c>
      <c r="D63" s="81">
        <f>IF(ISNUMBER('Blind Scoring Sheet'!D63),'Blind Scoring Sheet'!D63,VALUE(TRIM(LEFT('Blind Scoring Sheet'!D63,FIND("|",'Blind Scoring Sheet'!D63)-1))))</f>
        <v/>
      </c>
      <c r="E63" s="81">
        <f>IF(ISNUMBER('Blind Scoring Sheet'!F63),'Blind Scoring Sheet'!F63,VALUE(TRIM(LEFT('Blind Scoring Sheet'!F63,FIND("|",'Blind Scoring Sheet'!F63)-1))))</f>
        <v/>
      </c>
      <c r="F63" s="81">
        <f>IF(ISNUMBER('Blind Scoring Sheet'!H63),'Blind Scoring Sheet'!H63,VALUE(TRIM(LEFT('Blind Scoring Sheet'!H63,FIND("|",'Blind Scoring Sheet'!H63)-1))))</f>
        <v/>
      </c>
      <c r="G63" s="81">
        <f>IF(ISNUMBER('Blind Scoring Sheet'!J63),'Blind Scoring Sheet'!J63,VALUE(TRIM(LEFT('Blind Scoring Sheet'!J63,FIND("|",'Blind Scoring Sheet'!J63)-1))))</f>
        <v/>
      </c>
      <c r="H63" s="80">
        <f>IF(ISNUMBER(SEARCH("|",'Blind Scoring Sheet'!K63)),TRIM(LEFT('Blind Scoring Sheet'!K63,FIND("|",'Blind Scoring Sheet'!K63)-1)),TRIM('Blind Scoring Sheet'!K63))</f>
        <v/>
      </c>
    </row>
    <row r="64" ht="15" customHeight="1" s="38">
      <c r="A64" s="80">
        <f>'Blind Scoring Sheet'!A64</f>
        <v/>
      </c>
      <c r="B64" s="80">
        <f>MID(INDEX('Anonymization Key'!$B$4:$B$1003,MATCH(A64,'Anonymization Key'!$A$4:$A$1003,0)),3,2)</f>
        <v/>
      </c>
      <c r="C64" s="81">
        <f>IF(ISNUMBER('Blind Scoring Sheet'!B64),'Blind Scoring Sheet'!B64,VALUE(TRIM(LEFT('Blind Scoring Sheet'!B64,FIND("|",'Blind Scoring Sheet'!B64)-1))))</f>
        <v/>
      </c>
      <c r="D64" s="81">
        <f>IF(ISNUMBER('Blind Scoring Sheet'!D64),'Blind Scoring Sheet'!D64,VALUE(TRIM(LEFT('Blind Scoring Sheet'!D64,FIND("|",'Blind Scoring Sheet'!D64)-1))))</f>
        <v/>
      </c>
      <c r="E64" s="81">
        <f>IF(ISNUMBER('Blind Scoring Sheet'!F64),'Blind Scoring Sheet'!F64,VALUE(TRIM(LEFT('Blind Scoring Sheet'!F64,FIND("|",'Blind Scoring Sheet'!F64)-1))))</f>
        <v/>
      </c>
      <c r="F64" s="81">
        <f>IF(ISNUMBER('Blind Scoring Sheet'!H64),'Blind Scoring Sheet'!H64,VALUE(TRIM(LEFT('Blind Scoring Sheet'!H64,FIND("|",'Blind Scoring Sheet'!H64)-1))))</f>
        <v/>
      </c>
      <c r="G64" s="81">
        <f>IF(ISNUMBER('Blind Scoring Sheet'!J64),'Blind Scoring Sheet'!J64,VALUE(TRIM(LEFT('Blind Scoring Sheet'!J64,FIND("|",'Blind Scoring Sheet'!J64)-1))))</f>
        <v/>
      </c>
      <c r="H64" s="80">
        <f>IF(ISNUMBER(SEARCH("|",'Blind Scoring Sheet'!K64)),TRIM(LEFT('Blind Scoring Sheet'!K64,FIND("|",'Blind Scoring Sheet'!K64)-1)),TRIM('Blind Scoring Sheet'!K64))</f>
        <v/>
      </c>
    </row>
    <row r="65" ht="15" customHeight="1" s="38">
      <c r="A65" s="80">
        <f>'Blind Scoring Sheet'!A65</f>
        <v/>
      </c>
      <c r="B65" s="80">
        <f>MID(INDEX('Anonymization Key'!$B$4:$B$1003,MATCH(A65,'Anonymization Key'!$A$4:$A$1003,0)),3,2)</f>
        <v/>
      </c>
      <c r="C65" s="81">
        <f>IF(ISNUMBER('Blind Scoring Sheet'!B65),'Blind Scoring Sheet'!B65,VALUE(TRIM(LEFT('Blind Scoring Sheet'!B65,FIND("|",'Blind Scoring Sheet'!B65)-1))))</f>
        <v/>
      </c>
      <c r="D65" s="81">
        <f>IF(ISNUMBER('Blind Scoring Sheet'!D65),'Blind Scoring Sheet'!D65,VALUE(TRIM(LEFT('Blind Scoring Sheet'!D65,FIND("|",'Blind Scoring Sheet'!D65)-1))))</f>
        <v/>
      </c>
      <c r="E65" s="81">
        <f>IF(ISNUMBER('Blind Scoring Sheet'!F65),'Blind Scoring Sheet'!F65,VALUE(TRIM(LEFT('Blind Scoring Sheet'!F65,FIND("|",'Blind Scoring Sheet'!F65)-1))))</f>
        <v/>
      </c>
      <c r="F65" s="81">
        <f>IF(ISNUMBER('Blind Scoring Sheet'!H65),'Blind Scoring Sheet'!H65,VALUE(TRIM(LEFT('Blind Scoring Sheet'!H65,FIND("|",'Blind Scoring Sheet'!H65)-1))))</f>
        <v/>
      </c>
      <c r="G65" s="81">
        <f>IF(ISNUMBER('Blind Scoring Sheet'!J65),'Blind Scoring Sheet'!J65,VALUE(TRIM(LEFT('Blind Scoring Sheet'!J65,FIND("|",'Blind Scoring Sheet'!J65)-1))))</f>
        <v/>
      </c>
      <c r="H65" s="80">
        <f>IF(ISNUMBER(SEARCH("|",'Blind Scoring Sheet'!K65)),TRIM(LEFT('Blind Scoring Sheet'!K65,FIND("|",'Blind Scoring Sheet'!K65)-1)),TRIM('Blind Scoring Sheet'!K65))</f>
        <v/>
      </c>
    </row>
    <row r="66" ht="15" customHeight="1" s="38">
      <c r="A66" s="80">
        <f>'Blind Scoring Sheet'!A66</f>
        <v/>
      </c>
      <c r="B66" s="80">
        <f>MID(INDEX('Anonymization Key'!$B$4:$B$1003,MATCH(A66,'Anonymization Key'!$A$4:$A$1003,0)),3,2)</f>
        <v/>
      </c>
      <c r="C66" s="81">
        <f>IF(ISNUMBER('Blind Scoring Sheet'!B66),'Blind Scoring Sheet'!B66,VALUE(TRIM(LEFT('Blind Scoring Sheet'!B66,FIND("|",'Blind Scoring Sheet'!B66)-1))))</f>
        <v/>
      </c>
      <c r="D66" s="81">
        <f>IF(ISNUMBER('Blind Scoring Sheet'!D66),'Blind Scoring Sheet'!D66,VALUE(TRIM(LEFT('Blind Scoring Sheet'!D66,FIND("|",'Blind Scoring Sheet'!D66)-1))))</f>
        <v/>
      </c>
      <c r="E66" s="81">
        <f>IF(ISNUMBER('Blind Scoring Sheet'!F66),'Blind Scoring Sheet'!F66,VALUE(TRIM(LEFT('Blind Scoring Sheet'!F66,FIND("|",'Blind Scoring Sheet'!F66)-1))))</f>
        <v/>
      </c>
      <c r="F66" s="81">
        <f>IF(ISNUMBER('Blind Scoring Sheet'!H66),'Blind Scoring Sheet'!H66,VALUE(TRIM(LEFT('Blind Scoring Sheet'!H66,FIND("|",'Blind Scoring Sheet'!H66)-1))))</f>
        <v/>
      </c>
      <c r="G66" s="81">
        <f>IF(ISNUMBER('Blind Scoring Sheet'!J66),'Blind Scoring Sheet'!J66,VALUE(TRIM(LEFT('Blind Scoring Sheet'!J66,FIND("|",'Blind Scoring Sheet'!J66)-1))))</f>
        <v/>
      </c>
      <c r="H66" s="80">
        <f>IF(ISNUMBER(SEARCH("|",'Blind Scoring Sheet'!K66)),TRIM(LEFT('Blind Scoring Sheet'!K66,FIND("|",'Blind Scoring Sheet'!K66)-1)),TRIM('Blind Scoring Sheet'!K66))</f>
        <v/>
      </c>
    </row>
    <row r="67" ht="15" customHeight="1" s="38">
      <c r="A67" s="80">
        <f>'Blind Scoring Sheet'!A67</f>
        <v/>
      </c>
      <c r="B67" s="80">
        <f>MID(INDEX('Anonymization Key'!$B$4:$B$1003,MATCH(A67,'Anonymization Key'!$A$4:$A$1003,0)),3,2)</f>
        <v/>
      </c>
      <c r="C67" s="81">
        <f>IF(ISNUMBER('Blind Scoring Sheet'!B67),'Blind Scoring Sheet'!B67,VALUE(TRIM(LEFT('Blind Scoring Sheet'!B67,FIND("|",'Blind Scoring Sheet'!B67)-1))))</f>
        <v/>
      </c>
      <c r="D67" s="81">
        <f>IF(ISNUMBER('Blind Scoring Sheet'!D67),'Blind Scoring Sheet'!D67,VALUE(TRIM(LEFT('Blind Scoring Sheet'!D67,FIND("|",'Blind Scoring Sheet'!D67)-1))))</f>
        <v/>
      </c>
      <c r="E67" s="81">
        <f>IF(ISNUMBER('Blind Scoring Sheet'!F67),'Blind Scoring Sheet'!F67,VALUE(TRIM(LEFT('Blind Scoring Sheet'!F67,FIND("|",'Blind Scoring Sheet'!F67)-1))))</f>
        <v/>
      </c>
      <c r="F67" s="81">
        <f>IF(ISNUMBER('Blind Scoring Sheet'!H67),'Blind Scoring Sheet'!H67,VALUE(TRIM(LEFT('Blind Scoring Sheet'!H67,FIND("|",'Blind Scoring Sheet'!H67)-1))))</f>
        <v/>
      </c>
      <c r="G67" s="81">
        <f>IF(ISNUMBER('Blind Scoring Sheet'!J67),'Blind Scoring Sheet'!J67,VALUE(TRIM(LEFT('Blind Scoring Sheet'!J67,FIND("|",'Blind Scoring Sheet'!J67)-1))))</f>
        <v/>
      </c>
      <c r="H67" s="80">
        <f>IF(ISNUMBER(SEARCH("|",'Blind Scoring Sheet'!K67)),TRIM(LEFT('Blind Scoring Sheet'!K67,FIND("|",'Blind Scoring Sheet'!K67)-1)),TRIM('Blind Scoring Sheet'!K67))</f>
        <v/>
      </c>
    </row>
    <row r="68" ht="15" customHeight="1" s="38">
      <c r="A68" s="80">
        <f>'Blind Scoring Sheet'!A68</f>
        <v/>
      </c>
      <c r="B68" s="80">
        <f>MID(INDEX('Anonymization Key'!$B$4:$B$1003,MATCH(A68,'Anonymization Key'!$A$4:$A$1003,0)),3,2)</f>
        <v/>
      </c>
      <c r="C68" s="81">
        <f>IF(ISNUMBER('Blind Scoring Sheet'!B68),'Blind Scoring Sheet'!B68,VALUE(TRIM(LEFT('Blind Scoring Sheet'!B68,FIND("|",'Blind Scoring Sheet'!B68)-1))))</f>
        <v/>
      </c>
      <c r="D68" s="81">
        <f>IF(ISNUMBER('Blind Scoring Sheet'!D68),'Blind Scoring Sheet'!D68,VALUE(TRIM(LEFT('Blind Scoring Sheet'!D68,FIND("|",'Blind Scoring Sheet'!D68)-1))))</f>
        <v/>
      </c>
      <c r="E68" s="81">
        <f>IF(ISNUMBER('Blind Scoring Sheet'!F68),'Blind Scoring Sheet'!F68,VALUE(TRIM(LEFT('Blind Scoring Sheet'!F68,FIND("|",'Blind Scoring Sheet'!F68)-1))))</f>
        <v/>
      </c>
      <c r="F68" s="81">
        <f>IF(ISNUMBER('Blind Scoring Sheet'!H68),'Blind Scoring Sheet'!H68,VALUE(TRIM(LEFT('Blind Scoring Sheet'!H68,FIND("|",'Blind Scoring Sheet'!H68)-1))))</f>
        <v/>
      </c>
      <c r="G68" s="81">
        <f>IF(ISNUMBER('Blind Scoring Sheet'!J68),'Blind Scoring Sheet'!J68,VALUE(TRIM(LEFT('Blind Scoring Sheet'!J68,FIND("|",'Blind Scoring Sheet'!J68)-1))))</f>
        <v/>
      </c>
      <c r="H68" s="80">
        <f>IF(ISNUMBER(SEARCH("|",'Blind Scoring Sheet'!K68)),TRIM(LEFT('Blind Scoring Sheet'!K68,FIND("|",'Blind Scoring Sheet'!K68)-1)),TRIM('Blind Scoring Sheet'!K68))</f>
        <v/>
      </c>
    </row>
    <row r="69" ht="15" customHeight="1" s="38">
      <c r="A69" s="80">
        <f>'Blind Scoring Sheet'!A69</f>
        <v/>
      </c>
      <c r="B69" s="80">
        <f>MID(INDEX('Anonymization Key'!$B$4:$B$1003,MATCH(A69,'Anonymization Key'!$A$4:$A$1003,0)),3,2)</f>
        <v/>
      </c>
      <c r="C69" s="81">
        <f>IF(ISNUMBER('Blind Scoring Sheet'!B69),'Blind Scoring Sheet'!B69,VALUE(TRIM(LEFT('Blind Scoring Sheet'!B69,FIND("|",'Blind Scoring Sheet'!B69)-1))))</f>
        <v/>
      </c>
      <c r="D69" s="81">
        <f>IF(ISNUMBER('Blind Scoring Sheet'!D69),'Blind Scoring Sheet'!D69,VALUE(TRIM(LEFT('Blind Scoring Sheet'!D69,FIND("|",'Blind Scoring Sheet'!D69)-1))))</f>
        <v/>
      </c>
      <c r="E69" s="81">
        <f>IF(ISNUMBER('Blind Scoring Sheet'!F69),'Blind Scoring Sheet'!F69,VALUE(TRIM(LEFT('Blind Scoring Sheet'!F69,FIND("|",'Blind Scoring Sheet'!F69)-1))))</f>
        <v/>
      </c>
      <c r="F69" s="81">
        <f>IF(ISNUMBER('Blind Scoring Sheet'!H69),'Blind Scoring Sheet'!H69,VALUE(TRIM(LEFT('Blind Scoring Sheet'!H69,FIND("|",'Blind Scoring Sheet'!H69)-1))))</f>
        <v/>
      </c>
      <c r="G69" s="81">
        <f>IF(ISNUMBER('Blind Scoring Sheet'!J69),'Blind Scoring Sheet'!J69,VALUE(TRIM(LEFT('Blind Scoring Sheet'!J69,FIND("|",'Blind Scoring Sheet'!J69)-1))))</f>
        <v/>
      </c>
      <c r="H69" s="80">
        <f>IF(ISNUMBER(SEARCH("|",'Blind Scoring Sheet'!K69)),TRIM(LEFT('Blind Scoring Sheet'!K69,FIND("|",'Blind Scoring Sheet'!K69)-1)),TRIM('Blind Scoring Sheet'!K69))</f>
        <v/>
      </c>
    </row>
    <row r="70" ht="15" customHeight="1" s="38">
      <c r="A70" s="80">
        <f>'Blind Scoring Sheet'!A70</f>
        <v/>
      </c>
      <c r="B70" s="80">
        <f>MID(INDEX('Anonymization Key'!$B$4:$B$1003,MATCH(A70,'Anonymization Key'!$A$4:$A$1003,0)),3,2)</f>
        <v/>
      </c>
      <c r="C70" s="81">
        <f>IF(ISNUMBER('Blind Scoring Sheet'!B70),'Blind Scoring Sheet'!B70,VALUE(TRIM(LEFT('Blind Scoring Sheet'!B70,FIND("|",'Blind Scoring Sheet'!B70)-1))))</f>
        <v/>
      </c>
      <c r="D70" s="81">
        <f>IF(ISNUMBER('Blind Scoring Sheet'!D70),'Blind Scoring Sheet'!D70,VALUE(TRIM(LEFT('Blind Scoring Sheet'!D70,FIND("|",'Blind Scoring Sheet'!D70)-1))))</f>
        <v/>
      </c>
      <c r="E70" s="81">
        <f>IF(ISNUMBER('Blind Scoring Sheet'!F70),'Blind Scoring Sheet'!F70,VALUE(TRIM(LEFT('Blind Scoring Sheet'!F70,FIND("|",'Blind Scoring Sheet'!F70)-1))))</f>
        <v/>
      </c>
      <c r="F70" s="81">
        <f>IF(ISNUMBER('Blind Scoring Sheet'!H70),'Blind Scoring Sheet'!H70,VALUE(TRIM(LEFT('Blind Scoring Sheet'!H70,FIND("|",'Blind Scoring Sheet'!H70)-1))))</f>
        <v/>
      </c>
      <c r="G70" s="81">
        <f>IF(ISNUMBER('Blind Scoring Sheet'!J70),'Blind Scoring Sheet'!J70,VALUE(TRIM(LEFT('Blind Scoring Sheet'!J70,FIND("|",'Blind Scoring Sheet'!J70)-1))))</f>
        <v/>
      </c>
      <c r="H70" s="80">
        <f>IF(ISNUMBER(SEARCH("|",'Blind Scoring Sheet'!K70)),TRIM(LEFT('Blind Scoring Sheet'!K70,FIND("|",'Blind Scoring Sheet'!K70)-1)),TRIM('Blind Scoring Sheet'!K70))</f>
        <v/>
      </c>
    </row>
    <row r="71" ht="15" customHeight="1" s="38">
      <c r="A71" s="80">
        <f>'Blind Scoring Sheet'!A71</f>
        <v/>
      </c>
      <c r="B71" s="80">
        <f>MID(INDEX('Anonymization Key'!$B$4:$B$1003,MATCH(A71,'Anonymization Key'!$A$4:$A$1003,0)),3,2)</f>
        <v/>
      </c>
      <c r="C71" s="81">
        <f>IF(ISNUMBER('Blind Scoring Sheet'!B71),'Blind Scoring Sheet'!B71,VALUE(TRIM(LEFT('Blind Scoring Sheet'!B71,FIND("|",'Blind Scoring Sheet'!B71)-1))))</f>
        <v/>
      </c>
      <c r="D71" s="81">
        <f>IF(ISNUMBER('Blind Scoring Sheet'!D71),'Blind Scoring Sheet'!D71,VALUE(TRIM(LEFT('Blind Scoring Sheet'!D71,FIND("|",'Blind Scoring Sheet'!D71)-1))))</f>
        <v/>
      </c>
      <c r="E71" s="81">
        <f>IF(ISNUMBER('Blind Scoring Sheet'!F71),'Blind Scoring Sheet'!F71,VALUE(TRIM(LEFT('Blind Scoring Sheet'!F71,FIND("|",'Blind Scoring Sheet'!F71)-1))))</f>
        <v/>
      </c>
      <c r="F71" s="81">
        <f>IF(ISNUMBER('Blind Scoring Sheet'!H71),'Blind Scoring Sheet'!H71,VALUE(TRIM(LEFT('Blind Scoring Sheet'!H71,FIND("|",'Blind Scoring Sheet'!H71)-1))))</f>
        <v/>
      </c>
      <c r="G71" s="81">
        <f>IF(ISNUMBER('Blind Scoring Sheet'!J71),'Blind Scoring Sheet'!J71,VALUE(TRIM(LEFT('Blind Scoring Sheet'!J71,FIND("|",'Blind Scoring Sheet'!J71)-1))))</f>
        <v/>
      </c>
      <c r="H71" s="80">
        <f>IF(ISNUMBER(SEARCH("|",'Blind Scoring Sheet'!K71)),TRIM(LEFT('Blind Scoring Sheet'!K71,FIND("|",'Blind Scoring Sheet'!K71)-1)),TRIM('Blind Scoring Sheet'!K71))</f>
        <v/>
      </c>
    </row>
    <row r="72" ht="15" customHeight="1" s="38">
      <c r="A72" s="80">
        <f>'Blind Scoring Sheet'!A72</f>
        <v/>
      </c>
      <c r="B72" s="80">
        <f>MID(INDEX('Anonymization Key'!$B$4:$B$1003,MATCH(A72,'Anonymization Key'!$A$4:$A$1003,0)),3,2)</f>
        <v/>
      </c>
      <c r="C72" s="81">
        <f>IF(ISNUMBER('Blind Scoring Sheet'!B72),'Blind Scoring Sheet'!B72,VALUE(TRIM(LEFT('Blind Scoring Sheet'!B72,FIND("|",'Blind Scoring Sheet'!B72)-1))))</f>
        <v/>
      </c>
      <c r="D72" s="81">
        <f>IF(ISNUMBER('Blind Scoring Sheet'!D72),'Blind Scoring Sheet'!D72,VALUE(TRIM(LEFT('Blind Scoring Sheet'!D72,FIND("|",'Blind Scoring Sheet'!D72)-1))))</f>
        <v/>
      </c>
      <c r="E72" s="81">
        <f>IF(ISNUMBER('Blind Scoring Sheet'!F72),'Blind Scoring Sheet'!F72,VALUE(TRIM(LEFT('Blind Scoring Sheet'!F72,FIND("|",'Blind Scoring Sheet'!F72)-1))))</f>
        <v/>
      </c>
      <c r="F72" s="81">
        <f>IF(ISNUMBER('Blind Scoring Sheet'!H72),'Blind Scoring Sheet'!H72,VALUE(TRIM(LEFT('Blind Scoring Sheet'!H72,FIND("|",'Blind Scoring Sheet'!H72)-1))))</f>
        <v/>
      </c>
      <c r="G72" s="81">
        <f>IF(ISNUMBER('Blind Scoring Sheet'!J72),'Blind Scoring Sheet'!J72,VALUE(TRIM(LEFT('Blind Scoring Sheet'!J72,FIND("|",'Blind Scoring Sheet'!J72)-1))))</f>
        <v/>
      </c>
      <c r="H72" s="80">
        <f>IF(ISNUMBER(SEARCH("|",'Blind Scoring Sheet'!K72)),TRIM(LEFT('Blind Scoring Sheet'!K72,FIND("|",'Blind Scoring Sheet'!K72)-1)),TRIM('Blind Scoring Sheet'!K72))</f>
        <v/>
      </c>
    </row>
    <row r="73" ht="15" customHeight="1" s="38">
      <c r="A73" s="80">
        <f>'Blind Scoring Sheet'!A73</f>
        <v/>
      </c>
      <c r="B73" s="80">
        <f>MID(INDEX('Anonymization Key'!$B$4:$B$1003,MATCH(A73,'Anonymization Key'!$A$4:$A$1003,0)),3,2)</f>
        <v/>
      </c>
      <c r="C73" s="81">
        <f>IF(ISNUMBER('Blind Scoring Sheet'!B73),'Blind Scoring Sheet'!B73,VALUE(TRIM(LEFT('Blind Scoring Sheet'!B73,FIND("|",'Blind Scoring Sheet'!B73)-1))))</f>
        <v/>
      </c>
      <c r="D73" s="81">
        <f>IF(ISNUMBER('Blind Scoring Sheet'!D73),'Blind Scoring Sheet'!D73,VALUE(TRIM(LEFT('Blind Scoring Sheet'!D73,FIND("|",'Blind Scoring Sheet'!D73)-1))))</f>
        <v/>
      </c>
      <c r="E73" s="81">
        <f>IF(ISNUMBER('Blind Scoring Sheet'!F73),'Blind Scoring Sheet'!F73,VALUE(TRIM(LEFT('Blind Scoring Sheet'!F73,FIND("|",'Blind Scoring Sheet'!F73)-1))))</f>
        <v/>
      </c>
      <c r="F73" s="81">
        <f>IF(ISNUMBER('Blind Scoring Sheet'!H73),'Blind Scoring Sheet'!H73,VALUE(TRIM(LEFT('Blind Scoring Sheet'!H73,FIND("|",'Blind Scoring Sheet'!H73)-1))))</f>
        <v/>
      </c>
      <c r="G73" s="81">
        <f>IF(ISNUMBER('Blind Scoring Sheet'!J73),'Blind Scoring Sheet'!J73,VALUE(TRIM(LEFT('Blind Scoring Sheet'!J73,FIND("|",'Blind Scoring Sheet'!J73)-1))))</f>
        <v/>
      </c>
      <c r="H73" s="80">
        <f>IF(ISNUMBER(SEARCH("|",'Blind Scoring Sheet'!K73)),TRIM(LEFT('Blind Scoring Sheet'!K73,FIND("|",'Blind Scoring Sheet'!K73)-1)),TRIM('Blind Scoring Sheet'!K73))</f>
        <v/>
      </c>
    </row>
    <row r="74" ht="15" customHeight="1" s="38">
      <c r="A74" s="80">
        <f>'Blind Scoring Sheet'!A74</f>
        <v/>
      </c>
      <c r="B74" s="80">
        <f>MID(INDEX('Anonymization Key'!$B$4:$B$1003,MATCH(A74,'Anonymization Key'!$A$4:$A$1003,0)),3,2)</f>
        <v/>
      </c>
      <c r="C74" s="81">
        <f>IF(ISNUMBER('Blind Scoring Sheet'!B74),'Blind Scoring Sheet'!B74,VALUE(TRIM(LEFT('Blind Scoring Sheet'!B74,FIND("|",'Blind Scoring Sheet'!B74)-1))))</f>
        <v/>
      </c>
      <c r="D74" s="81">
        <f>IF(ISNUMBER('Blind Scoring Sheet'!D74),'Blind Scoring Sheet'!D74,VALUE(TRIM(LEFT('Blind Scoring Sheet'!D74,FIND("|",'Blind Scoring Sheet'!D74)-1))))</f>
        <v/>
      </c>
      <c r="E74" s="81">
        <f>IF(ISNUMBER('Blind Scoring Sheet'!F74),'Blind Scoring Sheet'!F74,VALUE(TRIM(LEFT('Blind Scoring Sheet'!F74,FIND("|",'Blind Scoring Sheet'!F74)-1))))</f>
        <v/>
      </c>
      <c r="F74" s="81">
        <f>IF(ISNUMBER('Blind Scoring Sheet'!H74),'Blind Scoring Sheet'!H74,VALUE(TRIM(LEFT('Blind Scoring Sheet'!H74,FIND("|",'Blind Scoring Sheet'!H74)-1))))</f>
        <v/>
      </c>
      <c r="G74" s="81">
        <f>IF(ISNUMBER('Blind Scoring Sheet'!J74),'Blind Scoring Sheet'!J74,VALUE(TRIM(LEFT('Blind Scoring Sheet'!J74,FIND("|",'Blind Scoring Sheet'!J74)-1))))</f>
        <v/>
      </c>
      <c r="H74" s="80">
        <f>IF(ISNUMBER(SEARCH("|",'Blind Scoring Sheet'!K74)),TRIM(LEFT('Blind Scoring Sheet'!K74,FIND("|",'Blind Scoring Sheet'!K74)-1)),TRIM('Blind Scoring Sheet'!K74))</f>
        <v/>
      </c>
    </row>
    <row r="75" ht="15" customHeight="1" s="38">
      <c r="A75" s="80">
        <f>'Blind Scoring Sheet'!A75</f>
        <v/>
      </c>
      <c r="B75" s="80">
        <f>MID(INDEX('Anonymization Key'!$B$4:$B$1003,MATCH(A75,'Anonymization Key'!$A$4:$A$1003,0)),3,2)</f>
        <v/>
      </c>
      <c r="C75" s="81">
        <f>IF(ISNUMBER('Blind Scoring Sheet'!B75),'Blind Scoring Sheet'!B75,VALUE(TRIM(LEFT('Blind Scoring Sheet'!B75,FIND("|",'Blind Scoring Sheet'!B75)-1))))</f>
        <v/>
      </c>
      <c r="D75" s="81">
        <f>IF(ISNUMBER('Blind Scoring Sheet'!D75),'Blind Scoring Sheet'!D75,VALUE(TRIM(LEFT('Blind Scoring Sheet'!D75,FIND("|",'Blind Scoring Sheet'!D75)-1))))</f>
        <v/>
      </c>
      <c r="E75" s="81">
        <f>IF(ISNUMBER('Blind Scoring Sheet'!F75),'Blind Scoring Sheet'!F75,VALUE(TRIM(LEFT('Blind Scoring Sheet'!F75,FIND("|",'Blind Scoring Sheet'!F75)-1))))</f>
        <v/>
      </c>
      <c r="F75" s="81">
        <f>IF(ISNUMBER('Blind Scoring Sheet'!H75),'Blind Scoring Sheet'!H75,VALUE(TRIM(LEFT('Blind Scoring Sheet'!H75,FIND("|",'Blind Scoring Sheet'!H75)-1))))</f>
        <v/>
      </c>
      <c r="G75" s="81">
        <f>IF(ISNUMBER('Blind Scoring Sheet'!J75),'Blind Scoring Sheet'!J75,VALUE(TRIM(LEFT('Blind Scoring Sheet'!J75,FIND("|",'Blind Scoring Sheet'!J75)-1))))</f>
        <v/>
      </c>
      <c r="H75" s="80">
        <f>IF(ISNUMBER(SEARCH("|",'Blind Scoring Sheet'!K75)),TRIM(LEFT('Blind Scoring Sheet'!K75,FIND("|",'Blind Scoring Sheet'!K75)-1)),TRIM('Blind Scoring Sheet'!K75))</f>
        <v/>
      </c>
    </row>
    <row r="76" ht="15" customHeight="1" s="38">
      <c r="A76" s="80">
        <f>'Blind Scoring Sheet'!A76</f>
        <v/>
      </c>
      <c r="B76" s="80">
        <f>MID(INDEX('Anonymization Key'!$B$4:$B$1003,MATCH(A76,'Anonymization Key'!$A$4:$A$1003,0)),3,2)</f>
        <v/>
      </c>
      <c r="C76" s="81">
        <f>IF(ISNUMBER('Blind Scoring Sheet'!B76),'Blind Scoring Sheet'!B76,VALUE(TRIM(LEFT('Blind Scoring Sheet'!B76,FIND("|",'Blind Scoring Sheet'!B76)-1))))</f>
        <v/>
      </c>
      <c r="D76" s="81">
        <f>IF(ISNUMBER('Blind Scoring Sheet'!D76),'Blind Scoring Sheet'!D76,VALUE(TRIM(LEFT('Blind Scoring Sheet'!D76,FIND("|",'Blind Scoring Sheet'!D76)-1))))</f>
        <v/>
      </c>
      <c r="E76" s="81">
        <f>IF(ISNUMBER('Blind Scoring Sheet'!F76),'Blind Scoring Sheet'!F76,VALUE(TRIM(LEFT('Blind Scoring Sheet'!F76,FIND("|",'Blind Scoring Sheet'!F76)-1))))</f>
        <v/>
      </c>
      <c r="F76" s="81">
        <f>IF(ISNUMBER('Blind Scoring Sheet'!H76),'Blind Scoring Sheet'!H76,VALUE(TRIM(LEFT('Blind Scoring Sheet'!H76,FIND("|",'Blind Scoring Sheet'!H76)-1))))</f>
        <v/>
      </c>
      <c r="G76" s="81">
        <f>IF(ISNUMBER('Blind Scoring Sheet'!J76),'Blind Scoring Sheet'!J76,VALUE(TRIM(LEFT('Blind Scoring Sheet'!J76,FIND("|",'Blind Scoring Sheet'!J76)-1))))</f>
        <v/>
      </c>
      <c r="H76" s="80">
        <f>IF(ISNUMBER(SEARCH("|",'Blind Scoring Sheet'!K76)),TRIM(LEFT('Blind Scoring Sheet'!K76,FIND("|",'Blind Scoring Sheet'!K76)-1)),TRIM('Blind Scoring Sheet'!K76))</f>
        <v/>
      </c>
    </row>
    <row r="77" ht="15" customHeight="1" s="38">
      <c r="A77" s="80">
        <f>'Blind Scoring Sheet'!A77</f>
        <v/>
      </c>
      <c r="B77" s="80">
        <f>MID(INDEX('Anonymization Key'!$B$4:$B$1003,MATCH(A77,'Anonymization Key'!$A$4:$A$1003,0)),3,2)</f>
        <v/>
      </c>
      <c r="C77" s="81">
        <f>IF(ISNUMBER('Blind Scoring Sheet'!B77),'Blind Scoring Sheet'!B77,VALUE(TRIM(LEFT('Blind Scoring Sheet'!B77,FIND("|",'Blind Scoring Sheet'!B77)-1))))</f>
        <v/>
      </c>
      <c r="D77" s="81">
        <f>IF(ISNUMBER('Blind Scoring Sheet'!D77),'Blind Scoring Sheet'!D77,VALUE(TRIM(LEFT('Blind Scoring Sheet'!D77,FIND("|",'Blind Scoring Sheet'!D77)-1))))</f>
        <v/>
      </c>
      <c r="E77" s="81">
        <f>IF(ISNUMBER('Blind Scoring Sheet'!F77),'Blind Scoring Sheet'!F77,VALUE(TRIM(LEFT('Blind Scoring Sheet'!F77,FIND("|",'Blind Scoring Sheet'!F77)-1))))</f>
        <v/>
      </c>
      <c r="F77" s="81">
        <f>IF(ISNUMBER('Blind Scoring Sheet'!H77),'Blind Scoring Sheet'!H77,VALUE(TRIM(LEFT('Blind Scoring Sheet'!H77,FIND("|",'Blind Scoring Sheet'!H77)-1))))</f>
        <v/>
      </c>
      <c r="G77" s="81">
        <f>IF(ISNUMBER('Blind Scoring Sheet'!J77),'Blind Scoring Sheet'!J77,VALUE(TRIM(LEFT('Blind Scoring Sheet'!J77,FIND("|",'Blind Scoring Sheet'!J77)-1))))</f>
        <v/>
      </c>
      <c r="H77" s="80">
        <f>IF(ISNUMBER(SEARCH("|",'Blind Scoring Sheet'!K77)),TRIM(LEFT('Blind Scoring Sheet'!K77,FIND("|",'Blind Scoring Sheet'!K77)-1)),TRIM('Blind Scoring Sheet'!K77))</f>
        <v/>
      </c>
    </row>
    <row r="78" ht="15" customHeight="1" s="38">
      <c r="A78" s="80">
        <f>'Blind Scoring Sheet'!A78</f>
        <v/>
      </c>
      <c r="B78" s="80">
        <f>MID(INDEX('Anonymization Key'!$B$4:$B$1003,MATCH(A78,'Anonymization Key'!$A$4:$A$1003,0)),3,2)</f>
        <v/>
      </c>
      <c r="C78" s="81">
        <f>IF(ISNUMBER('Blind Scoring Sheet'!B78),'Blind Scoring Sheet'!B78,VALUE(TRIM(LEFT('Blind Scoring Sheet'!B78,FIND("|",'Blind Scoring Sheet'!B78)-1))))</f>
        <v/>
      </c>
      <c r="D78" s="81">
        <f>IF(ISNUMBER('Blind Scoring Sheet'!D78),'Blind Scoring Sheet'!D78,VALUE(TRIM(LEFT('Blind Scoring Sheet'!D78,FIND("|",'Blind Scoring Sheet'!D78)-1))))</f>
        <v/>
      </c>
      <c r="E78" s="81">
        <f>IF(ISNUMBER('Blind Scoring Sheet'!F78),'Blind Scoring Sheet'!F78,VALUE(TRIM(LEFT('Blind Scoring Sheet'!F78,FIND("|",'Blind Scoring Sheet'!F78)-1))))</f>
        <v/>
      </c>
      <c r="F78" s="81">
        <f>IF(ISNUMBER('Blind Scoring Sheet'!H78),'Blind Scoring Sheet'!H78,VALUE(TRIM(LEFT('Blind Scoring Sheet'!H78,FIND("|",'Blind Scoring Sheet'!H78)-1))))</f>
        <v/>
      </c>
      <c r="G78" s="81">
        <f>IF(ISNUMBER('Blind Scoring Sheet'!J78),'Blind Scoring Sheet'!J78,VALUE(TRIM(LEFT('Blind Scoring Sheet'!J78,FIND("|",'Blind Scoring Sheet'!J78)-1))))</f>
        <v/>
      </c>
      <c r="H78" s="80">
        <f>IF(ISNUMBER(SEARCH("|",'Blind Scoring Sheet'!K78)),TRIM(LEFT('Blind Scoring Sheet'!K78,FIND("|",'Blind Scoring Sheet'!K78)-1)),TRIM('Blind Scoring Sheet'!K78))</f>
        <v/>
      </c>
    </row>
    <row r="79" ht="15" customHeight="1" s="38">
      <c r="A79" s="80">
        <f>'Blind Scoring Sheet'!A79</f>
        <v/>
      </c>
      <c r="B79" s="80">
        <f>MID(INDEX('Anonymization Key'!$B$4:$B$1003,MATCH(A79,'Anonymization Key'!$A$4:$A$1003,0)),3,2)</f>
        <v/>
      </c>
      <c r="C79" s="81">
        <f>IF(ISNUMBER('Blind Scoring Sheet'!B79),'Blind Scoring Sheet'!B79,VALUE(TRIM(LEFT('Blind Scoring Sheet'!B79,FIND("|",'Blind Scoring Sheet'!B79)-1))))</f>
        <v/>
      </c>
      <c r="D79" s="81">
        <f>IF(ISNUMBER('Blind Scoring Sheet'!D79),'Blind Scoring Sheet'!D79,VALUE(TRIM(LEFT('Blind Scoring Sheet'!D79,FIND("|",'Blind Scoring Sheet'!D79)-1))))</f>
        <v/>
      </c>
      <c r="E79" s="81">
        <f>IF(ISNUMBER('Blind Scoring Sheet'!F79),'Blind Scoring Sheet'!F79,VALUE(TRIM(LEFT('Blind Scoring Sheet'!F79,FIND("|",'Blind Scoring Sheet'!F79)-1))))</f>
        <v/>
      </c>
      <c r="F79" s="81">
        <f>IF(ISNUMBER('Blind Scoring Sheet'!H79),'Blind Scoring Sheet'!H79,VALUE(TRIM(LEFT('Blind Scoring Sheet'!H79,FIND("|",'Blind Scoring Sheet'!H79)-1))))</f>
        <v/>
      </c>
      <c r="G79" s="81">
        <f>IF(ISNUMBER('Blind Scoring Sheet'!J79),'Blind Scoring Sheet'!J79,VALUE(TRIM(LEFT('Blind Scoring Sheet'!J79,FIND("|",'Blind Scoring Sheet'!J79)-1))))</f>
        <v/>
      </c>
      <c r="H79" s="80">
        <f>IF(ISNUMBER(SEARCH("|",'Blind Scoring Sheet'!K79)),TRIM(LEFT('Blind Scoring Sheet'!K79,FIND("|",'Blind Scoring Sheet'!K79)-1)),TRIM('Blind Scoring Sheet'!K79))</f>
        <v/>
      </c>
    </row>
    <row r="80" ht="15" customHeight="1" s="38">
      <c r="A80" s="80">
        <f>'Blind Scoring Sheet'!A80</f>
        <v/>
      </c>
      <c r="B80" s="80">
        <f>MID(INDEX('Anonymization Key'!$B$4:$B$1003,MATCH(A80,'Anonymization Key'!$A$4:$A$1003,0)),3,2)</f>
        <v/>
      </c>
      <c r="C80" s="81">
        <f>IF(ISNUMBER('Blind Scoring Sheet'!B80),'Blind Scoring Sheet'!B80,VALUE(TRIM(LEFT('Blind Scoring Sheet'!B80,FIND("|",'Blind Scoring Sheet'!B80)-1))))</f>
        <v/>
      </c>
      <c r="D80" s="81">
        <f>IF(ISNUMBER('Blind Scoring Sheet'!D80),'Blind Scoring Sheet'!D80,VALUE(TRIM(LEFT('Blind Scoring Sheet'!D80,FIND("|",'Blind Scoring Sheet'!D80)-1))))</f>
        <v/>
      </c>
      <c r="E80" s="81">
        <f>IF(ISNUMBER('Blind Scoring Sheet'!F80),'Blind Scoring Sheet'!F80,VALUE(TRIM(LEFT('Blind Scoring Sheet'!F80,FIND("|",'Blind Scoring Sheet'!F80)-1))))</f>
        <v/>
      </c>
      <c r="F80" s="81">
        <f>IF(ISNUMBER('Blind Scoring Sheet'!H80),'Blind Scoring Sheet'!H80,VALUE(TRIM(LEFT('Blind Scoring Sheet'!H80,FIND("|",'Blind Scoring Sheet'!H80)-1))))</f>
        <v/>
      </c>
      <c r="G80" s="81">
        <f>IF(ISNUMBER('Blind Scoring Sheet'!J80),'Blind Scoring Sheet'!J80,VALUE(TRIM(LEFT('Blind Scoring Sheet'!J80,FIND("|",'Blind Scoring Sheet'!J80)-1))))</f>
        <v/>
      </c>
      <c r="H80" s="80">
        <f>IF(ISNUMBER(SEARCH("|",'Blind Scoring Sheet'!K80)),TRIM(LEFT('Blind Scoring Sheet'!K80,FIND("|",'Blind Scoring Sheet'!K80)-1)),TRIM('Blind Scoring Sheet'!K80))</f>
        <v/>
      </c>
    </row>
    <row r="81" ht="15" customHeight="1" s="38">
      <c r="A81" s="80">
        <f>'Blind Scoring Sheet'!A81</f>
        <v/>
      </c>
      <c r="B81" s="80">
        <f>MID(INDEX('Anonymization Key'!$B$4:$B$1003,MATCH(A81,'Anonymization Key'!$A$4:$A$1003,0)),3,2)</f>
        <v/>
      </c>
      <c r="C81" s="81">
        <f>IF(ISNUMBER('Blind Scoring Sheet'!B81),'Blind Scoring Sheet'!B81,VALUE(TRIM(LEFT('Blind Scoring Sheet'!B81,FIND("|",'Blind Scoring Sheet'!B81)-1))))</f>
        <v/>
      </c>
      <c r="D81" s="81">
        <f>IF(ISNUMBER('Blind Scoring Sheet'!D81),'Blind Scoring Sheet'!D81,VALUE(TRIM(LEFT('Blind Scoring Sheet'!D81,FIND("|",'Blind Scoring Sheet'!D81)-1))))</f>
        <v/>
      </c>
      <c r="E81" s="81">
        <f>IF(ISNUMBER('Blind Scoring Sheet'!F81),'Blind Scoring Sheet'!F81,VALUE(TRIM(LEFT('Blind Scoring Sheet'!F81,FIND("|",'Blind Scoring Sheet'!F81)-1))))</f>
        <v/>
      </c>
      <c r="F81" s="81">
        <f>IF(ISNUMBER('Blind Scoring Sheet'!H81),'Blind Scoring Sheet'!H81,VALUE(TRIM(LEFT('Blind Scoring Sheet'!H81,FIND("|",'Blind Scoring Sheet'!H81)-1))))</f>
        <v/>
      </c>
      <c r="G81" s="81">
        <f>IF(ISNUMBER('Blind Scoring Sheet'!J81),'Blind Scoring Sheet'!J81,VALUE(TRIM(LEFT('Blind Scoring Sheet'!J81,FIND("|",'Blind Scoring Sheet'!J81)-1))))</f>
        <v/>
      </c>
      <c r="H81" s="80">
        <f>IF(ISNUMBER(SEARCH("|",'Blind Scoring Sheet'!K81)),TRIM(LEFT('Blind Scoring Sheet'!K81,FIND("|",'Blind Scoring Sheet'!K81)-1)),TRIM('Blind Scoring Sheet'!K81))</f>
        <v/>
      </c>
    </row>
    <row r="82" ht="15" customHeight="1" s="38">
      <c r="A82" s="80">
        <f>'Blind Scoring Sheet'!A82</f>
        <v/>
      </c>
      <c r="B82" s="80">
        <f>MID(INDEX('Anonymization Key'!$B$4:$B$1003,MATCH(A82,'Anonymization Key'!$A$4:$A$1003,0)),3,2)</f>
        <v/>
      </c>
      <c r="C82" s="81">
        <f>IF(ISNUMBER('Blind Scoring Sheet'!B82),'Blind Scoring Sheet'!B82,VALUE(TRIM(LEFT('Blind Scoring Sheet'!B82,FIND("|",'Blind Scoring Sheet'!B82)-1))))</f>
        <v/>
      </c>
      <c r="D82" s="81">
        <f>IF(ISNUMBER('Blind Scoring Sheet'!D82),'Blind Scoring Sheet'!D82,VALUE(TRIM(LEFT('Blind Scoring Sheet'!D82,FIND("|",'Blind Scoring Sheet'!D82)-1))))</f>
        <v/>
      </c>
      <c r="E82" s="81">
        <f>IF(ISNUMBER('Blind Scoring Sheet'!F82),'Blind Scoring Sheet'!F82,VALUE(TRIM(LEFT('Blind Scoring Sheet'!F82,FIND("|",'Blind Scoring Sheet'!F82)-1))))</f>
        <v/>
      </c>
      <c r="F82" s="81">
        <f>IF(ISNUMBER('Blind Scoring Sheet'!H82),'Blind Scoring Sheet'!H82,VALUE(TRIM(LEFT('Blind Scoring Sheet'!H82,FIND("|",'Blind Scoring Sheet'!H82)-1))))</f>
        <v/>
      </c>
      <c r="G82" s="81">
        <f>IF(ISNUMBER('Blind Scoring Sheet'!J82),'Blind Scoring Sheet'!J82,VALUE(TRIM(LEFT('Blind Scoring Sheet'!J82,FIND("|",'Blind Scoring Sheet'!J82)-1))))</f>
        <v/>
      </c>
      <c r="H82" s="80">
        <f>IF(ISNUMBER(SEARCH("|",'Blind Scoring Sheet'!K82)),TRIM(LEFT('Blind Scoring Sheet'!K82,FIND("|",'Blind Scoring Sheet'!K82)-1)),TRIM('Blind Scoring Sheet'!K82))</f>
        <v/>
      </c>
    </row>
    <row r="83" ht="15" customHeight="1" s="38">
      <c r="A83" s="80">
        <f>'Blind Scoring Sheet'!A83</f>
        <v/>
      </c>
      <c r="B83" s="80">
        <f>MID(INDEX('Anonymization Key'!$B$4:$B$1003,MATCH(A83,'Anonymization Key'!$A$4:$A$1003,0)),3,2)</f>
        <v/>
      </c>
      <c r="C83" s="81">
        <f>IF(ISNUMBER('Blind Scoring Sheet'!B83),'Blind Scoring Sheet'!B83,VALUE(TRIM(LEFT('Blind Scoring Sheet'!B83,FIND("|",'Blind Scoring Sheet'!B83)-1))))</f>
        <v/>
      </c>
      <c r="D83" s="81">
        <f>IF(ISNUMBER('Blind Scoring Sheet'!D83),'Blind Scoring Sheet'!D83,VALUE(TRIM(LEFT('Blind Scoring Sheet'!D83,FIND("|",'Blind Scoring Sheet'!D83)-1))))</f>
        <v/>
      </c>
      <c r="E83" s="81">
        <f>IF(ISNUMBER('Blind Scoring Sheet'!F83),'Blind Scoring Sheet'!F83,VALUE(TRIM(LEFT('Blind Scoring Sheet'!F83,FIND("|",'Blind Scoring Sheet'!F83)-1))))</f>
        <v/>
      </c>
      <c r="F83" s="81">
        <f>IF(ISNUMBER('Blind Scoring Sheet'!H83),'Blind Scoring Sheet'!H83,VALUE(TRIM(LEFT('Blind Scoring Sheet'!H83,FIND("|",'Blind Scoring Sheet'!H83)-1))))</f>
        <v/>
      </c>
      <c r="G83" s="81">
        <f>IF(ISNUMBER('Blind Scoring Sheet'!J83),'Blind Scoring Sheet'!J83,VALUE(TRIM(LEFT('Blind Scoring Sheet'!J83,FIND("|",'Blind Scoring Sheet'!J83)-1))))</f>
        <v/>
      </c>
      <c r="H83" s="80">
        <f>IF(ISNUMBER(SEARCH("|",'Blind Scoring Sheet'!K83)),TRIM(LEFT('Blind Scoring Sheet'!K83,FIND("|",'Blind Scoring Sheet'!K83)-1)),TRIM('Blind Scoring Sheet'!K83))</f>
        <v/>
      </c>
    </row>
    <row r="84" ht="15" customHeight="1" s="38">
      <c r="A84" s="80">
        <f>'Blind Scoring Sheet'!A84</f>
        <v/>
      </c>
      <c r="B84" s="80">
        <f>MID(INDEX('Anonymization Key'!$B$4:$B$1003,MATCH(A84,'Anonymization Key'!$A$4:$A$1003,0)),3,2)</f>
        <v/>
      </c>
      <c r="C84" s="81">
        <f>IF(ISNUMBER('Blind Scoring Sheet'!B84),'Blind Scoring Sheet'!B84,VALUE(TRIM(LEFT('Blind Scoring Sheet'!B84,FIND("|",'Blind Scoring Sheet'!B84)-1))))</f>
        <v/>
      </c>
      <c r="D84" s="81">
        <f>IF(ISNUMBER('Blind Scoring Sheet'!D84),'Blind Scoring Sheet'!D84,VALUE(TRIM(LEFT('Blind Scoring Sheet'!D84,FIND("|",'Blind Scoring Sheet'!D84)-1))))</f>
        <v/>
      </c>
      <c r="E84" s="81">
        <f>IF(ISNUMBER('Blind Scoring Sheet'!F84),'Blind Scoring Sheet'!F84,VALUE(TRIM(LEFT('Blind Scoring Sheet'!F84,FIND("|",'Blind Scoring Sheet'!F84)-1))))</f>
        <v/>
      </c>
      <c r="F84" s="81">
        <f>IF(ISNUMBER('Blind Scoring Sheet'!H84),'Blind Scoring Sheet'!H84,VALUE(TRIM(LEFT('Blind Scoring Sheet'!H84,FIND("|",'Blind Scoring Sheet'!H84)-1))))</f>
        <v/>
      </c>
      <c r="G84" s="81">
        <f>IF(ISNUMBER('Blind Scoring Sheet'!J84),'Blind Scoring Sheet'!J84,VALUE(TRIM(LEFT('Blind Scoring Sheet'!J84,FIND("|",'Blind Scoring Sheet'!J84)-1))))</f>
        <v/>
      </c>
      <c r="H84" s="80">
        <f>IF(ISNUMBER(SEARCH("|",'Blind Scoring Sheet'!K84)),TRIM(LEFT('Blind Scoring Sheet'!K84,FIND("|",'Blind Scoring Sheet'!K84)-1)),TRIM('Blind Scoring Sheet'!K84))</f>
        <v/>
      </c>
    </row>
    <row r="85" ht="15" customHeight="1" s="38">
      <c r="A85" s="80">
        <f>'Blind Scoring Sheet'!A85</f>
        <v/>
      </c>
      <c r="B85" s="80">
        <f>MID(INDEX('Anonymization Key'!$B$4:$B$1003,MATCH(A85,'Anonymization Key'!$A$4:$A$1003,0)),3,2)</f>
        <v/>
      </c>
      <c r="C85" s="81">
        <f>IF(ISNUMBER('Blind Scoring Sheet'!B85),'Blind Scoring Sheet'!B85,VALUE(TRIM(LEFT('Blind Scoring Sheet'!B85,FIND("|",'Blind Scoring Sheet'!B85)-1))))</f>
        <v/>
      </c>
      <c r="D85" s="81">
        <f>IF(ISNUMBER('Blind Scoring Sheet'!D85),'Blind Scoring Sheet'!D85,VALUE(TRIM(LEFT('Blind Scoring Sheet'!D85,FIND("|",'Blind Scoring Sheet'!D85)-1))))</f>
        <v/>
      </c>
      <c r="E85" s="81">
        <f>IF(ISNUMBER('Blind Scoring Sheet'!F85),'Blind Scoring Sheet'!F85,VALUE(TRIM(LEFT('Blind Scoring Sheet'!F85,FIND("|",'Blind Scoring Sheet'!F85)-1))))</f>
        <v/>
      </c>
      <c r="F85" s="81">
        <f>IF(ISNUMBER('Blind Scoring Sheet'!H85),'Blind Scoring Sheet'!H85,VALUE(TRIM(LEFT('Blind Scoring Sheet'!H85,FIND("|",'Blind Scoring Sheet'!H85)-1))))</f>
        <v/>
      </c>
      <c r="G85" s="81">
        <f>IF(ISNUMBER('Blind Scoring Sheet'!J85),'Blind Scoring Sheet'!J85,VALUE(TRIM(LEFT('Blind Scoring Sheet'!J85,FIND("|",'Blind Scoring Sheet'!J85)-1))))</f>
        <v/>
      </c>
      <c r="H85" s="80">
        <f>IF(ISNUMBER(SEARCH("|",'Blind Scoring Sheet'!K85)),TRIM(LEFT('Blind Scoring Sheet'!K85,FIND("|",'Blind Scoring Sheet'!K85)-1)),TRIM('Blind Scoring Sheet'!K85))</f>
        <v/>
      </c>
    </row>
    <row r="86" ht="15" customHeight="1" s="38">
      <c r="A86" s="80">
        <f>'Blind Scoring Sheet'!A86</f>
        <v/>
      </c>
      <c r="B86" s="80">
        <f>MID(INDEX('Anonymization Key'!$B$4:$B$1003,MATCH(A86,'Anonymization Key'!$A$4:$A$1003,0)),3,2)</f>
        <v/>
      </c>
      <c r="C86" s="81">
        <f>IF(ISNUMBER('Blind Scoring Sheet'!B86),'Blind Scoring Sheet'!B86,VALUE(TRIM(LEFT('Blind Scoring Sheet'!B86,FIND("|",'Blind Scoring Sheet'!B86)-1))))</f>
        <v/>
      </c>
      <c r="D86" s="81">
        <f>IF(ISNUMBER('Blind Scoring Sheet'!D86),'Blind Scoring Sheet'!D86,VALUE(TRIM(LEFT('Blind Scoring Sheet'!D86,FIND("|",'Blind Scoring Sheet'!D86)-1))))</f>
        <v/>
      </c>
      <c r="E86" s="81">
        <f>IF(ISNUMBER('Blind Scoring Sheet'!F86),'Blind Scoring Sheet'!F86,VALUE(TRIM(LEFT('Blind Scoring Sheet'!F86,FIND("|",'Blind Scoring Sheet'!F86)-1))))</f>
        <v/>
      </c>
      <c r="F86" s="81">
        <f>IF(ISNUMBER('Blind Scoring Sheet'!H86),'Blind Scoring Sheet'!H86,VALUE(TRIM(LEFT('Blind Scoring Sheet'!H86,FIND("|",'Blind Scoring Sheet'!H86)-1))))</f>
        <v/>
      </c>
      <c r="G86" s="81">
        <f>IF(ISNUMBER('Blind Scoring Sheet'!J86),'Blind Scoring Sheet'!J86,VALUE(TRIM(LEFT('Blind Scoring Sheet'!J86,FIND("|",'Blind Scoring Sheet'!J86)-1))))</f>
        <v/>
      </c>
      <c r="H86" s="80">
        <f>IF(ISNUMBER(SEARCH("|",'Blind Scoring Sheet'!K86)),TRIM(LEFT('Blind Scoring Sheet'!K86,FIND("|",'Blind Scoring Sheet'!K86)-1)),TRIM('Blind Scoring Sheet'!K86))</f>
        <v/>
      </c>
    </row>
    <row r="87" ht="15" customHeight="1" s="38">
      <c r="A87" s="80">
        <f>'Blind Scoring Sheet'!A87</f>
        <v/>
      </c>
      <c r="B87" s="80">
        <f>MID(INDEX('Anonymization Key'!$B$4:$B$1003,MATCH(A87,'Anonymization Key'!$A$4:$A$1003,0)),3,2)</f>
        <v/>
      </c>
      <c r="C87" s="81">
        <f>IF(ISNUMBER('Blind Scoring Sheet'!B87),'Blind Scoring Sheet'!B87,VALUE(TRIM(LEFT('Blind Scoring Sheet'!B87,FIND("|",'Blind Scoring Sheet'!B87)-1))))</f>
        <v/>
      </c>
      <c r="D87" s="81">
        <f>IF(ISNUMBER('Blind Scoring Sheet'!D87),'Blind Scoring Sheet'!D87,VALUE(TRIM(LEFT('Blind Scoring Sheet'!D87,FIND("|",'Blind Scoring Sheet'!D87)-1))))</f>
        <v/>
      </c>
      <c r="E87" s="81">
        <f>IF(ISNUMBER('Blind Scoring Sheet'!F87),'Blind Scoring Sheet'!F87,VALUE(TRIM(LEFT('Blind Scoring Sheet'!F87,FIND("|",'Blind Scoring Sheet'!F87)-1))))</f>
        <v/>
      </c>
      <c r="F87" s="81">
        <f>IF(ISNUMBER('Blind Scoring Sheet'!H87),'Blind Scoring Sheet'!H87,VALUE(TRIM(LEFT('Blind Scoring Sheet'!H87,FIND("|",'Blind Scoring Sheet'!H87)-1))))</f>
        <v/>
      </c>
      <c r="G87" s="81">
        <f>IF(ISNUMBER('Blind Scoring Sheet'!J87),'Blind Scoring Sheet'!J87,VALUE(TRIM(LEFT('Blind Scoring Sheet'!J87,FIND("|",'Blind Scoring Sheet'!J87)-1))))</f>
        <v/>
      </c>
      <c r="H87" s="80">
        <f>IF(ISNUMBER(SEARCH("|",'Blind Scoring Sheet'!K87)),TRIM(LEFT('Blind Scoring Sheet'!K87,FIND("|",'Blind Scoring Sheet'!K87)-1)),TRIM('Blind Scoring Sheet'!K87))</f>
        <v/>
      </c>
    </row>
    <row r="88" ht="15" customHeight="1" s="38">
      <c r="A88" s="80">
        <f>'Blind Scoring Sheet'!A88</f>
        <v/>
      </c>
      <c r="B88" s="80">
        <f>MID(INDEX('Anonymization Key'!$B$4:$B$1003,MATCH(A88,'Anonymization Key'!$A$4:$A$1003,0)),3,2)</f>
        <v/>
      </c>
      <c r="C88" s="81">
        <f>IF(ISNUMBER('Blind Scoring Sheet'!B88),'Blind Scoring Sheet'!B88,VALUE(TRIM(LEFT('Blind Scoring Sheet'!B88,FIND("|",'Blind Scoring Sheet'!B88)-1))))</f>
        <v/>
      </c>
      <c r="D88" s="81">
        <f>IF(ISNUMBER('Blind Scoring Sheet'!D88),'Blind Scoring Sheet'!D88,VALUE(TRIM(LEFT('Blind Scoring Sheet'!D88,FIND("|",'Blind Scoring Sheet'!D88)-1))))</f>
        <v/>
      </c>
      <c r="E88" s="81">
        <f>IF(ISNUMBER('Blind Scoring Sheet'!F88),'Blind Scoring Sheet'!F88,VALUE(TRIM(LEFT('Blind Scoring Sheet'!F88,FIND("|",'Blind Scoring Sheet'!F88)-1))))</f>
        <v/>
      </c>
      <c r="F88" s="81">
        <f>IF(ISNUMBER('Blind Scoring Sheet'!H88),'Blind Scoring Sheet'!H88,VALUE(TRIM(LEFT('Blind Scoring Sheet'!H88,FIND("|",'Blind Scoring Sheet'!H88)-1))))</f>
        <v/>
      </c>
      <c r="G88" s="81">
        <f>IF(ISNUMBER('Blind Scoring Sheet'!J88),'Blind Scoring Sheet'!J88,VALUE(TRIM(LEFT('Blind Scoring Sheet'!J88,FIND("|",'Blind Scoring Sheet'!J88)-1))))</f>
        <v/>
      </c>
      <c r="H88" s="80">
        <f>IF(ISNUMBER(SEARCH("|",'Blind Scoring Sheet'!K88)),TRIM(LEFT('Blind Scoring Sheet'!K88,FIND("|",'Blind Scoring Sheet'!K88)-1)),TRIM('Blind Scoring Sheet'!K88))</f>
        <v/>
      </c>
    </row>
    <row r="89" ht="15" customHeight="1" s="38">
      <c r="A89" s="80">
        <f>'Blind Scoring Sheet'!A89</f>
        <v/>
      </c>
      <c r="B89" s="80">
        <f>MID(INDEX('Anonymization Key'!$B$4:$B$1003,MATCH(A89,'Anonymization Key'!$A$4:$A$1003,0)),3,2)</f>
        <v/>
      </c>
      <c r="C89" s="81">
        <f>IF(ISNUMBER('Blind Scoring Sheet'!B89),'Blind Scoring Sheet'!B89,VALUE(TRIM(LEFT('Blind Scoring Sheet'!B89,FIND("|",'Blind Scoring Sheet'!B89)-1))))</f>
        <v/>
      </c>
      <c r="D89" s="81">
        <f>IF(ISNUMBER('Blind Scoring Sheet'!D89),'Blind Scoring Sheet'!D89,VALUE(TRIM(LEFT('Blind Scoring Sheet'!D89,FIND("|",'Blind Scoring Sheet'!D89)-1))))</f>
        <v/>
      </c>
      <c r="E89" s="81">
        <f>IF(ISNUMBER('Blind Scoring Sheet'!F89),'Blind Scoring Sheet'!F89,VALUE(TRIM(LEFT('Blind Scoring Sheet'!F89,FIND("|",'Blind Scoring Sheet'!F89)-1))))</f>
        <v/>
      </c>
      <c r="F89" s="81">
        <f>IF(ISNUMBER('Blind Scoring Sheet'!H89),'Blind Scoring Sheet'!H89,VALUE(TRIM(LEFT('Blind Scoring Sheet'!H89,FIND("|",'Blind Scoring Sheet'!H89)-1))))</f>
        <v/>
      </c>
      <c r="G89" s="81">
        <f>IF(ISNUMBER('Blind Scoring Sheet'!J89),'Blind Scoring Sheet'!J89,VALUE(TRIM(LEFT('Blind Scoring Sheet'!J89,FIND("|",'Blind Scoring Sheet'!J89)-1))))</f>
        <v/>
      </c>
      <c r="H89" s="80">
        <f>IF(ISNUMBER(SEARCH("|",'Blind Scoring Sheet'!K89)),TRIM(LEFT('Blind Scoring Sheet'!K89,FIND("|",'Blind Scoring Sheet'!K89)-1)),TRIM('Blind Scoring Sheet'!K89))</f>
        <v/>
      </c>
    </row>
    <row r="90" ht="15" customHeight="1" s="38">
      <c r="A90" s="80">
        <f>'Blind Scoring Sheet'!A90</f>
        <v/>
      </c>
      <c r="B90" s="80">
        <f>MID(INDEX('Anonymization Key'!$B$4:$B$1003,MATCH(A90,'Anonymization Key'!$A$4:$A$1003,0)),3,2)</f>
        <v/>
      </c>
      <c r="C90" s="81">
        <f>IF(ISNUMBER('Blind Scoring Sheet'!B90),'Blind Scoring Sheet'!B90,VALUE(TRIM(LEFT('Blind Scoring Sheet'!B90,FIND("|",'Blind Scoring Sheet'!B90)-1))))</f>
        <v/>
      </c>
      <c r="D90" s="81">
        <f>IF(ISNUMBER('Blind Scoring Sheet'!D90),'Blind Scoring Sheet'!D90,VALUE(TRIM(LEFT('Blind Scoring Sheet'!D90,FIND("|",'Blind Scoring Sheet'!D90)-1))))</f>
        <v/>
      </c>
      <c r="E90" s="81">
        <f>IF(ISNUMBER('Blind Scoring Sheet'!F90),'Blind Scoring Sheet'!F90,VALUE(TRIM(LEFT('Blind Scoring Sheet'!F90,FIND("|",'Blind Scoring Sheet'!F90)-1))))</f>
        <v/>
      </c>
      <c r="F90" s="81">
        <f>IF(ISNUMBER('Blind Scoring Sheet'!H90),'Blind Scoring Sheet'!H90,VALUE(TRIM(LEFT('Blind Scoring Sheet'!H90,FIND("|",'Blind Scoring Sheet'!H90)-1))))</f>
        <v/>
      </c>
      <c r="G90" s="81">
        <f>IF(ISNUMBER('Blind Scoring Sheet'!J90),'Blind Scoring Sheet'!J90,VALUE(TRIM(LEFT('Blind Scoring Sheet'!J90,FIND("|",'Blind Scoring Sheet'!J90)-1))))</f>
        <v/>
      </c>
      <c r="H90" s="80">
        <f>IF(ISNUMBER(SEARCH("|",'Blind Scoring Sheet'!K90)),TRIM(LEFT('Blind Scoring Sheet'!K90,FIND("|",'Blind Scoring Sheet'!K90)-1)),TRIM('Blind Scoring Sheet'!K90))</f>
        <v/>
      </c>
    </row>
    <row r="91" ht="15" customHeight="1" s="38">
      <c r="A91" s="80">
        <f>'Blind Scoring Sheet'!A91</f>
        <v/>
      </c>
      <c r="B91" s="80">
        <f>MID(INDEX('Anonymization Key'!$B$4:$B$1003,MATCH(A91,'Anonymization Key'!$A$4:$A$1003,0)),3,2)</f>
        <v/>
      </c>
      <c r="C91" s="81">
        <f>IF(ISNUMBER('Blind Scoring Sheet'!B91),'Blind Scoring Sheet'!B91,VALUE(TRIM(LEFT('Blind Scoring Sheet'!B91,FIND("|",'Blind Scoring Sheet'!B91)-1))))</f>
        <v/>
      </c>
      <c r="D91" s="81">
        <f>IF(ISNUMBER('Blind Scoring Sheet'!D91),'Blind Scoring Sheet'!D91,VALUE(TRIM(LEFT('Blind Scoring Sheet'!D91,FIND("|",'Blind Scoring Sheet'!D91)-1))))</f>
        <v/>
      </c>
      <c r="E91" s="81">
        <f>IF(ISNUMBER('Blind Scoring Sheet'!F91),'Blind Scoring Sheet'!F91,VALUE(TRIM(LEFT('Blind Scoring Sheet'!F91,FIND("|",'Blind Scoring Sheet'!F91)-1))))</f>
        <v/>
      </c>
      <c r="F91" s="81">
        <f>IF(ISNUMBER('Blind Scoring Sheet'!H91),'Blind Scoring Sheet'!H91,VALUE(TRIM(LEFT('Blind Scoring Sheet'!H91,FIND("|",'Blind Scoring Sheet'!H91)-1))))</f>
        <v/>
      </c>
      <c r="G91" s="81">
        <f>IF(ISNUMBER('Blind Scoring Sheet'!J91),'Blind Scoring Sheet'!J91,VALUE(TRIM(LEFT('Blind Scoring Sheet'!J91,FIND("|",'Blind Scoring Sheet'!J91)-1))))</f>
        <v/>
      </c>
      <c r="H91" s="80">
        <f>IF(ISNUMBER(SEARCH("|",'Blind Scoring Sheet'!K91)),TRIM(LEFT('Blind Scoring Sheet'!K91,FIND("|",'Blind Scoring Sheet'!K91)-1)),TRIM('Blind Scoring Sheet'!K91))</f>
        <v/>
      </c>
    </row>
    <row r="92" ht="15" customHeight="1" s="38">
      <c r="A92" s="80">
        <f>'Blind Scoring Sheet'!A92</f>
        <v/>
      </c>
      <c r="B92" s="80">
        <f>MID(INDEX('Anonymization Key'!$B$4:$B$1003,MATCH(A92,'Anonymization Key'!$A$4:$A$1003,0)),3,2)</f>
        <v/>
      </c>
      <c r="C92" s="81">
        <f>IF(ISNUMBER('Blind Scoring Sheet'!B92),'Blind Scoring Sheet'!B92,VALUE(TRIM(LEFT('Blind Scoring Sheet'!B92,FIND("|",'Blind Scoring Sheet'!B92)-1))))</f>
        <v/>
      </c>
      <c r="D92" s="81">
        <f>IF(ISNUMBER('Blind Scoring Sheet'!D92),'Blind Scoring Sheet'!D92,VALUE(TRIM(LEFT('Blind Scoring Sheet'!D92,FIND("|",'Blind Scoring Sheet'!D92)-1))))</f>
        <v/>
      </c>
      <c r="E92" s="81">
        <f>IF(ISNUMBER('Blind Scoring Sheet'!F92),'Blind Scoring Sheet'!F92,VALUE(TRIM(LEFT('Blind Scoring Sheet'!F92,FIND("|",'Blind Scoring Sheet'!F92)-1))))</f>
        <v/>
      </c>
      <c r="F92" s="81">
        <f>IF(ISNUMBER('Blind Scoring Sheet'!H92),'Blind Scoring Sheet'!H92,VALUE(TRIM(LEFT('Blind Scoring Sheet'!H92,FIND("|",'Blind Scoring Sheet'!H92)-1))))</f>
        <v/>
      </c>
      <c r="G92" s="81">
        <f>IF(ISNUMBER('Blind Scoring Sheet'!J92),'Blind Scoring Sheet'!J92,VALUE(TRIM(LEFT('Blind Scoring Sheet'!J92,FIND("|",'Blind Scoring Sheet'!J92)-1))))</f>
        <v/>
      </c>
      <c r="H92" s="80">
        <f>IF(ISNUMBER(SEARCH("|",'Blind Scoring Sheet'!K92)),TRIM(LEFT('Blind Scoring Sheet'!K92,FIND("|",'Blind Scoring Sheet'!K92)-1)),TRIM('Blind Scoring Sheet'!K92))</f>
        <v/>
      </c>
    </row>
    <row r="93" ht="15" customHeight="1" s="38">
      <c r="A93" s="80">
        <f>'Blind Scoring Sheet'!A93</f>
        <v/>
      </c>
      <c r="B93" s="80">
        <f>MID(INDEX('Anonymization Key'!$B$4:$B$1003,MATCH(A93,'Anonymization Key'!$A$4:$A$1003,0)),3,2)</f>
        <v/>
      </c>
      <c r="C93" s="81">
        <f>IF(ISNUMBER('Blind Scoring Sheet'!B93),'Blind Scoring Sheet'!B93,VALUE(TRIM(LEFT('Blind Scoring Sheet'!B93,FIND("|",'Blind Scoring Sheet'!B93)-1))))</f>
        <v/>
      </c>
      <c r="D93" s="81">
        <f>IF(ISNUMBER('Blind Scoring Sheet'!D93),'Blind Scoring Sheet'!D93,VALUE(TRIM(LEFT('Blind Scoring Sheet'!D93,FIND("|",'Blind Scoring Sheet'!D93)-1))))</f>
        <v/>
      </c>
      <c r="E93" s="81">
        <f>IF(ISNUMBER('Blind Scoring Sheet'!F93),'Blind Scoring Sheet'!F93,VALUE(TRIM(LEFT('Blind Scoring Sheet'!F93,FIND("|",'Blind Scoring Sheet'!F93)-1))))</f>
        <v/>
      </c>
      <c r="F93" s="81">
        <f>IF(ISNUMBER('Blind Scoring Sheet'!H93),'Blind Scoring Sheet'!H93,VALUE(TRIM(LEFT('Blind Scoring Sheet'!H93,FIND("|",'Blind Scoring Sheet'!H93)-1))))</f>
        <v/>
      </c>
      <c r="G93" s="81">
        <f>IF(ISNUMBER('Blind Scoring Sheet'!J93),'Blind Scoring Sheet'!J93,VALUE(TRIM(LEFT('Blind Scoring Sheet'!J93,FIND("|",'Blind Scoring Sheet'!J93)-1))))</f>
        <v/>
      </c>
      <c r="H93" s="80">
        <f>IF(ISNUMBER(SEARCH("|",'Blind Scoring Sheet'!K93)),TRIM(LEFT('Blind Scoring Sheet'!K93,FIND("|",'Blind Scoring Sheet'!K93)-1)),TRIM('Blind Scoring Sheet'!K93))</f>
        <v/>
      </c>
    </row>
    <row r="94" ht="15" customHeight="1" s="38">
      <c r="A94" s="80">
        <f>'Blind Scoring Sheet'!A94</f>
        <v/>
      </c>
      <c r="B94" s="80">
        <f>MID(INDEX('Anonymization Key'!$B$4:$B$1003,MATCH(A94,'Anonymization Key'!$A$4:$A$1003,0)),3,2)</f>
        <v/>
      </c>
      <c r="C94" s="81">
        <f>IF(ISNUMBER('Blind Scoring Sheet'!B94),'Blind Scoring Sheet'!B94,VALUE(TRIM(LEFT('Blind Scoring Sheet'!B94,FIND("|",'Blind Scoring Sheet'!B94)-1))))</f>
        <v/>
      </c>
      <c r="D94" s="81">
        <f>IF(ISNUMBER('Blind Scoring Sheet'!D94),'Blind Scoring Sheet'!D94,VALUE(TRIM(LEFT('Blind Scoring Sheet'!D94,FIND("|",'Blind Scoring Sheet'!D94)-1))))</f>
        <v/>
      </c>
      <c r="E94" s="81">
        <f>IF(ISNUMBER('Blind Scoring Sheet'!F94),'Blind Scoring Sheet'!F94,VALUE(TRIM(LEFT('Blind Scoring Sheet'!F94,FIND("|",'Blind Scoring Sheet'!F94)-1))))</f>
        <v/>
      </c>
      <c r="F94" s="81">
        <f>IF(ISNUMBER('Blind Scoring Sheet'!H94),'Blind Scoring Sheet'!H94,VALUE(TRIM(LEFT('Blind Scoring Sheet'!H94,FIND("|",'Blind Scoring Sheet'!H94)-1))))</f>
        <v/>
      </c>
      <c r="G94" s="81">
        <f>IF(ISNUMBER('Blind Scoring Sheet'!J94),'Blind Scoring Sheet'!J94,VALUE(TRIM(LEFT('Blind Scoring Sheet'!J94,FIND("|",'Blind Scoring Sheet'!J94)-1))))</f>
        <v/>
      </c>
      <c r="H94" s="80">
        <f>IF(ISNUMBER(SEARCH("|",'Blind Scoring Sheet'!K94)),TRIM(LEFT('Blind Scoring Sheet'!K94,FIND("|",'Blind Scoring Sheet'!K94)-1)),TRIM('Blind Scoring Sheet'!K94))</f>
        <v/>
      </c>
    </row>
    <row r="95" ht="15" customHeight="1" s="38">
      <c r="A95" s="80">
        <f>'Blind Scoring Sheet'!A95</f>
        <v/>
      </c>
      <c r="B95" s="80">
        <f>MID(INDEX('Anonymization Key'!$B$4:$B$1003,MATCH(A95,'Anonymization Key'!$A$4:$A$1003,0)),3,2)</f>
        <v/>
      </c>
      <c r="C95" s="81">
        <f>IF(ISNUMBER('Blind Scoring Sheet'!B95),'Blind Scoring Sheet'!B95,VALUE(TRIM(LEFT('Blind Scoring Sheet'!B95,FIND("|",'Blind Scoring Sheet'!B95)-1))))</f>
        <v/>
      </c>
      <c r="D95" s="81">
        <f>IF(ISNUMBER('Blind Scoring Sheet'!D95),'Blind Scoring Sheet'!D95,VALUE(TRIM(LEFT('Blind Scoring Sheet'!D95,FIND("|",'Blind Scoring Sheet'!D95)-1))))</f>
        <v/>
      </c>
      <c r="E95" s="81">
        <f>IF(ISNUMBER('Blind Scoring Sheet'!F95),'Blind Scoring Sheet'!F95,VALUE(TRIM(LEFT('Blind Scoring Sheet'!F95,FIND("|",'Blind Scoring Sheet'!F95)-1))))</f>
        <v/>
      </c>
      <c r="F95" s="81">
        <f>IF(ISNUMBER('Blind Scoring Sheet'!H95),'Blind Scoring Sheet'!H95,VALUE(TRIM(LEFT('Blind Scoring Sheet'!H95,FIND("|",'Blind Scoring Sheet'!H95)-1))))</f>
        <v/>
      </c>
      <c r="G95" s="81">
        <f>IF(ISNUMBER('Blind Scoring Sheet'!J95),'Blind Scoring Sheet'!J95,VALUE(TRIM(LEFT('Blind Scoring Sheet'!J95,FIND("|",'Blind Scoring Sheet'!J95)-1))))</f>
        <v/>
      </c>
      <c r="H95" s="80">
        <f>IF(ISNUMBER(SEARCH("|",'Blind Scoring Sheet'!K95)),TRIM(LEFT('Blind Scoring Sheet'!K95,FIND("|",'Blind Scoring Sheet'!K95)-1)),TRIM('Blind Scoring Sheet'!K95))</f>
        <v/>
      </c>
    </row>
    <row r="96" ht="15" customHeight="1" s="38">
      <c r="A96" s="80">
        <f>'Blind Scoring Sheet'!A96</f>
        <v/>
      </c>
      <c r="B96" s="80">
        <f>MID(INDEX('Anonymization Key'!$B$4:$B$1003,MATCH(A96,'Anonymization Key'!$A$4:$A$1003,0)),3,2)</f>
        <v/>
      </c>
      <c r="C96" s="81">
        <f>IF(ISNUMBER('Blind Scoring Sheet'!B96),'Blind Scoring Sheet'!B96,VALUE(TRIM(LEFT('Blind Scoring Sheet'!B96,FIND("|",'Blind Scoring Sheet'!B96)-1))))</f>
        <v/>
      </c>
      <c r="D96" s="81">
        <f>IF(ISNUMBER('Blind Scoring Sheet'!D96),'Blind Scoring Sheet'!D96,VALUE(TRIM(LEFT('Blind Scoring Sheet'!D96,FIND("|",'Blind Scoring Sheet'!D96)-1))))</f>
        <v/>
      </c>
      <c r="E96" s="81">
        <f>IF(ISNUMBER('Blind Scoring Sheet'!F96),'Blind Scoring Sheet'!F96,VALUE(TRIM(LEFT('Blind Scoring Sheet'!F96,FIND("|",'Blind Scoring Sheet'!F96)-1))))</f>
        <v/>
      </c>
      <c r="F96" s="81">
        <f>IF(ISNUMBER('Blind Scoring Sheet'!H96),'Blind Scoring Sheet'!H96,VALUE(TRIM(LEFT('Blind Scoring Sheet'!H96,FIND("|",'Blind Scoring Sheet'!H96)-1))))</f>
        <v/>
      </c>
      <c r="G96" s="81">
        <f>IF(ISNUMBER('Blind Scoring Sheet'!J96),'Blind Scoring Sheet'!J96,VALUE(TRIM(LEFT('Blind Scoring Sheet'!J96,FIND("|",'Blind Scoring Sheet'!J96)-1))))</f>
        <v/>
      </c>
      <c r="H96" s="80">
        <f>IF(ISNUMBER(SEARCH("|",'Blind Scoring Sheet'!K96)),TRIM(LEFT('Blind Scoring Sheet'!K96,FIND("|",'Blind Scoring Sheet'!K96)-1)),TRIM('Blind Scoring Sheet'!K96))</f>
        <v/>
      </c>
    </row>
    <row r="97" ht="15" customHeight="1" s="38">
      <c r="A97" s="80">
        <f>'Blind Scoring Sheet'!A97</f>
        <v/>
      </c>
      <c r="B97" s="80">
        <f>MID(INDEX('Anonymization Key'!$B$4:$B$1003,MATCH(A97,'Anonymization Key'!$A$4:$A$1003,0)),3,2)</f>
        <v/>
      </c>
      <c r="C97" s="81">
        <f>IF(ISNUMBER('Blind Scoring Sheet'!B97),'Blind Scoring Sheet'!B97,VALUE(TRIM(LEFT('Blind Scoring Sheet'!B97,FIND("|",'Blind Scoring Sheet'!B97)-1))))</f>
        <v/>
      </c>
      <c r="D97" s="81">
        <f>IF(ISNUMBER('Blind Scoring Sheet'!D97),'Blind Scoring Sheet'!D97,VALUE(TRIM(LEFT('Blind Scoring Sheet'!D97,FIND("|",'Blind Scoring Sheet'!D97)-1))))</f>
        <v/>
      </c>
      <c r="E97" s="81">
        <f>IF(ISNUMBER('Blind Scoring Sheet'!F97),'Blind Scoring Sheet'!F97,VALUE(TRIM(LEFT('Blind Scoring Sheet'!F97,FIND("|",'Blind Scoring Sheet'!F97)-1))))</f>
        <v/>
      </c>
      <c r="F97" s="81">
        <f>IF(ISNUMBER('Blind Scoring Sheet'!H97),'Blind Scoring Sheet'!H97,VALUE(TRIM(LEFT('Blind Scoring Sheet'!H97,FIND("|",'Blind Scoring Sheet'!H97)-1))))</f>
        <v/>
      </c>
      <c r="G97" s="81">
        <f>IF(ISNUMBER('Blind Scoring Sheet'!J97),'Blind Scoring Sheet'!J97,VALUE(TRIM(LEFT('Blind Scoring Sheet'!J97,FIND("|",'Blind Scoring Sheet'!J97)-1))))</f>
        <v/>
      </c>
      <c r="H97" s="80">
        <f>IF(ISNUMBER(SEARCH("|",'Blind Scoring Sheet'!K97)),TRIM(LEFT('Blind Scoring Sheet'!K97,FIND("|",'Blind Scoring Sheet'!K97)-1)),TRIM('Blind Scoring Sheet'!K97))</f>
        <v/>
      </c>
    </row>
    <row r="98" ht="15" customHeight="1" s="38">
      <c r="A98" s="80">
        <f>'Blind Scoring Sheet'!A98</f>
        <v/>
      </c>
      <c r="B98" s="80">
        <f>MID(INDEX('Anonymization Key'!$B$4:$B$1003,MATCH(A98,'Anonymization Key'!$A$4:$A$1003,0)),3,2)</f>
        <v/>
      </c>
      <c r="C98" s="81">
        <f>IF(ISNUMBER('Blind Scoring Sheet'!B98),'Blind Scoring Sheet'!B98,VALUE(TRIM(LEFT('Blind Scoring Sheet'!B98,FIND("|",'Blind Scoring Sheet'!B98)-1))))</f>
        <v/>
      </c>
      <c r="D98" s="81">
        <f>IF(ISNUMBER('Blind Scoring Sheet'!D98),'Blind Scoring Sheet'!D98,VALUE(TRIM(LEFT('Blind Scoring Sheet'!D98,FIND("|",'Blind Scoring Sheet'!D98)-1))))</f>
        <v/>
      </c>
      <c r="E98" s="81">
        <f>IF(ISNUMBER('Blind Scoring Sheet'!F98),'Blind Scoring Sheet'!F98,VALUE(TRIM(LEFT('Blind Scoring Sheet'!F98,FIND("|",'Blind Scoring Sheet'!F98)-1))))</f>
        <v/>
      </c>
      <c r="F98" s="81">
        <f>IF(ISNUMBER('Blind Scoring Sheet'!H98),'Blind Scoring Sheet'!H98,VALUE(TRIM(LEFT('Blind Scoring Sheet'!H98,FIND("|",'Blind Scoring Sheet'!H98)-1))))</f>
        <v/>
      </c>
      <c r="G98" s="81">
        <f>IF(ISNUMBER('Blind Scoring Sheet'!J98),'Blind Scoring Sheet'!J98,VALUE(TRIM(LEFT('Blind Scoring Sheet'!J98,FIND("|",'Blind Scoring Sheet'!J98)-1))))</f>
        <v/>
      </c>
      <c r="H98" s="80">
        <f>IF(ISNUMBER(SEARCH("|",'Blind Scoring Sheet'!K98)),TRIM(LEFT('Blind Scoring Sheet'!K98,FIND("|",'Blind Scoring Sheet'!K98)-1)),TRIM('Blind Scoring Sheet'!K98))</f>
        <v/>
      </c>
    </row>
    <row r="99" ht="15" customHeight="1" s="38">
      <c r="A99" s="80">
        <f>'Blind Scoring Sheet'!A99</f>
        <v/>
      </c>
      <c r="B99" s="80">
        <f>MID(INDEX('Anonymization Key'!$B$4:$B$1003,MATCH(A99,'Anonymization Key'!$A$4:$A$1003,0)),3,2)</f>
        <v/>
      </c>
      <c r="C99" s="81">
        <f>IF(ISNUMBER('Blind Scoring Sheet'!B99),'Blind Scoring Sheet'!B99,VALUE(TRIM(LEFT('Blind Scoring Sheet'!B99,FIND("|",'Blind Scoring Sheet'!B99)-1))))</f>
        <v/>
      </c>
      <c r="D99" s="81">
        <f>IF(ISNUMBER('Blind Scoring Sheet'!D99),'Blind Scoring Sheet'!D99,VALUE(TRIM(LEFT('Blind Scoring Sheet'!D99,FIND("|",'Blind Scoring Sheet'!D99)-1))))</f>
        <v/>
      </c>
      <c r="E99" s="81">
        <f>IF(ISNUMBER('Blind Scoring Sheet'!F99),'Blind Scoring Sheet'!F99,VALUE(TRIM(LEFT('Blind Scoring Sheet'!F99,FIND("|",'Blind Scoring Sheet'!F99)-1))))</f>
        <v/>
      </c>
      <c r="F99" s="81">
        <f>IF(ISNUMBER('Blind Scoring Sheet'!H99),'Blind Scoring Sheet'!H99,VALUE(TRIM(LEFT('Blind Scoring Sheet'!H99,FIND("|",'Blind Scoring Sheet'!H99)-1))))</f>
        <v/>
      </c>
      <c r="G99" s="81">
        <f>IF(ISNUMBER('Blind Scoring Sheet'!J99),'Blind Scoring Sheet'!J99,VALUE(TRIM(LEFT('Blind Scoring Sheet'!J99,FIND("|",'Blind Scoring Sheet'!J99)-1))))</f>
        <v/>
      </c>
      <c r="H99" s="80">
        <f>IF(ISNUMBER(SEARCH("|",'Blind Scoring Sheet'!K99)),TRIM(LEFT('Blind Scoring Sheet'!K99,FIND("|",'Blind Scoring Sheet'!K99)-1)),TRIM('Blind Scoring Sheet'!K99))</f>
        <v/>
      </c>
    </row>
    <row r="100" ht="15" customHeight="1" s="38">
      <c r="A100" s="80">
        <f>'Blind Scoring Sheet'!A100</f>
        <v/>
      </c>
      <c r="B100" s="80">
        <f>MID(INDEX('Anonymization Key'!$B$4:$B$1003,MATCH(A100,'Anonymization Key'!$A$4:$A$1003,0)),3,2)</f>
        <v/>
      </c>
      <c r="C100" s="81">
        <f>IF(ISNUMBER('Blind Scoring Sheet'!B100),'Blind Scoring Sheet'!B100,VALUE(TRIM(LEFT('Blind Scoring Sheet'!B100,FIND("|",'Blind Scoring Sheet'!B100)-1))))</f>
        <v/>
      </c>
      <c r="D100" s="81">
        <f>IF(ISNUMBER('Blind Scoring Sheet'!D100),'Blind Scoring Sheet'!D100,VALUE(TRIM(LEFT('Blind Scoring Sheet'!D100,FIND("|",'Blind Scoring Sheet'!D100)-1))))</f>
        <v/>
      </c>
      <c r="E100" s="81">
        <f>IF(ISNUMBER('Blind Scoring Sheet'!F100),'Blind Scoring Sheet'!F100,VALUE(TRIM(LEFT('Blind Scoring Sheet'!F100,FIND("|",'Blind Scoring Sheet'!F100)-1))))</f>
        <v/>
      </c>
      <c r="F100" s="81">
        <f>IF(ISNUMBER('Blind Scoring Sheet'!H100),'Blind Scoring Sheet'!H100,VALUE(TRIM(LEFT('Blind Scoring Sheet'!H100,FIND("|",'Blind Scoring Sheet'!H100)-1))))</f>
        <v/>
      </c>
      <c r="G100" s="81">
        <f>IF(ISNUMBER('Blind Scoring Sheet'!J100),'Blind Scoring Sheet'!J100,VALUE(TRIM(LEFT('Blind Scoring Sheet'!J100,FIND("|",'Blind Scoring Sheet'!J100)-1))))</f>
        <v/>
      </c>
      <c r="H100" s="80">
        <f>IF(ISNUMBER(SEARCH("|",'Blind Scoring Sheet'!K100)),TRIM(LEFT('Blind Scoring Sheet'!K100,FIND("|",'Blind Scoring Sheet'!K100)-1)),TRIM('Blind Scoring Sheet'!K100))</f>
        <v/>
      </c>
    </row>
    <row r="101" ht="15" customHeight="1" s="38">
      <c r="A101" s="80">
        <f>'Blind Scoring Sheet'!A101</f>
        <v/>
      </c>
      <c r="B101" s="80">
        <f>MID(INDEX('Anonymization Key'!$B$4:$B$1003,MATCH(A101,'Anonymization Key'!$A$4:$A$1003,0)),3,2)</f>
        <v/>
      </c>
      <c r="C101" s="81">
        <f>IF(ISNUMBER('Blind Scoring Sheet'!B101),'Blind Scoring Sheet'!B101,VALUE(TRIM(LEFT('Blind Scoring Sheet'!B101,FIND("|",'Blind Scoring Sheet'!B101)-1))))</f>
        <v/>
      </c>
      <c r="D101" s="81">
        <f>IF(ISNUMBER('Blind Scoring Sheet'!D101),'Blind Scoring Sheet'!D101,VALUE(TRIM(LEFT('Blind Scoring Sheet'!D101,FIND("|",'Blind Scoring Sheet'!D101)-1))))</f>
        <v/>
      </c>
      <c r="E101" s="81">
        <f>IF(ISNUMBER('Blind Scoring Sheet'!F101),'Blind Scoring Sheet'!F101,VALUE(TRIM(LEFT('Blind Scoring Sheet'!F101,FIND("|",'Blind Scoring Sheet'!F101)-1))))</f>
        <v/>
      </c>
      <c r="F101" s="81">
        <f>IF(ISNUMBER('Blind Scoring Sheet'!H101),'Blind Scoring Sheet'!H101,VALUE(TRIM(LEFT('Blind Scoring Sheet'!H101,FIND("|",'Blind Scoring Sheet'!H101)-1))))</f>
        <v/>
      </c>
      <c r="G101" s="81">
        <f>IF(ISNUMBER('Blind Scoring Sheet'!J101),'Blind Scoring Sheet'!J101,VALUE(TRIM(LEFT('Blind Scoring Sheet'!J101,FIND("|",'Blind Scoring Sheet'!J101)-1))))</f>
        <v/>
      </c>
      <c r="H101" s="80">
        <f>IF(ISNUMBER(SEARCH("|",'Blind Scoring Sheet'!K101)),TRIM(LEFT('Blind Scoring Sheet'!K101,FIND("|",'Blind Scoring Sheet'!K101)-1)),TRIM('Blind Scoring Sheet'!K101))</f>
        <v/>
      </c>
    </row>
    <row r="102" ht="15" customHeight="1" s="38">
      <c r="A102" s="80">
        <f>'Blind Scoring Sheet'!A102</f>
        <v/>
      </c>
      <c r="B102" s="80">
        <f>MID(INDEX('Anonymization Key'!$B$4:$B$1003,MATCH(A102,'Anonymization Key'!$A$4:$A$1003,0)),3,2)</f>
        <v/>
      </c>
      <c r="C102" s="81">
        <f>IF(ISNUMBER('Blind Scoring Sheet'!B102),'Blind Scoring Sheet'!B102,VALUE(TRIM(LEFT('Blind Scoring Sheet'!B102,FIND("|",'Blind Scoring Sheet'!B102)-1))))</f>
        <v/>
      </c>
      <c r="D102" s="81">
        <f>IF(ISNUMBER('Blind Scoring Sheet'!D102),'Blind Scoring Sheet'!D102,VALUE(TRIM(LEFT('Blind Scoring Sheet'!D102,FIND("|",'Blind Scoring Sheet'!D102)-1))))</f>
        <v/>
      </c>
      <c r="E102" s="81">
        <f>IF(ISNUMBER('Blind Scoring Sheet'!F102),'Blind Scoring Sheet'!F102,VALUE(TRIM(LEFT('Blind Scoring Sheet'!F102,FIND("|",'Blind Scoring Sheet'!F102)-1))))</f>
        <v/>
      </c>
      <c r="F102" s="81">
        <f>IF(ISNUMBER('Blind Scoring Sheet'!H102),'Blind Scoring Sheet'!H102,VALUE(TRIM(LEFT('Blind Scoring Sheet'!H102,FIND("|",'Blind Scoring Sheet'!H102)-1))))</f>
        <v/>
      </c>
      <c r="G102" s="81">
        <f>IF(ISNUMBER('Blind Scoring Sheet'!J102),'Blind Scoring Sheet'!J102,VALUE(TRIM(LEFT('Blind Scoring Sheet'!J102,FIND("|",'Blind Scoring Sheet'!J102)-1))))</f>
        <v/>
      </c>
      <c r="H102" s="80">
        <f>IF(ISNUMBER(SEARCH("|",'Blind Scoring Sheet'!K102)),TRIM(LEFT('Blind Scoring Sheet'!K102,FIND("|",'Blind Scoring Sheet'!K102)-1)),TRIM('Blind Scoring Sheet'!K102))</f>
        <v/>
      </c>
    </row>
    <row r="103" ht="15" customHeight="1" s="38">
      <c r="A103" s="80">
        <f>'Blind Scoring Sheet'!A103</f>
        <v/>
      </c>
      <c r="B103" s="80">
        <f>MID(INDEX('Anonymization Key'!$B$4:$B$1003,MATCH(A103,'Anonymization Key'!$A$4:$A$1003,0)),3,2)</f>
        <v/>
      </c>
      <c r="C103" s="81">
        <f>IF(ISNUMBER('Blind Scoring Sheet'!B103),'Blind Scoring Sheet'!B103,VALUE(TRIM(LEFT('Blind Scoring Sheet'!B103,FIND("|",'Blind Scoring Sheet'!B103)-1))))</f>
        <v/>
      </c>
      <c r="D103" s="81">
        <f>IF(ISNUMBER('Blind Scoring Sheet'!D103),'Blind Scoring Sheet'!D103,VALUE(TRIM(LEFT('Blind Scoring Sheet'!D103,FIND("|",'Blind Scoring Sheet'!D103)-1))))</f>
        <v/>
      </c>
      <c r="E103" s="81">
        <f>IF(ISNUMBER('Blind Scoring Sheet'!F103),'Blind Scoring Sheet'!F103,VALUE(TRIM(LEFT('Blind Scoring Sheet'!F103,FIND("|",'Blind Scoring Sheet'!F103)-1))))</f>
        <v/>
      </c>
      <c r="F103" s="81">
        <f>IF(ISNUMBER('Blind Scoring Sheet'!H103),'Blind Scoring Sheet'!H103,VALUE(TRIM(LEFT('Blind Scoring Sheet'!H103,FIND("|",'Blind Scoring Sheet'!H103)-1))))</f>
        <v/>
      </c>
      <c r="G103" s="81">
        <f>IF(ISNUMBER('Blind Scoring Sheet'!J103),'Blind Scoring Sheet'!J103,VALUE(TRIM(LEFT('Blind Scoring Sheet'!J103,FIND("|",'Blind Scoring Sheet'!J103)-1))))</f>
        <v/>
      </c>
      <c r="H103" s="80">
        <f>IF(ISNUMBER(SEARCH("|",'Blind Scoring Sheet'!K103)),TRIM(LEFT('Blind Scoring Sheet'!K103,FIND("|",'Blind Scoring Sheet'!K103)-1)),TRIM('Blind Scoring Sheet'!K103))</f>
        <v/>
      </c>
    </row>
    <row r="104" ht="15" customHeight="1" s="38">
      <c r="A104" s="80">
        <f>'Blind Scoring Sheet'!A104</f>
        <v/>
      </c>
      <c r="B104" s="80">
        <f>MID(INDEX('Anonymization Key'!$B$4:$B$1003,MATCH(A104,'Anonymization Key'!$A$4:$A$1003,0)),3,2)</f>
        <v/>
      </c>
      <c r="C104" s="81">
        <f>IF(ISNUMBER('Blind Scoring Sheet'!B104),'Blind Scoring Sheet'!B104,VALUE(TRIM(LEFT('Blind Scoring Sheet'!B104,FIND("|",'Blind Scoring Sheet'!B104)-1))))</f>
        <v/>
      </c>
      <c r="D104" s="81">
        <f>IF(ISNUMBER('Blind Scoring Sheet'!D104),'Blind Scoring Sheet'!D104,VALUE(TRIM(LEFT('Blind Scoring Sheet'!D104,FIND("|",'Blind Scoring Sheet'!D104)-1))))</f>
        <v/>
      </c>
      <c r="E104" s="81">
        <f>IF(ISNUMBER('Blind Scoring Sheet'!F104),'Blind Scoring Sheet'!F104,VALUE(TRIM(LEFT('Blind Scoring Sheet'!F104,FIND("|",'Blind Scoring Sheet'!F104)-1))))</f>
        <v/>
      </c>
      <c r="F104" s="81">
        <f>IF(ISNUMBER('Blind Scoring Sheet'!H104),'Blind Scoring Sheet'!H104,VALUE(TRIM(LEFT('Blind Scoring Sheet'!H104,FIND("|",'Blind Scoring Sheet'!H104)-1))))</f>
        <v/>
      </c>
      <c r="G104" s="81">
        <f>IF(ISNUMBER('Blind Scoring Sheet'!J104),'Blind Scoring Sheet'!J104,VALUE(TRIM(LEFT('Blind Scoring Sheet'!J104,FIND("|",'Blind Scoring Sheet'!J104)-1))))</f>
        <v/>
      </c>
      <c r="H104" s="80">
        <f>IF(ISNUMBER(SEARCH("|",'Blind Scoring Sheet'!K104)),TRIM(LEFT('Blind Scoring Sheet'!K104,FIND("|",'Blind Scoring Sheet'!K104)-1)),TRIM('Blind Scoring Sheet'!K104))</f>
        <v/>
      </c>
    </row>
    <row r="105" ht="15" customHeight="1" s="38">
      <c r="A105" s="80">
        <f>'Blind Scoring Sheet'!A105</f>
        <v/>
      </c>
      <c r="B105" s="80">
        <f>MID(INDEX('Anonymization Key'!$B$4:$B$1003,MATCH(A105,'Anonymization Key'!$A$4:$A$1003,0)),3,2)</f>
        <v/>
      </c>
      <c r="C105" s="81">
        <f>IF(ISNUMBER('Blind Scoring Sheet'!B105),'Blind Scoring Sheet'!B105,VALUE(TRIM(LEFT('Blind Scoring Sheet'!B105,FIND("|",'Blind Scoring Sheet'!B105)-1))))</f>
        <v/>
      </c>
      <c r="D105" s="81">
        <f>IF(ISNUMBER('Blind Scoring Sheet'!D105),'Blind Scoring Sheet'!D105,VALUE(TRIM(LEFT('Blind Scoring Sheet'!D105,FIND("|",'Blind Scoring Sheet'!D105)-1))))</f>
        <v/>
      </c>
      <c r="E105" s="81">
        <f>IF(ISNUMBER('Blind Scoring Sheet'!F105),'Blind Scoring Sheet'!F105,VALUE(TRIM(LEFT('Blind Scoring Sheet'!F105,FIND("|",'Blind Scoring Sheet'!F105)-1))))</f>
        <v/>
      </c>
      <c r="F105" s="81">
        <f>IF(ISNUMBER('Blind Scoring Sheet'!H105),'Blind Scoring Sheet'!H105,VALUE(TRIM(LEFT('Blind Scoring Sheet'!H105,FIND("|",'Blind Scoring Sheet'!H105)-1))))</f>
        <v/>
      </c>
      <c r="G105" s="81">
        <f>IF(ISNUMBER('Blind Scoring Sheet'!J105),'Blind Scoring Sheet'!J105,VALUE(TRIM(LEFT('Blind Scoring Sheet'!J105,FIND("|",'Blind Scoring Sheet'!J105)-1))))</f>
        <v/>
      </c>
      <c r="H105" s="80">
        <f>IF(ISNUMBER(SEARCH("|",'Blind Scoring Sheet'!K105)),TRIM(LEFT('Blind Scoring Sheet'!K105,FIND("|",'Blind Scoring Sheet'!K105)-1)),TRIM('Blind Scoring Sheet'!K105))</f>
        <v/>
      </c>
    </row>
    <row r="106" ht="15" customHeight="1" s="38">
      <c r="A106" s="80">
        <f>'Blind Scoring Sheet'!A106</f>
        <v/>
      </c>
      <c r="B106" s="80">
        <f>MID(INDEX('Anonymization Key'!$B$4:$B$1003,MATCH(A106,'Anonymization Key'!$A$4:$A$1003,0)),3,2)</f>
        <v/>
      </c>
      <c r="C106" s="81">
        <f>IF(ISNUMBER('Blind Scoring Sheet'!B106),'Blind Scoring Sheet'!B106,VALUE(TRIM(LEFT('Blind Scoring Sheet'!B106,FIND("|",'Blind Scoring Sheet'!B106)-1))))</f>
        <v/>
      </c>
      <c r="D106" s="81">
        <f>IF(ISNUMBER('Blind Scoring Sheet'!D106),'Blind Scoring Sheet'!D106,VALUE(TRIM(LEFT('Blind Scoring Sheet'!D106,FIND("|",'Blind Scoring Sheet'!D106)-1))))</f>
        <v/>
      </c>
      <c r="E106" s="81">
        <f>IF(ISNUMBER('Blind Scoring Sheet'!F106),'Blind Scoring Sheet'!F106,VALUE(TRIM(LEFT('Blind Scoring Sheet'!F106,FIND("|",'Blind Scoring Sheet'!F106)-1))))</f>
        <v/>
      </c>
      <c r="F106" s="81">
        <f>IF(ISNUMBER('Blind Scoring Sheet'!H106),'Blind Scoring Sheet'!H106,VALUE(TRIM(LEFT('Blind Scoring Sheet'!H106,FIND("|",'Blind Scoring Sheet'!H106)-1))))</f>
        <v/>
      </c>
      <c r="G106" s="81">
        <f>IF(ISNUMBER('Blind Scoring Sheet'!J106),'Blind Scoring Sheet'!J106,VALUE(TRIM(LEFT('Blind Scoring Sheet'!J106,FIND("|",'Blind Scoring Sheet'!J106)-1))))</f>
        <v/>
      </c>
      <c r="H106" s="80">
        <f>IF(ISNUMBER(SEARCH("|",'Blind Scoring Sheet'!K106)),TRIM(LEFT('Blind Scoring Sheet'!K106,FIND("|",'Blind Scoring Sheet'!K106)-1)),TRIM('Blind Scoring Sheet'!K106))</f>
        <v/>
      </c>
    </row>
    <row r="107" ht="15" customHeight="1" s="38">
      <c r="A107" s="80">
        <f>'Blind Scoring Sheet'!A107</f>
        <v/>
      </c>
      <c r="B107" s="80">
        <f>MID(INDEX('Anonymization Key'!$B$4:$B$1003,MATCH(A107,'Anonymization Key'!$A$4:$A$1003,0)),3,2)</f>
        <v/>
      </c>
      <c r="C107" s="81">
        <f>IF(ISNUMBER('Blind Scoring Sheet'!B107),'Blind Scoring Sheet'!B107,VALUE(TRIM(LEFT('Blind Scoring Sheet'!B107,FIND("|",'Blind Scoring Sheet'!B107)-1))))</f>
        <v/>
      </c>
      <c r="D107" s="81">
        <f>IF(ISNUMBER('Blind Scoring Sheet'!D107),'Blind Scoring Sheet'!D107,VALUE(TRIM(LEFT('Blind Scoring Sheet'!D107,FIND("|",'Blind Scoring Sheet'!D107)-1))))</f>
        <v/>
      </c>
      <c r="E107" s="81">
        <f>IF(ISNUMBER('Blind Scoring Sheet'!F107),'Blind Scoring Sheet'!F107,VALUE(TRIM(LEFT('Blind Scoring Sheet'!F107,FIND("|",'Blind Scoring Sheet'!F107)-1))))</f>
        <v/>
      </c>
      <c r="F107" s="81">
        <f>IF(ISNUMBER('Blind Scoring Sheet'!H107),'Blind Scoring Sheet'!H107,VALUE(TRIM(LEFT('Blind Scoring Sheet'!H107,FIND("|",'Blind Scoring Sheet'!H107)-1))))</f>
        <v/>
      </c>
      <c r="G107" s="81">
        <f>IF(ISNUMBER('Blind Scoring Sheet'!J107),'Blind Scoring Sheet'!J107,VALUE(TRIM(LEFT('Blind Scoring Sheet'!J107,FIND("|",'Blind Scoring Sheet'!J107)-1))))</f>
        <v/>
      </c>
      <c r="H107" s="80">
        <f>IF(ISNUMBER(SEARCH("|",'Blind Scoring Sheet'!K107)),TRIM(LEFT('Blind Scoring Sheet'!K107,FIND("|",'Blind Scoring Sheet'!K107)-1)),TRIM('Blind Scoring Sheet'!K107))</f>
        <v/>
      </c>
    </row>
    <row r="108" ht="15" customHeight="1" s="38">
      <c r="A108" s="80">
        <f>'Blind Scoring Sheet'!A108</f>
        <v/>
      </c>
      <c r="B108" s="80">
        <f>MID(INDEX('Anonymization Key'!$B$4:$B$1003,MATCH(A108,'Anonymization Key'!$A$4:$A$1003,0)),3,2)</f>
        <v/>
      </c>
      <c r="C108" s="81">
        <f>IF(ISNUMBER('Blind Scoring Sheet'!B108),'Blind Scoring Sheet'!B108,VALUE(TRIM(LEFT('Blind Scoring Sheet'!B108,FIND("|",'Blind Scoring Sheet'!B108)-1))))</f>
        <v/>
      </c>
      <c r="D108" s="81">
        <f>IF(ISNUMBER('Blind Scoring Sheet'!D108),'Blind Scoring Sheet'!D108,VALUE(TRIM(LEFT('Blind Scoring Sheet'!D108,FIND("|",'Blind Scoring Sheet'!D108)-1))))</f>
        <v/>
      </c>
      <c r="E108" s="81">
        <f>IF(ISNUMBER('Blind Scoring Sheet'!F108),'Blind Scoring Sheet'!F108,VALUE(TRIM(LEFT('Blind Scoring Sheet'!F108,FIND("|",'Blind Scoring Sheet'!F108)-1))))</f>
        <v/>
      </c>
      <c r="F108" s="81">
        <f>IF(ISNUMBER('Blind Scoring Sheet'!H108),'Blind Scoring Sheet'!H108,VALUE(TRIM(LEFT('Blind Scoring Sheet'!H108,FIND("|",'Blind Scoring Sheet'!H108)-1))))</f>
        <v/>
      </c>
      <c r="G108" s="81">
        <f>IF(ISNUMBER('Blind Scoring Sheet'!J108),'Blind Scoring Sheet'!J108,VALUE(TRIM(LEFT('Blind Scoring Sheet'!J108,FIND("|",'Blind Scoring Sheet'!J108)-1))))</f>
        <v/>
      </c>
      <c r="H108" s="80">
        <f>IF(ISNUMBER(SEARCH("|",'Blind Scoring Sheet'!K108)),TRIM(LEFT('Blind Scoring Sheet'!K108,FIND("|",'Blind Scoring Sheet'!K108)-1)),TRIM('Blind Scoring Sheet'!K108))</f>
        <v/>
      </c>
    </row>
    <row r="109" ht="15" customHeight="1" s="38">
      <c r="A109" s="80">
        <f>'Blind Scoring Sheet'!A109</f>
        <v/>
      </c>
      <c r="B109" s="80">
        <f>MID(INDEX('Anonymization Key'!$B$4:$B$1003,MATCH(A109,'Anonymization Key'!$A$4:$A$1003,0)),3,2)</f>
        <v/>
      </c>
      <c r="C109" s="81">
        <f>IF(ISNUMBER('Blind Scoring Sheet'!B109),'Blind Scoring Sheet'!B109,VALUE(TRIM(LEFT('Blind Scoring Sheet'!B109,FIND("|",'Blind Scoring Sheet'!B109)-1))))</f>
        <v/>
      </c>
      <c r="D109" s="81">
        <f>IF(ISNUMBER('Blind Scoring Sheet'!D109),'Blind Scoring Sheet'!D109,VALUE(TRIM(LEFT('Blind Scoring Sheet'!D109,FIND("|",'Blind Scoring Sheet'!D109)-1))))</f>
        <v/>
      </c>
      <c r="E109" s="81">
        <f>IF(ISNUMBER('Blind Scoring Sheet'!F109),'Blind Scoring Sheet'!F109,VALUE(TRIM(LEFT('Blind Scoring Sheet'!F109,FIND("|",'Blind Scoring Sheet'!F109)-1))))</f>
        <v/>
      </c>
      <c r="F109" s="81">
        <f>IF(ISNUMBER('Blind Scoring Sheet'!H109),'Blind Scoring Sheet'!H109,VALUE(TRIM(LEFT('Blind Scoring Sheet'!H109,FIND("|",'Blind Scoring Sheet'!H109)-1))))</f>
        <v/>
      </c>
      <c r="G109" s="81">
        <f>IF(ISNUMBER('Blind Scoring Sheet'!J109),'Blind Scoring Sheet'!J109,VALUE(TRIM(LEFT('Blind Scoring Sheet'!J109,FIND("|",'Blind Scoring Sheet'!J109)-1))))</f>
        <v/>
      </c>
      <c r="H109" s="80">
        <f>IF(ISNUMBER(SEARCH("|",'Blind Scoring Sheet'!K109)),TRIM(LEFT('Blind Scoring Sheet'!K109,FIND("|",'Blind Scoring Sheet'!K109)-1)),TRIM('Blind Scoring Sheet'!K109))</f>
        <v/>
      </c>
    </row>
    <row r="110" ht="15" customHeight="1" s="38">
      <c r="A110" s="80">
        <f>'Blind Scoring Sheet'!A110</f>
        <v/>
      </c>
      <c r="B110" s="80">
        <f>MID(INDEX('Anonymization Key'!$B$4:$B$1003,MATCH(A110,'Anonymization Key'!$A$4:$A$1003,0)),3,2)</f>
        <v/>
      </c>
      <c r="C110" s="81">
        <f>IF(ISNUMBER('Blind Scoring Sheet'!B110),'Blind Scoring Sheet'!B110,VALUE(TRIM(LEFT('Blind Scoring Sheet'!B110,FIND("|",'Blind Scoring Sheet'!B110)-1))))</f>
        <v/>
      </c>
      <c r="D110" s="81">
        <f>IF(ISNUMBER('Blind Scoring Sheet'!D110),'Blind Scoring Sheet'!D110,VALUE(TRIM(LEFT('Blind Scoring Sheet'!D110,FIND("|",'Blind Scoring Sheet'!D110)-1))))</f>
        <v/>
      </c>
      <c r="E110" s="81">
        <f>IF(ISNUMBER('Blind Scoring Sheet'!F110),'Blind Scoring Sheet'!F110,VALUE(TRIM(LEFT('Blind Scoring Sheet'!F110,FIND("|",'Blind Scoring Sheet'!F110)-1))))</f>
        <v/>
      </c>
      <c r="F110" s="81">
        <f>IF(ISNUMBER('Blind Scoring Sheet'!H110),'Blind Scoring Sheet'!H110,VALUE(TRIM(LEFT('Blind Scoring Sheet'!H110,FIND("|",'Blind Scoring Sheet'!H110)-1))))</f>
        <v/>
      </c>
      <c r="G110" s="81">
        <f>IF(ISNUMBER('Blind Scoring Sheet'!J110),'Blind Scoring Sheet'!J110,VALUE(TRIM(LEFT('Blind Scoring Sheet'!J110,FIND("|",'Blind Scoring Sheet'!J110)-1))))</f>
        <v/>
      </c>
      <c r="H110" s="80">
        <f>IF(ISNUMBER(SEARCH("|",'Blind Scoring Sheet'!K110)),TRIM(LEFT('Blind Scoring Sheet'!K110,FIND("|",'Blind Scoring Sheet'!K110)-1)),TRIM('Blind Scoring Sheet'!K110))</f>
        <v/>
      </c>
    </row>
    <row r="111" ht="15" customHeight="1" s="38">
      <c r="A111" s="80">
        <f>'Blind Scoring Sheet'!A111</f>
        <v/>
      </c>
      <c r="B111" s="80">
        <f>MID(INDEX('Anonymization Key'!$B$4:$B$1003,MATCH(A111,'Anonymization Key'!$A$4:$A$1003,0)),3,2)</f>
        <v/>
      </c>
      <c r="C111" s="81">
        <f>IF(ISNUMBER('Blind Scoring Sheet'!B111),'Blind Scoring Sheet'!B111,VALUE(TRIM(LEFT('Blind Scoring Sheet'!B111,FIND("|",'Blind Scoring Sheet'!B111)-1))))</f>
        <v/>
      </c>
      <c r="D111" s="81">
        <f>IF(ISNUMBER('Blind Scoring Sheet'!D111),'Blind Scoring Sheet'!D111,VALUE(TRIM(LEFT('Blind Scoring Sheet'!D111,FIND("|",'Blind Scoring Sheet'!D111)-1))))</f>
        <v/>
      </c>
      <c r="E111" s="81">
        <f>IF(ISNUMBER('Blind Scoring Sheet'!F111),'Blind Scoring Sheet'!F111,VALUE(TRIM(LEFT('Blind Scoring Sheet'!F111,FIND("|",'Blind Scoring Sheet'!F111)-1))))</f>
        <v/>
      </c>
      <c r="F111" s="81">
        <f>IF(ISNUMBER('Blind Scoring Sheet'!H111),'Blind Scoring Sheet'!H111,VALUE(TRIM(LEFT('Blind Scoring Sheet'!H111,FIND("|",'Blind Scoring Sheet'!H111)-1))))</f>
        <v/>
      </c>
      <c r="G111" s="81">
        <f>IF(ISNUMBER('Blind Scoring Sheet'!J111),'Blind Scoring Sheet'!J111,VALUE(TRIM(LEFT('Blind Scoring Sheet'!J111,FIND("|",'Blind Scoring Sheet'!J111)-1))))</f>
        <v/>
      </c>
      <c r="H111" s="80">
        <f>IF(ISNUMBER(SEARCH("|",'Blind Scoring Sheet'!K111)),TRIM(LEFT('Blind Scoring Sheet'!K111,FIND("|",'Blind Scoring Sheet'!K111)-1)),TRIM('Blind Scoring Sheet'!K111))</f>
        <v/>
      </c>
    </row>
    <row r="112" ht="15" customHeight="1" s="38">
      <c r="A112" s="80">
        <f>'Blind Scoring Sheet'!A112</f>
        <v/>
      </c>
      <c r="B112" s="80">
        <f>MID(INDEX('Anonymization Key'!$B$4:$B$1003,MATCH(A112,'Anonymization Key'!$A$4:$A$1003,0)),3,2)</f>
        <v/>
      </c>
      <c r="C112" s="81">
        <f>IF(ISNUMBER('Blind Scoring Sheet'!B112),'Blind Scoring Sheet'!B112,VALUE(TRIM(LEFT('Blind Scoring Sheet'!B112,FIND("|",'Blind Scoring Sheet'!B112)-1))))</f>
        <v/>
      </c>
      <c r="D112" s="81">
        <f>IF(ISNUMBER('Blind Scoring Sheet'!D112),'Blind Scoring Sheet'!D112,VALUE(TRIM(LEFT('Blind Scoring Sheet'!D112,FIND("|",'Blind Scoring Sheet'!D112)-1))))</f>
        <v/>
      </c>
      <c r="E112" s="81">
        <f>IF(ISNUMBER('Blind Scoring Sheet'!F112),'Blind Scoring Sheet'!F112,VALUE(TRIM(LEFT('Blind Scoring Sheet'!F112,FIND("|",'Blind Scoring Sheet'!F112)-1))))</f>
        <v/>
      </c>
      <c r="F112" s="81">
        <f>IF(ISNUMBER('Blind Scoring Sheet'!H112),'Blind Scoring Sheet'!H112,VALUE(TRIM(LEFT('Blind Scoring Sheet'!H112,FIND("|",'Blind Scoring Sheet'!H112)-1))))</f>
        <v/>
      </c>
      <c r="G112" s="81">
        <f>IF(ISNUMBER('Blind Scoring Sheet'!J112),'Blind Scoring Sheet'!J112,VALUE(TRIM(LEFT('Blind Scoring Sheet'!J112,FIND("|",'Blind Scoring Sheet'!J112)-1))))</f>
        <v/>
      </c>
      <c r="H112" s="80">
        <f>IF(ISNUMBER(SEARCH("|",'Blind Scoring Sheet'!K112)),TRIM(LEFT('Blind Scoring Sheet'!K112,FIND("|",'Blind Scoring Sheet'!K112)-1)),TRIM('Blind Scoring Sheet'!K112))</f>
        <v/>
      </c>
    </row>
    <row r="113" ht="15" customHeight="1" s="38">
      <c r="A113" s="80">
        <f>'Blind Scoring Sheet'!A113</f>
        <v/>
      </c>
      <c r="B113" s="80">
        <f>MID(INDEX('Anonymization Key'!$B$4:$B$1003,MATCH(A113,'Anonymization Key'!$A$4:$A$1003,0)),3,2)</f>
        <v/>
      </c>
      <c r="C113" s="81">
        <f>IF(ISNUMBER('Blind Scoring Sheet'!B113),'Blind Scoring Sheet'!B113,VALUE(TRIM(LEFT('Blind Scoring Sheet'!B113,FIND("|",'Blind Scoring Sheet'!B113)-1))))</f>
        <v/>
      </c>
      <c r="D113" s="81">
        <f>IF(ISNUMBER('Blind Scoring Sheet'!D113),'Blind Scoring Sheet'!D113,VALUE(TRIM(LEFT('Blind Scoring Sheet'!D113,FIND("|",'Blind Scoring Sheet'!D113)-1))))</f>
        <v/>
      </c>
      <c r="E113" s="81">
        <f>IF(ISNUMBER('Blind Scoring Sheet'!F113),'Blind Scoring Sheet'!F113,VALUE(TRIM(LEFT('Blind Scoring Sheet'!F113,FIND("|",'Blind Scoring Sheet'!F113)-1))))</f>
        <v/>
      </c>
      <c r="F113" s="81">
        <f>IF(ISNUMBER('Blind Scoring Sheet'!H113),'Blind Scoring Sheet'!H113,VALUE(TRIM(LEFT('Blind Scoring Sheet'!H113,FIND("|",'Blind Scoring Sheet'!H113)-1))))</f>
        <v/>
      </c>
      <c r="G113" s="81">
        <f>IF(ISNUMBER('Blind Scoring Sheet'!J113),'Blind Scoring Sheet'!J113,VALUE(TRIM(LEFT('Blind Scoring Sheet'!J113,FIND("|",'Blind Scoring Sheet'!J113)-1))))</f>
        <v/>
      </c>
      <c r="H113" s="80">
        <f>IF(ISNUMBER(SEARCH("|",'Blind Scoring Sheet'!K113)),TRIM(LEFT('Blind Scoring Sheet'!K113,FIND("|",'Blind Scoring Sheet'!K113)-1)),TRIM('Blind Scoring Sheet'!K113))</f>
        <v/>
      </c>
    </row>
    <row r="114" ht="15" customHeight="1" s="38">
      <c r="A114" s="80">
        <f>'Blind Scoring Sheet'!A114</f>
        <v/>
      </c>
      <c r="B114" s="80">
        <f>MID(INDEX('Anonymization Key'!$B$4:$B$1003,MATCH(A114,'Anonymization Key'!$A$4:$A$1003,0)),3,2)</f>
        <v/>
      </c>
      <c r="C114" s="81">
        <f>IF(ISNUMBER('Blind Scoring Sheet'!B114),'Blind Scoring Sheet'!B114,VALUE(TRIM(LEFT('Blind Scoring Sheet'!B114,FIND("|",'Blind Scoring Sheet'!B114)-1))))</f>
        <v/>
      </c>
      <c r="D114" s="81">
        <f>IF(ISNUMBER('Blind Scoring Sheet'!D114),'Blind Scoring Sheet'!D114,VALUE(TRIM(LEFT('Blind Scoring Sheet'!D114,FIND("|",'Blind Scoring Sheet'!D114)-1))))</f>
        <v/>
      </c>
      <c r="E114" s="81">
        <f>IF(ISNUMBER('Blind Scoring Sheet'!F114),'Blind Scoring Sheet'!F114,VALUE(TRIM(LEFT('Blind Scoring Sheet'!F114,FIND("|",'Blind Scoring Sheet'!F114)-1))))</f>
        <v/>
      </c>
      <c r="F114" s="81">
        <f>IF(ISNUMBER('Blind Scoring Sheet'!H114),'Blind Scoring Sheet'!H114,VALUE(TRIM(LEFT('Blind Scoring Sheet'!H114,FIND("|",'Blind Scoring Sheet'!H114)-1))))</f>
        <v/>
      </c>
      <c r="G114" s="81">
        <f>IF(ISNUMBER('Blind Scoring Sheet'!J114),'Blind Scoring Sheet'!J114,VALUE(TRIM(LEFT('Blind Scoring Sheet'!J114,FIND("|",'Blind Scoring Sheet'!J114)-1))))</f>
        <v/>
      </c>
      <c r="H114" s="80">
        <f>IF(ISNUMBER(SEARCH("|",'Blind Scoring Sheet'!K114)),TRIM(LEFT('Blind Scoring Sheet'!K114,FIND("|",'Blind Scoring Sheet'!K114)-1)),TRIM('Blind Scoring Sheet'!K114))</f>
        <v/>
      </c>
    </row>
    <row r="115" ht="15" customHeight="1" s="38">
      <c r="A115" s="80">
        <f>'Blind Scoring Sheet'!A115</f>
        <v/>
      </c>
      <c r="B115" s="80">
        <f>MID(INDEX('Anonymization Key'!$B$4:$B$1003,MATCH(A115,'Anonymization Key'!$A$4:$A$1003,0)),3,2)</f>
        <v/>
      </c>
      <c r="C115" s="81">
        <f>IF(ISNUMBER('Blind Scoring Sheet'!B115),'Blind Scoring Sheet'!B115,VALUE(TRIM(LEFT('Blind Scoring Sheet'!B115,FIND("|",'Blind Scoring Sheet'!B115)-1))))</f>
        <v/>
      </c>
      <c r="D115" s="81">
        <f>IF(ISNUMBER('Blind Scoring Sheet'!D115),'Blind Scoring Sheet'!D115,VALUE(TRIM(LEFT('Blind Scoring Sheet'!D115,FIND("|",'Blind Scoring Sheet'!D115)-1))))</f>
        <v/>
      </c>
      <c r="E115" s="81">
        <f>IF(ISNUMBER('Blind Scoring Sheet'!F115),'Blind Scoring Sheet'!F115,VALUE(TRIM(LEFT('Blind Scoring Sheet'!F115,FIND("|",'Blind Scoring Sheet'!F115)-1))))</f>
        <v/>
      </c>
      <c r="F115" s="81">
        <f>IF(ISNUMBER('Blind Scoring Sheet'!H115),'Blind Scoring Sheet'!H115,VALUE(TRIM(LEFT('Blind Scoring Sheet'!H115,FIND("|",'Blind Scoring Sheet'!H115)-1))))</f>
        <v/>
      </c>
      <c r="G115" s="81">
        <f>IF(ISNUMBER('Blind Scoring Sheet'!J115),'Blind Scoring Sheet'!J115,VALUE(TRIM(LEFT('Blind Scoring Sheet'!J115,FIND("|",'Blind Scoring Sheet'!J115)-1))))</f>
        <v/>
      </c>
      <c r="H115" s="80">
        <f>IF(ISNUMBER(SEARCH("|",'Blind Scoring Sheet'!K115)),TRIM(LEFT('Blind Scoring Sheet'!K115,FIND("|",'Blind Scoring Sheet'!K115)-1)),TRIM('Blind Scoring Sheet'!K115))</f>
        <v/>
      </c>
    </row>
    <row r="116" ht="15" customHeight="1" s="38">
      <c r="A116" s="80">
        <f>'Blind Scoring Sheet'!A116</f>
        <v/>
      </c>
      <c r="B116" s="80">
        <f>MID(INDEX('Anonymization Key'!$B$4:$B$1003,MATCH(A116,'Anonymization Key'!$A$4:$A$1003,0)),3,2)</f>
        <v/>
      </c>
      <c r="C116" s="81">
        <f>IF(ISNUMBER('Blind Scoring Sheet'!B116),'Blind Scoring Sheet'!B116,VALUE(TRIM(LEFT('Blind Scoring Sheet'!B116,FIND("|",'Blind Scoring Sheet'!B116)-1))))</f>
        <v/>
      </c>
      <c r="D116" s="81">
        <f>IF(ISNUMBER('Blind Scoring Sheet'!D116),'Blind Scoring Sheet'!D116,VALUE(TRIM(LEFT('Blind Scoring Sheet'!D116,FIND("|",'Blind Scoring Sheet'!D116)-1))))</f>
        <v/>
      </c>
      <c r="E116" s="81">
        <f>IF(ISNUMBER('Blind Scoring Sheet'!F116),'Blind Scoring Sheet'!F116,VALUE(TRIM(LEFT('Blind Scoring Sheet'!F116,FIND("|",'Blind Scoring Sheet'!F116)-1))))</f>
        <v/>
      </c>
      <c r="F116" s="81">
        <f>IF(ISNUMBER('Blind Scoring Sheet'!H116),'Blind Scoring Sheet'!H116,VALUE(TRIM(LEFT('Blind Scoring Sheet'!H116,FIND("|",'Blind Scoring Sheet'!H116)-1))))</f>
        <v/>
      </c>
      <c r="G116" s="81">
        <f>IF(ISNUMBER('Blind Scoring Sheet'!J116),'Blind Scoring Sheet'!J116,VALUE(TRIM(LEFT('Blind Scoring Sheet'!J116,FIND("|",'Blind Scoring Sheet'!J116)-1))))</f>
        <v/>
      </c>
      <c r="H116" s="80">
        <f>IF(ISNUMBER(SEARCH("|",'Blind Scoring Sheet'!K116)),TRIM(LEFT('Blind Scoring Sheet'!K116,FIND("|",'Blind Scoring Sheet'!K116)-1)),TRIM('Blind Scoring Sheet'!K116))</f>
        <v/>
      </c>
    </row>
    <row r="117" ht="15" customHeight="1" s="38">
      <c r="A117" s="80">
        <f>'Blind Scoring Sheet'!A117</f>
        <v/>
      </c>
      <c r="B117" s="80">
        <f>MID(INDEX('Anonymization Key'!$B$4:$B$1003,MATCH(A117,'Anonymization Key'!$A$4:$A$1003,0)),3,2)</f>
        <v/>
      </c>
      <c r="C117" s="81">
        <f>IF(ISNUMBER('Blind Scoring Sheet'!B117),'Blind Scoring Sheet'!B117,VALUE(TRIM(LEFT('Blind Scoring Sheet'!B117,FIND("|",'Blind Scoring Sheet'!B117)-1))))</f>
        <v/>
      </c>
      <c r="D117" s="81">
        <f>IF(ISNUMBER('Blind Scoring Sheet'!D117),'Blind Scoring Sheet'!D117,VALUE(TRIM(LEFT('Blind Scoring Sheet'!D117,FIND("|",'Blind Scoring Sheet'!D117)-1))))</f>
        <v/>
      </c>
      <c r="E117" s="81">
        <f>IF(ISNUMBER('Blind Scoring Sheet'!F117),'Blind Scoring Sheet'!F117,VALUE(TRIM(LEFT('Blind Scoring Sheet'!F117,FIND("|",'Blind Scoring Sheet'!F117)-1))))</f>
        <v/>
      </c>
      <c r="F117" s="81">
        <f>IF(ISNUMBER('Blind Scoring Sheet'!H117),'Blind Scoring Sheet'!H117,VALUE(TRIM(LEFT('Blind Scoring Sheet'!H117,FIND("|",'Blind Scoring Sheet'!H117)-1))))</f>
        <v/>
      </c>
      <c r="G117" s="81">
        <f>IF(ISNUMBER('Blind Scoring Sheet'!J117),'Blind Scoring Sheet'!J117,VALUE(TRIM(LEFT('Blind Scoring Sheet'!J117,FIND("|",'Blind Scoring Sheet'!J117)-1))))</f>
        <v/>
      </c>
      <c r="H117" s="80">
        <f>IF(ISNUMBER(SEARCH("|",'Blind Scoring Sheet'!K117)),TRIM(LEFT('Blind Scoring Sheet'!K117,FIND("|",'Blind Scoring Sheet'!K117)-1)),TRIM('Blind Scoring Sheet'!K117))</f>
        <v/>
      </c>
    </row>
    <row r="118" ht="15" customHeight="1" s="38">
      <c r="A118" s="80">
        <f>'Blind Scoring Sheet'!A118</f>
        <v/>
      </c>
      <c r="B118" s="80">
        <f>MID(INDEX('Anonymization Key'!$B$4:$B$1003,MATCH(A118,'Anonymization Key'!$A$4:$A$1003,0)),3,2)</f>
        <v/>
      </c>
      <c r="C118" s="81">
        <f>IF(ISNUMBER('Blind Scoring Sheet'!B118),'Blind Scoring Sheet'!B118,VALUE(TRIM(LEFT('Blind Scoring Sheet'!B118,FIND("|",'Blind Scoring Sheet'!B118)-1))))</f>
        <v/>
      </c>
      <c r="D118" s="81">
        <f>IF(ISNUMBER('Blind Scoring Sheet'!D118),'Blind Scoring Sheet'!D118,VALUE(TRIM(LEFT('Blind Scoring Sheet'!D118,FIND("|",'Blind Scoring Sheet'!D118)-1))))</f>
        <v/>
      </c>
      <c r="E118" s="81">
        <f>IF(ISNUMBER('Blind Scoring Sheet'!F118),'Blind Scoring Sheet'!F118,VALUE(TRIM(LEFT('Blind Scoring Sheet'!F118,FIND("|",'Blind Scoring Sheet'!F118)-1))))</f>
        <v/>
      </c>
      <c r="F118" s="81">
        <f>IF(ISNUMBER('Blind Scoring Sheet'!H118),'Blind Scoring Sheet'!H118,VALUE(TRIM(LEFT('Blind Scoring Sheet'!H118,FIND("|",'Blind Scoring Sheet'!H118)-1))))</f>
        <v/>
      </c>
      <c r="G118" s="81">
        <f>IF(ISNUMBER('Blind Scoring Sheet'!J118),'Blind Scoring Sheet'!J118,VALUE(TRIM(LEFT('Blind Scoring Sheet'!J118,FIND("|",'Blind Scoring Sheet'!J118)-1))))</f>
        <v/>
      </c>
      <c r="H118" s="80">
        <f>IF(ISNUMBER(SEARCH("|",'Blind Scoring Sheet'!K118)),TRIM(LEFT('Blind Scoring Sheet'!K118,FIND("|",'Blind Scoring Sheet'!K118)-1)),TRIM('Blind Scoring Sheet'!K118))</f>
        <v/>
      </c>
    </row>
    <row r="119" ht="15" customHeight="1" s="38">
      <c r="A119" s="80">
        <f>'Blind Scoring Sheet'!A119</f>
        <v/>
      </c>
      <c r="B119" s="80">
        <f>MID(INDEX('Anonymization Key'!$B$4:$B$1003,MATCH(A119,'Anonymization Key'!$A$4:$A$1003,0)),3,2)</f>
        <v/>
      </c>
      <c r="C119" s="81">
        <f>IF(ISNUMBER('Blind Scoring Sheet'!B119),'Blind Scoring Sheet'!B119,VALUE(TRIM(LEFT('Blind Scoring Sheet'!B119,FIND("|",'Blind Scoring Sheet'!B119)-1))))</f>
        <v/>
      </c>
      <c r="D119" s="81">
        <f>IF(ISNUMBER('Blind Scoring Sheet'!D119),'Blind Scoring Sheet'!D119,VALUE(TRIM(LEFT('Blind Scoring Sheet'!D119,FIND("|",'Blind Scoring Sheet'!D119)-1))))</f>
        <v/>
      </c>
      <c r="E119" s="81">
        <f>IF(ISNUMBER('Blind Scoring Sheet'!F119),'Blind Scoring Sheet'!F119,VALUE(TRIM(LEFT('Blind Scoring Sheet'!F119,FIND("|",'Blind Scoring Sheet'!F119)-1))))</f>
        <v/>
      </c>
      <c r="F119" s="81">
        <f>IF(ISNUMBER('Blind Scoring Sheet'!H119),'Blind Scoring Sheet'!H119,VALUE(TRIM(LEFT('Blind Scoring Sheet'!H119,FIND("|",'Blind Scoring Sheet'!H119)-1))))</f>
        <v/>
      </c>
      <c r="G119" s="81">
        <f>IF(ISNUMBER('Blind Scoring Sheet'!J119),'Blind Scoring Sheet'!J119,VALUE(TRIM(LEFT('Blind Scoring Sheet'!J119,FIND("|",'Blind Scoring Sheet'!J119)-1))))</f>
        <v/>
      </c>
      <c r="H119" s="80">
        <f>IF(ISNUMBER(SEARCH("|",'Blind Scoring Sheet'!K119)),TRIM(LEFT('Blind Scoring Sheet'!K119,FIND("|",'Blind Scoring Sheet'!K119)-1)),TRIM('Blind Scoring Sheet'!K119))</f>
        <v/>
      </c>
    </row>
    <row r="120" ht="15" customHeight="1" s="38">
      <c r="A120" s="80">
        <f>'Blind Scoring Sheet'!A120</f>
        <v/>
      </c>
      <c r="B120" s="80">
        <f>MID(INDEX('Anonymization Key'!$B$4:$B$1003,MATCH(A120,'Anonymization Key'!$A$4:$A$1003,0)),3,2)</f>
        <v/>
      </c>
      <c r="C120" s="81">
        <f>IF(ISNUMBER('Blind Scoring Sheet'!B120),'Blind Scoring Sheet'!B120,VALUE(TRIM(LEFT('Blind Scoring Sheet'!B120,FIND("|",'Blind Scoring Sheet'!B120)-1))))</f>
        <v/>
      </c>
      <c r="D120" s="81">
        <f>IF(ISNUMBER('Blind Scoring Sheet'!D120),'Blind Scoring Sheet'!D120,VALUE(TRIM(LEFT('Blind Scoring Sheet'!D120,FIND("|",'Blind Scoring Sheet'!D120)-1))))</f>
        <v/>
      </c>
      <c r="E120" s="81">
        <f>IF(ISNUMBER('Blind Scoring Sheet'!F120),'Blind Scoring Sheet'!F120,VALUE(TRIM(LEFT('Blind Scoring Sheet'!F120,FIND("|",'Blind Scoring Sheet'!F120)-1))))</f>
        <v/>
      </c>
      <c r="F120" s="81">
        <f>IF(ISNUMBER('Blind Scoring Sheet'!H120),'Blind Scoring Sheet'!H120,VALUE(TRIM(LEFT('Blind Scoring Sheet'!H120,FIND("|",'Blind Scoring Sheet'!H120)-1))))</f>
        <v/>
      </c>
      <c r="G120" s="81">
        <f>IF(ISNUMBER('Blind Scoring Sheet'!J120),'Blind Scoring Sheet'!J120,VALUE(TRIM(LEFT('Blind Scoring Sheet'!J120,FIND("|",'Blind Scoring Sheet'!J120)-1))))</f>
        <v/>
      </c>
      <c r="H120" s="80">
        <f>IF(ISNUMBER(SEARCH("|",'Blind Scoring Sheet'!K120)),TRIM(LEFT('Blind Scoring Sheet'!K120,FIND("|",'Blind Scoring Sheet'!K120)-1)),TRIM('Blind Scoring Sheet'!K120))</f>
        <v/>
      </c>
    </row>
    <row r="121" ht="15" customHeight="1" s="38">
      <c r="A121" s="80">
        <f>'Blind Scoring Sheet'!A121</f>
        <v/>
      </c>
      <c r="B121" s="80">
        <f>MID(INDEX('Anonymization Key'!$B$4:$B$1003,MATCH(A121,'Anonymization Key'!$A$4:$A$1003,0)),3,2)</f>
        <v/>
      </c>
      <c r="C121" s="81">
        <f>IF(ISNUMBER('Blind Scoring Sheet'!B121),'Blind Scoring Sheet'!B121,VALUE(TRIM(LEFT('Blind Scoring Sheet'!B121,FIND("|",'Blind Scoring Sheet'!B121)-1))))</f>
        <v/>
      </c>
      <c r="D121" s="81">
        <f>IF(ISNUMBER('Blind Scoring Sheet'!D121),'Blind Scoring Sheet'!D121,VALUE(TRIM(LEFT('Blind Scoring Sheet'!D121,FIND("|",'Blind Scoring Sheet'!D121)-1))))</f>
        <v/>
      </c>
      <c r="E121" s="81">
        <f>IF(ISNUMBER('Blind Scoring Sheet'!F121),'Blind Scoring Sheet'!F121,VALUE(TRIM(LEFT('Blind Scoring Sheet'!F121,FIND("|",'Blind Scoring Sheet'!F121)-1))))</f>
        <v/>
      </c>
      <c r="F121" s="81">
        <f>IF(ISNUMBER('Blind Scoring Sheet'!H121),'Blind Scoring Sheet'!H121,VALUE(TRIM(LEFT('Blind Scoring Sheet'!H121,FIND("|",'Blind Scoring Sheet'!H121)-1))))</f>
        <v/>
      </c>
      <c r="G121" s="81">
        <f>IF(ISNUMBER('Blind Scoring Sheet'!J121),'Blind Scoring Sheet'!J121,VALUE(TRIM(LEFT('Blind Scoring Sheet'!J121,FIND("|",'Blind Scoring Sheet'!J121)-1))))</f>
        <v/>
      </c>
      <c r="H121" s="80">
        <f>IF(ISNUMBER(SEARCH("|",'Blind Scoring Sheet'!K121)),TRIM(LEFT('Blind Scoring Sheet'!K121,FIND("|",'Blind Scoring Sheet'!K121)-1)),TRIM('Blind Scoring Sheet'!K121))</f>
        <v/>
      </c>
    </row>
    <row r="122" ht="15" customHeight="1" s="38">
      <c r="A122" s="80">
        <f>'Blind Scoring Sheet'!A122</f>
        <v/>
      </c>
      <c r="B122" s="80">
        <f>MID(INDEX('Anonymization Key'!$B$4:$B$1003,MATCH(A122,'Anonymization Key'!$A$4:$A$1003,0)),3,2)</f>
        <v/>
      </c>
      <c r="C122" s="81">
        <f>IF(ISNUMBER('Blind Scoring Sheet'!B122),'Blind Scoring Sheet'!B122,VALUE(TRIM(LEFT('Blind Scoring Sheet'!B122,FIND("|",'Blind Scoring Sheet'!B122)-1))))</f>
        <v/>
      </c>
      <c r="D122" s="81">
        <f>IF(ISNUMBER('Blind Scoring Sheet'!D122),'Blind Scoring Sheet'!D122,VALUE(TRIM(LEFT('Blind Scoring Sheet'!D122,FIND("|",'Blind Scoring Sheet'!D122)-1))))</f>
        <v/>
      </c>
      <c r="E122" s="81">
        <f>IF(ISNUMBER('Blind Scoring Sheet'!F122),'Blind Scoring Sheet'!F122,VALUE(TRIM(LEFT('Blind Scoring Sheet'!F122,FIND("|",'Blind Scoring Sheet'!F122)-1))))</f>
        <v/>
      </c>
      <c r="F122" s="81">
        <f>IF(ISNUMBER('Blind Scoring Sheet'!H122),'Blind Scoring Sheet'!H122,VALUE(TRIM(LEFT('Blind Scoring Sheet'!H122,FIND("|",'Blind Scoring Sheet'!H122)-1))))</f>
        <v/>
      </c>
      <c r="G122" s="81">
        <f>IF(ISNUMBER('Blind Scoring Sheet'!J122),'Blind Scoring Sheet'!J122,VALUE(TRIM(LEFT('Blind Scoring Sheet'!J122,FIND("|",'Blind Scoring Sheet'!J122)-1))))</f>
        <v/>
      </c>
      <c r="H122" s="80">
        <f>IF(ISNUMBER(SEARCH("|",'Blind Scoring Sheet'!K122)),TRIM(LEFT('Blind Scoring Sheet'!K122,FIND("|",'Blind Scoring Sheet'!K122)-1)),TRIM('Blind Scoring Sheet'!K122))</f>
        <v/>
      </c>
    </row>
    <row r="123" ht="15" customHeight="1" s="38">
      <c r="A123" s="80">
        <f>'Blind Scoring Sheet'!A123</f>
        <v/>
      </c>
      <c r="B123" s="80">
        <f>MID(INDEX('Anonymization Key'!$B$4:$B$1003,MATCH(A123,'Anonymization Key'!$A$4:$A$1003,0)),3,2)</f>
        <v/>
      </c>
      <c r="C123" s="81">
        <f>IF(ISNUMBER('Blind Scoring Sheet'!B123),'Blind Scoring Sheet'!B123,VALUE(TRIM(LEFT('Blind Scoring Sheet'!B123,FIND("|",'Blind Scoring Sheet'!B123)-1))))</f>
        <v/>
      </c>
      <c r="D123" s="81">
        <f>IF(ISNUMBER('Blind Scoring Sheet'!D123),'Blind Scoring Sheet'!D123,VALUE(TRIM(LEFT('Blind Scoring Sheet'!D123,FIND("|",'Blind Scoring Sheet'!D123)-1))))</f>
        <v/>
      </c>
      <c r="E123" s="81">
        <f>IF(ISNUMBER('Blind Scoring Sheet'!F123),'Blind Scoring Sheet'!F123,VALUE(TRIM(LEFT('Blind Scoring Sheet'!F123,FIND("|",'Blind Scoring Sheet'!F123)-1))))</f>
        <v/>
      </c>
      <c r="F123" s="81">
        <f>IF(ISNUMBER('Blind Scoring Sheet'!H123),'Blind Scoring Sheet'!H123,VALUE(TRIM(LEFT('Blind Scoring Sheet'!H123,FIND("|",'Blind Scoring Sheet'!H123)-1))))</f>
        <v/>
      </c>
      <c r="G123" s="81">
        <f>IF(ISNUMBER('Blind Scoring Sheet'!J123),'Blind Scoring Sheet'!J123,VALUE(TRIM(LEFT('Blind Scoring Sheet'!J123,FIND("|",'Blind Scoring Sheet'!J123)-1))))</f>
        <v/>
      </c>
      <c r="H123" s="80">
        <f>IF(ISNUMBER(SEARCH("|",'Blind Scoring Sheet'!K123)),TRIM(LEFT('Blind Scoring Sheet'!K123,FIND("|",'Blind Scoring Sheet'!K123)-1)),TRIM('Blind Scoring Sheet'!K123))</f>
        <v/>
      </c>
    </row>
    <row r="124" ht="15" customHeight="1" s="38">
      <c r="A124" s="80">
        <f>'Blind Scoring Sheet'!A124</f>
        <v/>
      </c>
      <c r="B124" s="80">
        <f>MID(INDEX('Anonymization Key'!$B$4:$B$1003,MATCH(A124,'Anonymization Key'!$A$4:$A$1003,0)),3,2)</f>
        <v/>
      </c>
      <c r="C124" s="81">
        <f>IF(ISNUMBER('Blind Scoring Sheet'!B124),'Blind Scoring Sheet'!B124,VALUE(TRIM(LEFT('Blind Scoring Sheet'!B124,FIND("|",'Blind Scoring Sheet'!B124)-1))))</f>
        <v/>
      </c>
      <c r="D124" s="81">
        <f>IF(ISNUMBER('Blind Scoring Sheet'!D124),'Blind Scoring Sheet'!D124,VALUE(TRIM(LEFT('Blind Scoring Sheet'!D124,FIND("|",'Blind Scoring Sheet'!D124)-1))))</f>
        <v/>
      </c>
      <c r="E124" s="81">
        <f>IF(ISNUMBER('Blind Scoring Sheet'!F124),'Blind Scoring Sheet'!F124,VALUE(TRIM(LEFT('Blind Scoring Sheet'!F124,FIND("|",'Blind Scoring Sheet'!F124)-1))))</f>
        <v/>
      </c>
      <c r="F124" s="81">
        <f>IF(ISNUMBER('Blind Scoring Sheet'!H124),'Blind Scoring Sheet'!H124,VALUE(TRIM(LEFT('Blind Scoring Sheet'!H124,FIND("|",'Blind Scoring Sheet'!H124)-1))))</f>
        <v/>
      </c>
      <c r="G124" s="81">
        <f>IF(ISNUMBER('Blind Scoring Sheet'!J124),'Blind Scoring Sheet'!J124,VALUE(TRIM(LEFT('Blind Scoring Sheet'!J124,FIND("|",'Blind Scoring Sheet'!J124)-1))))</f>
        <v/>
      </c>
      <c r="H124" s="80">
        <f>IF(ISNUMBER(SEARCH("|",'Blind Scoring Sheet'!K124)),TRIM(LEFT('Blind Scoring Sheet'!K124,FIND("|",'Blind Scoring Sheet'!K124)-1)),TRIM('Blind Scoring Sheet'!K124))</f>
        <v/>
      </c>
    </row>
    <row r="125" ht="15" customHeight="1" s="38">
      <c r="A125" s="80">
        <f>'Blind Scoring Sheet'!A125</f>
        <v/>
      </c>
      <c r="B125" s="80">
        <f>MID(INDEX('Anonymization Key'!$B$4:$B$1003,MATCH(A125,'Anonymization Key'!$A$4:$A$1003,0)),3,2)</f>
        <v/>
      </c>
      <c r="C125" s="81">
        <f>IF(ISNUMBER('Blind Scoring Sheet'!B125),'Blind Scoring Sheet'!B125,VALUE(TRIM(LEFT('Blind Scoring Sheet'!B125,FIND("|",'Blind Scoring Sheet'!B125)-1))))</f>
        <v/>
      </c>
      <c r="D125" s="81">
        <f>IF(ISNUMBER('Blind Scoring Sheet'!D125),'Blind Scoring Sheet'!D125,VALUE(TRIM(LEFT('Blind Scoring Sheet'!D125,FIND("|",'Blind Scoring Sheet'!D125)-1))))</f>
        <v/>
      </c>
      <c r="E125" s="81">
        <f>IF(ISNUMBER('Blind Scoring Sheet'!F125),'Blind Scoring Sheet'!F125,VALUE(TRIM(LEFT('Blind Scoring Sheet'!F125,FIND("|",'Blind Scoring Sheet'!F125)-1))))</f>
        <v/>
      </c>
      <c r="F125" s="81">
        <f>IF(ISNUMBER('Blind Scoring Sheet'!H125),'Blind Scoring Sheet'!H125,VALUE(TRIM(LEFT('Blind Scoring Sheet'!H125,FIND("|",'Blind Scoring Sheet'!H125)-1))))</f>
        <v/>
      </c>
      <c r="G125" s="81">
        <f>IF(ISNUMBER('Blind Scoring Sheet'!J125),'Blind Scoring Sheet'!J125,VALUE(TRIM(LEFT('Blind Scoring Sheet'!J125,FIND("|",'Blind Scoring Sheet'!J125)-1))))</f>
        <v/>
      </c>
      <c r="H125" s="80">
        <f>IF(ISNUMBER(SEARCH("|",'Blind Scoring Sheet'!K125)),TRIM(LEFT('Blind Scoring Sheet'!K125,FIND("|",'Blind Scoring Sheet'!K125)-1)),TRIM('Blind Scoring Sheet'!K125))</f>
        <v/>
      </c>
    </row>
    <row r="126" ht="15" customHeight="1" s="38">
      <c r="A126" s="80">
        <f>'Blind Scoring Sheet'!A126</f>
        <v/>
      </c>
      <c r="B126" s="80">
        <f>MID(INDEX('Anonymization Key'!$B$4:$B$1003,MATCH(A126,'Anonymization Key'!$A$4:$A$1003,0)),3,2)</f>
        <v/>
      </c>
      <c r="C126" s="81">
        <f>IF(ISNUMBER('Blind Scoring Sheet'!B126),'Blind Scoring Sheet'!B126,VALUE(TRIM(LEFT('Blind Scoring Sheet'!B126,FIND("|",'Blind Scoring Sheet'!B126)-1))))</f>
        <v/>
      </c>
      <c r="D126" s="81">
        <f>IF(ISNUMBER('Blind Scoring Sheet'!D126),'Blind Scoring Sheet'!D126,VALUE(TRIM(LEFT('Blind Scoring Sheet'!D126,FIND("|",'Blind Scoring Sheet'!D126)-1))))</f>
        <v/>
      </c>
      <c r="E126" s="81">
        <f>IF(ISNUMBER('Blind Scoring Sheet'!F126),'Blind Scoring Sheet'!F126,VALUE(TRIM(LEFT('Blind Scoring Sheet'!F126,FIND("|",'Blind Scoring Sheet'!F126)-1))))</f>
        <v/>
      </c>
      <c r="F126" s="81">
        <f>IF(ISNUMBER('Blind Scoring Sheet'!H126),'Blind Scoring Sheet'!H126,VALUE(TRIM(LEFT('Blind Scoring Sheet'!H126,FIND("|",'Blind Scoring Sheet'!H126)-1))))</f>
        <v/>
      </c>
      <c r="G126" s="81">
        <f>IF(ISNUMBER('Blind Scoring Sheet'!J126),'Blind Scoring Sheet'!J126,VALUE(TRIM(LEFT('Blind Scoring Sheet'!J126,FIND("|",'Blind Scoring Sheet'!J126)-1))))</f>
        <v/>
      </c>
      <c r="H126" s="80">
        <f>IF(ISNUMBER(SEARCH("|",'Blind Scoring Sheet'!K126)),TRIM(LEFT('Blind Scoring Sheet'!K126,FIND("|",'Blind Scoring Sheet'!K126)-1)),TRIM('Blind Scoring Sheet'!K126))</f>
        <v/>
      </c>
    </row>
    <row r="127" ht="15" customHeight="1" s="38">
      <c r="A127" s="80">
        <f>'Blind Scoring Sheet'!A127</f>
        <v/>
      </c>
      <c r="B127" s="80">
        <f>MID(INDEX('Anonymization Key'!$B$4:$B$1003,MATCH(A127,'Anonymization Key'!$A$4:$A$1003,0)),3,2)</f>
        <v/>
      </c>
      <c r="C127" s="81">
        <f>IF(ISNUMBER('Blind Scoring Sheet'!B127),'Blind Scoring Sheet'!B127,VALUE(TRIM(LEFT('Blind Scoring Sheet'!B127,FIND("|",'Blind Scoring Sheet'!B127)-1))))</f>
        <v/>
      </c>
      <c r="D127" s="81">
        <f>IF(ISNUMBER('Blind Scoring Sheet'!D127),'Blind Scoring Sheet'!D127,VALUE(TRIM(LEFT('Blind Scoring Sheet'!D127,FIND("|",'Blind Scoring Sheet'!D127)-1))))</f>
        <v/>
      </c>
      <c r="E127" s="81">
        <f>IF(ISNUMBER('Blind Scoring Sheet'!F127),'Blind Scoring Sheet'!F127,VALUE(TRIM(LEFT('Blind Scoring Sheet'!F127,FIND("|",'Blind Scoring Sheet'!F127)-1))))</f>
        <v/>
      </c>
      <c r="F127" s="81">
        <f>IF(ISNUMBER('Blind Scoring Sheet'!H127),'Blind Scoring Sheet'!H127,VALUE(TRIM(LEFT('Blind Scoring Sheet'!H127,FIND("|",'Blind Scoring Sheet'!H127)-1))))</f>
        <v/>
      </c>
      <c r="G127" s="81">
        <f>IF(ISNUMBER('Blind Scoring Sheet'!J127),'Blind Scoring Sheet'!J127,VALUE(TRIM(LEFT('Blind Scoring Sheet'!J127,FIND("|",'Blind Scoring Sheet'!J127)-1))))</f>
        <v/>
      </c>
      <c r="H127" s="80">
        <f>IF(ISNUMBER(SEARCH("|",'Blind Scoring Sheet'!K127)),TRIM(LEFT('Blind Scoring Sheet'!K127,FIND("|",'Blind Scoring Sheet'!K127)-1)),TRIM('Blind Scoring Sheet'!K127))</f>
        <v/>
      </c>
    </row>
    <row r="128" ht="15" customHeight="1" s="38">
      <c r="A128" s="80">
        <f>'Blind Scoring Sheet'!A128</f>
        <v/>
      </c>
      <c r="B128" s="80">
        <f>MID(INDEX('Anonymization Key'!$B$4:$B$1003,MATCH(A128,'Anonymization Key'!$A$4:$A$1003,0)),3,2)</f>
        <v/>
      </c>
      <c r="C128" s="81">
        <f>IF(ISNUMBER('Blind Scoring Sheet'!B128),'Blind Scoring Sheet'!B128,VALUE(TRIM(LEFT('Blind Scoring Sheet'!B128,FIND("|",'Blind Scoring Sheet'!B128)-1))))</f>
        <v/>
      </c>
      <c r="D128" s="81">
        <f>IF(ISNUMBER('Blind Scoring Sheet'!D128),'Blind Scoring Sheet'!D128,VALUE(TRIM(LEFT('Blind Scoring Sheet'!D128,FIND("|",'Blind Scoring Sheet'!D128)-1))))</f>
        <v/>
      </c>
      <c r="E128" s="81">
        <f>IF(ISNUMBER('Blind Scoring Sheet'!F128),'Blind Scoring Sheet'!F128,VALUE(TRIM(LEFT('Blind Scoring Sheet'!F128,FIND("|",'Blind Scoring Sheet'!F128)-1))))</f>
        <v/>
      </c>
      <c r="F128" s="81">
        <f>IF(ISNUMBER('Blind Scoring Sheet'!H128),'Blind Scoring Sheet'!H128,VALUE(TRIM(LEFT('Blind Scoring Sheet'!H128,FIND("|",'Blind Scoring Sheet'!H128)-1))))</f>
        <v/>
      </c>
      <c r="G128" s="81">
        <f>IF(ISNUMBER('Blind Scoring Sheet'!J128),'Blind Scoring Sheet'!J128,VALUE(TRIM(LEFT('Blind Scoring Sheet'!J128,FIND("|",'Blind Scoring Sheet'!J128)-1))))</f>
        <v/>
      </c>
      <c r="H128" s="80">
        <f>IF(ISNUMBER(SEARCH("|",'Blind Scoring Sheet'!K128)),TRIM(LEFT('Blind Scoring Sheet'!K128,FIND("|",'Blind Scoring Sheet'!K128)-1)),TRIM('Blind Scoring Sheet'!K128))</f>
        <v/>
      </c>
    </row>
    <row r="129" ht="15" customHeight="1" s="38">
      <c r="A129" s="80">
        <f>'Blind Scoring Sheet'!A129</f>
        <v/>
      </c>
      <c r="B129" s="80">
        <f>MID(INDEX('Anonymization Key'!$B$4:$B$1003,MATCH(A129,'Anonymization Key'!$A$4:$A$1003,0)),3,2)</f>
        <v/>
      </c>
      <c r="C129" s="81">
        <f>IF(ISNUMBER('Blind Scoring Sheet'!B129),'Blind Scoring Sheet'!B129,VALUE(TRIM(LEFT('Blind Scoring Sheet'!B129,FIND("|",'Blind Scoring Sheet'!B129)-1))))</f>
        <v/>
      </c>
      <c r="D129" s="81">
        <f>IF(ISNUMBER('Blind Scoring Sheet'!D129),'Blind Scoring Sheet'!D129,VALUE(TRIM(LEFT('Blind Scoring Sheet'!D129,FIND("|",'Blind Scoring Sheet'!D129)-1))))</f>
        <v/>
      </c>
      <c r="E129" s="81">
        <f>IF(ISNUMBER('Blind Scoring Sheet'!F129),'Blind Scoring Sheet'!F129,VALUE(TRIM(LEFT('Blind Scoring Sheet'!F129,FIND("|",'Blind Scoring Sheet'!F129)-1))))</f>
        <v/>
      </c>
      <c r="F129" s="81">
        <f>IF(ISNUMBER('Blind Scoring Sheet'!H129),'Blind Scoring Sheet'!H129,VALUE(TRIM(LEFT('Blind Scoring Sheet'!H129,FIND("|",'Blind Scoring Sheet'!H129)-1))))</f>
        <v/>
      </c>
      <c r="G129" s="81">
        <f>IF(ISNUMBER('Blind Scoring Sheet'!J129),'Blind Scoring Sheet'!J129,VALUE(TRIM(LEFT('Blind Scoring Sheet'!J129,FIND("|",'Blind Scoring Sheet'!J129)-1))))</f>
        <v/>
      </c>
      <c r="H129" s="80">
        <f>IF(ISNUMBER(SEARCH("|",'Blind Scoring Sheet'!K129)),TRIM(LEFT('Blind Scoring Sheet'!K129,FIND("|",'Blind Scoring Sheet'!K129)-1)),TRIM('Blind Scoring Sheet'!K129))</f>
        <v/>
      </c>
    </row>
    <row r="130" ht="15" customHeight="1" s="38">
      <c r="A130" s="80">
        <f>'Blind Scoring Sheet'!A130</f>
        <v/>
      </c>
      <c r="B130" s="80">
        <f>MID(INDEX('Anonymization Key'!$B$4:$B$1003,MATCH(A130,'Anonymization Key'!$A$4:$A$1003,0)),3,2)</f>
        <v/>
      </c>
      <c r="C130" s="81">
        <f>IF(ISNUMBER('Blind Scoring Sheet'!B130),'Blind Scoring Sheet'!B130,VALUE(TRIM(LEFT('Blind Scoring Sheet'!B130,FIND("|",'Blind Scoring Sheet'!B130)-1))))</f>
        <v/>
      </c>
      <c r="D130" s="81">
        <f>IF(ISNUMBER('Blind Scoring Sheet'!D130),'Blind Scoring Sheet'!D130,VALUE(TRIM(LEFT('Blind Scoring Sheet'!D130,FIND("|",'Blind Scoring Sheet'!D130)-1))))</f>
        <v/>
      </c>
      <c r="E130" s="81">
        <f>IF(ISNUMBER('Blind Scoring Sheet'!F130),'Blind Scoring Sheet'!F130,VALUE(TRIM(LEFT('Blind Scoring Sheet'!F130,FIND("|",'Blind Scoring Sheet'!F130)-1))))</f>
        <v/>
      </c>
      <c r="F130" s="81">
        <f>IF(ISNUMBER('Blind Scoring Sheet'!H130),'Blind Scoring Sheet'!H130,VALUE(TRIM(LEFT('Blind Scoring Sheet'!H130,FIND("|",'Blind Scoring Sheet'!H130)-1))))</f>
        <v/>
      </c>
      <c r="G130" s="81">
        <f>IF(ISNUMBER('Blind Scoring Sheet'!J130),'Blind Scoring Sheet'!J130,VALUE(TRIM(LEFT('Blind Scoring Sheet'!J130,FIND("|",'Blind Scoring Sheet'!J130)-1))))</f>
        <v/>
      </c>
      <c r="H130" s="80">
        <f>IF(ISNUMBER(SEARCH("|",'Blind Scoring Sheet'!K130)),TRIM(LEFT('Blind Scoring Sheet'!K130,FIND("|",'Blind Scoring Sheet'!K130)-1)),TRIM('Blind Scoring Sheet'!K130))</f>
        <v/>
      </c>
    </row>
    <row r="131" ht="15" customHeight="1" s="38">
      <c r="A131" s="80">
        <f>'Blind Scoring Sheet'!A131</f>
        <v/>
      </c>
      <c r="B131" s="80">
        <f>MID(INDEX('Anonymization Key'!$B$4:$B$1003,MATCH(A131,'Anonymization Key'!$A$4:$A$1003,0)),3,2)</f>
        <v/>
      </c>
      <c r="C131" s="81">
        <f>IF(ISNUMBER('Blind Scoring Sheet'!B131),'Blind Scoring Sheet'!B131,VALUE(TRIM(LEFT('Blind Scoring Sheet'!B131,FIND("|",'Blind Scoring Sheet'!B131)-1))))</f>
        <v/>
      </c>
      <c r="D131" s="81">
        <f>IF(ISNUMBER('Blind Scoring Sheet'!D131),'Blind Scoring Sheet'!D131,VALUE(TRIM(LEFT('Blind Scoring Sheet'!D131,FIND("|",'Blind Scoring Sheet'!D131)-1))))</f>
        <v/>
      </c>
      <c r="E131" s="81">
        <f>IF(ISNUMBER('Blind Scoring Sheet'!F131),'Blind Scoring Sheet'!F131,VALUE(TRIM(LEFT('Blind Scoring Sheet'!F131,FIND("|",'Blind Scoring Sheet'!F131)-1))))</f>
        <v/>
      </c>
      <c r="F131" s="81">
        <f>IF(ISNUMBER('Blind Scoring Sheet'!H131),'Blind Scoring Sheet'!H131,VALUE(TRIM(LEFT('Blind Scoring Sheet'!H131,FIND("|",'Blind Scoring Sheet'!H131)-1))))</f>
        <v/>
      </c>
      <c r="G131" s="81">
        <f>IF(ISNUMBER('Blind Scoring Sheet'!J131),'Blind Scoring Sheet'!J131,VALUE(TRIM(LEFT('Blind Scoring Sheet'!J131,FIND("|",'Blind Scoring Sheet'!J131)-1))))</f>
        <v/>
      </c>
      <c r="H131" s="80">
        <f>IF(ISNUMBER(SEARCH("|",'Blind Scoring Sheet'!K131)),TRIM(LEFT('Blind Scoring Sheet'!K131,FIND("|",'Blind Scoring Sheet'!K131)-1)),TRIM('Blind Scoring Sheet'!K131))</f>
        <v/>
      </c>
    </row>
    <row r="132" ht="15" customHeight="1" s="38">
      <c r="A132" s="80">
        <f>'Blind Scoring Sheet'!A132</f>
        <v/>
      </c>
      <c r="B132" s="80">
        <f>MID(INDEX('Anonymization Key'!$B$4:$B$1003,MATCH(A132,'Anonymization Key'!$A$4:$A$1003,0)),3,2)</f>
        <v/>
      </c>
      <c r="C132" s="81">
        <f>IF(ISNUMBER('Blind Scoring Sheet'!B132),'Blind Scoring Sheet'!B132,VALUE(TRIM(LEFT('Blind Scoring Sheet'!B132,FIND("|",'Blind Scoring Sheet'!B132)-1))))</f>
        <v/>
      </c>
      <c r="D132" s="81">
        <f>IF(ISNUMBER('Blind Scoring Sheet'!D132),'Blind Scoring Sheet'!D132,VALUE(TRIM(LEFT('Blind Scoring Sheet'!D132,FIND("|",'Blind Scoring Sheet'!D132)-1))))</f>
        <v/>
      </c>
      <c r="E132" s="81">
        <f>IF(ISNUMBER('Blind Scoring Sheet'!F132),'Blind Scoring Sheet'!F132,VALUE(TRIM(LEFT('Blind Scoring Sheet'!F132,FIND("|",'Blind Scoring Sheet'!F132)-1))))</f>
        <v/>
      </c>
      <c r="F132" s="81">
        <f>IF(ISNUMBER('Blind Scoring Sheet'!H132),'Blind Scoring Sheet'!H132,VALUE(TRIM(LEFT('Blind Scoring Sheet'!H132,FIND("|",'Blind Scoring Sheet'!H132)-1))))</f>
        <v/>
      </c>
      <c r="G132" s="81">
        <f>IF(ISNUMBER('Blind Scoring Sheet'!J132),'Blind Scoring Sheet'!J132,VALUE(TRIM(LEFT('Blind Scoring Sheet'!J132,FIND("|",'Blind Scoring Sheet'!J132)-1))))</f>
        <v/>
      </c>
      <c r="H132" s="80">
        <f>IF(ISNUMBER(SEARCH("|",'Blind Scoring Sheet'!K132)),TRIM(LEFT('Blind Scoring Sheet'!K132,FIND("|",'Blind Scoring Sheet'!K132)-1)),TRIM('Blind Scoring Sheet'!K132))</f>
        <v/>
      </c>
    </row>
    <row r="133" ht="15" customHeight="1" s="38">
      <c r="A133" s="80">
        <f>'Blind Scoring Sheet'!A133</f>
        <v/>
      </c>
      <c r="B133" s="80">
        <f>MID(INDEX('Anonymization Key'!$B$4:$B$1003,MATCH(A133,'Anonymization Key'!$A$4:$A$1003,0)),3,2)</f>
        <v/>
      </c>
      <c r="C133" s="81">
        <f>IF(ISNUMBER('Blind Scoring Sheet'!B133),'Blind Scoring Sheet'!B133,VALUE(TRIM(LEFT('Blind Scoring Sheet'!B133,FIND("|",'Blind Scoring Sheet'!B133)-1))))</f>
        <v/>
      </c>
      <c r="D133" s="81">
        <f>IF(ISNUMBER('Blind Scoring Sheet'!D133),'Blind Scoring Sheet'!D133,VALUE(TRIM(LEFT('Blind Scoring Sheet'!D133,FIND("|",'Blind Scoring Sheet'!D133)-1))))</f>
        <v/>
      </c>
      <c r="E133" s="81">
        <f>IF(ISNUMBER('Blind Scoring Sheet'!F133),'Blind Scoring Sheet'!F133,VALUE(TRIM(LEFT('Blind Scoring Sheet'!F133,FIND("|",'Blind Scoring Sheet'!F133)-1))))</f>
        <v/>
      </c>
      <c r="F133" s="81">
        <f>IF(ISNUMBER('Blind Scoring Sheet'!H133),'Blind Scoring Sheet'!H133,VALUE(TRIM(LEFT('Blind Scoring Sheet'!H133,FIND("|",'Blind Scoring Sheet'!H133)-1))))</f>
        <v/>
      </c>
      <c r="G133" s="81">
        <f>IF(ISNUMBER('Blind Scoring Sheet'!J133),'Blind Scoring Sheet'!J133,VALUE(TRIM(LEFT('Blind Scoring Sheet'!J133,FIND("|",'Blind Scoring Sheet'!J133)-1))))</f>
        <v/>
      </c>
      <c r="H133" s="80">
        <f>IF(ISNUMBER(SEARCH("|",'Blind Scoring Sheet'!K133)),TRIM(LEFT('Blind Scoring Sheet'!K133,FIND("|",'Blind Scoring Sheet'!K133)-1)),TRIM('Blind Scoring Sheet'!K133))</f>
        <v/>
      </c>
    </row>
    <row r="134" ht="15" customHeight="1" s="38">
      <c r="A134" s="80">
        <f>'Blind Scoring Sheet'!A134</f>
        <v/>
      </c>
      <c r="B134" s="80">
        <f>MID(INDEX('Anonymization Key'!$B$4:$B$1003,MATCH(A134,'Anonymization Key'!$A$4:$A$1003,0)),3,2)</f>
        <v/>
      </c>
      <c r="C134" s="81">
        <f>IF(ISNUMBER('Blind Scoring Sheet'!B134),'Blind Scoring Sheet'!B134,VALUE(TRIM(LEFT('Blind Scoring Sheet'!B134,FIND("|",'Blind Scoring Sheet'!B134)-1))))</f>
        <v/>
      </c>
      <c r="D134" s="81">
        <f>IF(ISNUMBER('Blind Scoring Sheet'!D134),'Blind Scoring Sheet'!D134,VALUE(TRIM(LEFT('Blind Scoring Sheet'!D134,FIND("|",'Blind Scoring Sheet'!D134)-1))))</f>
        <v/>
      </c>
      <c r="E134" s="81">
        <f>IF(ISNUMBER('Blind Scoring Sheet'!F134),'Blind Scoring Sheet'!F134,VALUE(TRIM(LEFT('Blind Scoring Sheet'!F134,FIND("|",'Blind Scoring Sheet'!F134)-1))))</f>
        <v/>
      </c>
      <c r="F134" s="81">
        <f>IF(ISNUMBER('Blind Scoring Sheet'!H134),'Blind Scoring Sheet'!H134,VALUE(TRIM(LEFT('Blind Scoring Sheet'!H134,FIND("|",'Blind Scoring Sheet'!H134)-1))))</f>
        <v/>
      </c>
      <c r="G134" s="81">
        <f>IF(ISNUMBER('Blind Scoring Sheet'!J134),'Blind Scoring Sheet'!J134,VALUE(TRIM(LEFT('Blind Scoring Sheet'!J134,FIND("|",'Blind Scoring Sheet'!J134)-1))))</f>
        <v/>
      </c>
      <c r="H134" s="80">
        <f>IF(ISNUMBER(SEARCH("|",'Blind Scoring Sheet'!K134)),TRIM(LEFT('Blind Scoring Sheet'!K134,FIND("|",'Blind Scoring Sheet'!K134)-1)),TRIM('Blind Scoring Sheet'!K134))</f>
        <v/>
      </c>
    </row>
    <row r="135" ht="15" customHeight="1" s="38">
      <c r="A135" s="80">
        <f>'Blind Scoring Sheet'!A135</f>
        <v/>
      </c>
      <c r="B135" s="80">
        <f>MID(INDEX('Anonymization Key'!$B$4:$B$1003,MATCH(A135,'Anonymization Key'!$A$4:$A$1003,0)),3,2)</f>
        <v/>
      </c>
      <c r="C135" s="81">
        <f>IF(ISNUMBER('Blind Scoring Sheet'!B135),'Blind Scoring Sheet'!B135,VALUE(TRIM(LEFT('Blind Scoring Sheet'!B135,FIND("|",'Blind Scoring Sheet'!B135)-1))))</f>
        <v/>
      </c>
      <c r="D135" s="81">
        <f>IF(ISNUMBER('Blind Scoring Sheet'!D135),'Blind Scoring Sheet'!D135,VALUE(TRIM(LEFT('Blind Scoring Sheet'!D135,FIND("|",'Blind Scoring Sheet'!D135)-1))))</f>
        <v/>
      </c>
      <c r="E135" s="81">
        <f>IF(ISNUMBER('Blind Scoring Sheet'!F135),'Blind Scoring Sheet'!F135,VALUE(TRIM(LEFT('Blind Scoring Sheet'!F135,FIND("|",'Blind Scoring Sheet'!F135)-1))))</f>
        <v/>
      </c>
      <c r="F135" s="81">
        <f>IF(ISNUMBER('Blind Scoring Sheet'!H135),'Blind Scoring Sheet'!H135,VALUE(TRIM(LEFT('Blind Scoring Sheet'!H135,FIND("|",'Blind Scoring Sheet'!H135)-1))))</f>
        <v/>
      </c>
      <c r="G135" s="81">
        <f>IF(ISNUMBER('Blind Scoring Sheet'!J135),'Blind Scoring Sheet'!J135,VALUE(TRIM(LEFT('Blind Scoring Sheet'!J135,FIND("|",'Blind Scoring Sheet'!J135)-1))))</f>
        <v/>
      </c>
      <c r="H135" s="80">
        <f>IF(ISNUMBER(SEARCH("|",'Blind Scoring Sheet'!K135)),TRIM(LEFT('Blind Scoring Sheet'!K135,FIND("|",'Blind Scoring Sheet'!K135)-1)),TRIM('Blind Scoring Sheet'!K135))</f>
        <v/>
      </c>
    </row>
    <row r="136" ht="15" customHeight="1" s="38">
      <c r="A136" s="80">
        <f>'Blind Scoring Sheet'!A136</f>
        <v/>
      </c>
      <c r="B136" s="80">
        <f>MID(INDEX('Anonymization Key'!$B$4:$B$1003,MATCH(A136,'Anonymization Key'!$A$4:$A$1003,0)),3,2)</f>
        <v/>
      </c>
      <c r="C136" s="81">
        <f>IF(ISNUMBER('Blind Scoring Sheet'!B136),'Blind Scoring Sheet'!B136,VALUE(TRIM(LEFT('Blind Scoring Sheet'!B136,FIND("|",'Blind Scoring Sheet'!B136)-1))))</f>
        <v/>
      </c>
      <c r="D136" s="81">
        <f>IF(ISNUMBER('Blind Scoring Sheet'!D136),'Blind Scoring Sheet'!D136,VALUE(TRIM(LEFT('Blind Scoring Sheet'!D136,FIND("|",'Blind Scoring Sheet'!D136)-1))))</f>
        <v/>
      </c>
      <c r="E136" s="81">
        <f>IF(ISNUMBER('Blind Scoring Sheet'!F136),'Blind Scoring Sheet'!F136,VALUE(TRIM(LEFT('Blind Scoring Sheet'!F136,FIND("|",'Blind Scoring Sheet'!F136)-1))))</f>
        <v/>
      </c>
      <c r="F136" s="81">
        <f>IF(ISNUMBER('Blind Scoring Sheet'!H136),'Blind Scoring Sheet'!H136,VALUE(TRIM(LEFT('Blind Scoring Sheet'!H136,FIND("|",'Blind Scoring Sheet'!H136)-1))))</f>
        <v/>
      </c>
      <c r="G136" s="81">
        <f>IF(ISNUMBER('Blind Scoring Sheet'!J136),'Blind Scoring Sheet'!J136,VALUE(TRIM(LEFT('Blind Scoring Sheet'!J136,FIND("|",'Blind Scoring Sheet'!J136)-1))))</f>
        <v/>
      </c>
      <c r="H136" s="80">
        <f>IF(ISNUMBER(SEARCH("|",'Blind Scoring Sheet'!K136)),TRIM(LEFT('Blind Scoring Sheet'!K136,FIND("|",'Blind Scoring Sheet'!K136)-1)),TRIM('Blind Scoring Sheet'!K136))</f>
        <v/>
      </c>
    </row>
    <row r="137" ht="15" customHeight="1" s="38">
      <c r="A137" s="80">
        <f>'Blind Scoring Sheet'!A137</f>
        <v/>
      </c>
      <c r="B137" s="80">
        <f>MID(INDEX('Anonymization Key'!$B$4:$B$1003,MATCH(A137,'Anonymization Key'!$A$4:$A$1003,0)),3,2)</f>
        <v/>
      </c>
      <c r="C137" s="81">
        <f>IF(ISNUMBER('Blind Scoring Sheet'!B137),'Blind Scoring Sheet'!B137,VALUE(TRIM(LEFT('Blind Scoring Sheet'!B137,FIND("|",'Blind Scoring Sheet'!B137)-1))))</f>
        <v/>
      </c>
      <c r="D137" s="81">
        <f>IF(ISNUMBER('Blind Scoring Sheet'!D137),'Blind Scoring Sheet'!D137,VALUE(TRIM(LEFT('Blind Scoring Sheet'!D137,FIND("|",'Blind Scoring Sheet'!D137)-1))))</f>
        <v/>
      </c>
      <c r="E137" s="81">
        <f>IF(ISNUMBER('Blind Scoring Sheet'!F137),'Blind Scoring Sheet'!F137,VALUE(TRIM(LEFT('Blind Scoring Sheet'!F137,FIND("|",'Blind Scoring Sheet'!F137)-1))))</f>
        <v/>
      </c>
      <c r="F137" s="81">
        <f>IF(ISNUMBER('Blind Scoring Sheet'!H137),'Blind Scoring Sheet'!H137,VALUE(TRIM(LEFT('Blind Scoring Sheet'!H137,FIND("|",'Blind Scoring Sheet'!H137)-1))))</f>
        <v/>
      </c>
      <c r="G137" s="81">
        <f>IF(ISNUMBER('Blind Scoring Sheet'!J137),'Blind Scoring Sheet'!J137,VALUE(TRIM(LEFT('Blind Scoring Sheet'!J137,FIND("|",'Blind Scoring Sheet'!J137)-1))))</f>
        <v/>
      </c>
      <c r="H137" s="80">
        <f>IF(ISNUMBER(SEARCH("|",'Blind Scoring Sheet'!K137)),TRIM(LEFT('Blind Scoring Sheet'!K137,FIND("|",'Blind Scoring Sheet'!K137)-1)),TRIM('Blind Scoring Sheet'!K137))</f>
        <v/>
      </c>
    </row>
    <row r="138" ht="15" customHeight="1" s="38">
      <c r="A138" s="80">
        <f>'Blind Scoring Sheet'!A138</f>
        <v/>
      </c>
      <c r="B138" s="80">
        <f>MID(INDEX('Anonymization Key'!$B$4:$B$1003,MATCH(A138,'Anonymization Key'!$A$4:$A$1003,0)),3,2)</f>
        <v/>
      </c>
      <c r="C138" s="81">
        <f>IF(ISNUMBER('Blind Scoring Sheet'!B138),'Blind Scoring Sheet'!B138,VALUE(TRIM(LEFT('Blind Scoring Sheet'!B138,FIND("|",'Blind Scoring Sheet'!B138)-1))))</f>
        <v/>
      </c>
      <c r="D138" s="81">
        <f>IF(ISNUMBER('Blind Scoring Sheet'!D138),'Blind Scoring Sheet'!D138,VALUE(TRIM(LEFT('Blind Scoring Sheet'!D138,FIND("|",'Blind Scoring Sheet'!D138)-1))))</f>
        <v/>
      </c>
      <c r="E138" s="81">
        <f>IF(ISNUMBER('Blind Scoring Sheet'!F138),'Blind Scoring Sheet'!F138,VALUE(TRIM(LEFT('Blind Scoring Sheet'!F138,FIND("|",'Blind Scoring Sheet'!F138)-1))))</f>
        <v/>
      </c>
      <c r="F138" s="81">
        <f>IF(ISNUMBER('Blind Scoring Sheet'!H138),'Blind Scoring Sheet'!H138,VALUE(TRIM(LEFT('Blind Scoring Sheet'!H138,FIND("|",'Blind Scoring Sheet'!H138)-1))))</f>
        <v/>
      </c>
      <c r="G138" s="81">
        <f>IF(ISNUMBER('Blind Scoring Sheet'!J138),'Blind Scoring Sheet'!J138,VALUE(TRIM(LEFT('Blind Scoring Sheet'!J138,FIND("|",'Blind Scoring Sheet'!J138)-1))))</f>
        <v/>
      </c>
      <c r="H138" s="80">
        <f>IF(ISNUMBER(SEARCH("|",'Blind Scoring Sheet'!K138)),TRIM(LEFT('Blind Scoring Sheet'!K138,FIND("|",'Blind Scoring Sheet'!K138)-1)),TRIM('Blind Scoring Sheet'!K138))</f>
        <v/>
      </c>
    </row>
    <row r="139" ht="15" customHeight="1" s="38">
      <c r="A139" s="80">
        <f>'Blind Scoring Sheet'!A139</f>
        <v/>
      </c>
      <c r="B139" s="80">
        <f>MID(INDEX('Anonymization Key'!$B$4:$B$1003,MATCH(A139,'Anonymization Key'!$A$4:$A$1003,0)),3,2)</f>
        <v/>
      </c>
      <c r="C139" s="81">
        <f>IF(ISNUMBER('Blind Scoring Sheet'!B139),'Blind Scoring Sheet'!B139,VALUE(TRIM(LEFT('Blind Scoring Sheet'!B139,FIND("|",'Blind Scoring Sheet'!B139)-1))))</f>
        <v/>
      </c>
      <c r="D139" s="81">
        <f>IF(ISNUMBER('Blind Scoring Sheet'!D139),'Blind Scoring Sheet'!D139,VALUE(TRIM(LEFT('Blind Scoring Sheet'!D139,FIND("|",'Blind Scoring Sheet'!D139)-1))))</f>
        <v/>
      </c>
      <c r="E139" s="81">
        <f>IF(ISNUMBER('Blind Scoring Sheet'!F139),'Blind Scoring Sheet'!F139,VALUE(TRIM(LEFT('Blind Scoring Sheet'!F139,FIND("|",'Blind Scoring Sheet'!F139)-1))))</f>
        <v/>
      </c>
      <c r="F139" s="81">
        <f>IF(ISNUMBER('Blind Scoring Sheet'!H139),'Blind Scoring Sheet'!H139,VALUE(TRIM(LEFT('Blind Scoring Sheet'!H139,FIND("|",'Blind Scoring Sheet'!H139)-1))))</f>
        <v/>
      </c>
      <c r="G139" s="81">
        <f>IF(ISNUMBER('Blind Scoring Sheet'!J139),'Blind Scoring Sheet'!J139,VALUE(TRIM(LEFT('Blind Scoring Sheet'!J139,FIND("|",'Blind Scoring Sheet'!J139)-1))))</f>
        <v/>
      </c>
      <c r="H139" s="80">
        <f>IF(ISNUMBER(SEARCH("|",'Blind Scoring Sheet'!K139)),TRIM(LEFT('Blind Scoring Sheet'!K139,FIND("|",'Blind Scoring Sheet'!K139)-1)),TRIM('Blind Scoring Sheet'!K139))</f>
        <v/>
      </c>
    </row>
    <row r="140" ht="15" customHeight="1" s="38">
      <c r="A140" s="80">
        <f>'Blind Scoring Sheet'!A140</f>
        <v/>
      </c>
      <c r="B140" s="80">
        <f>MID(INDEX('Anonymization Key'!$B$4:$B$1003,MATCH(A140,'Anonymization Key'!$A$4:$A$1003,0)),3,2)</f>
        <v/>
      </c>
      <c r="C140" s="81">
        <f>IF(ISNUMBER('Blind Scoring Sheet'!B140),'Blind Scoring Sheet'!B140,VALUE(TRIM(LEFT('Blind Scoring Sheet'!B140,FIND("|",'Blind Scoring Sheet'!B140)-1))))</f>
        <v/>
      </c>
      <c r="D140" s="81">
        <f>IF(ISNUMBER('Blind Scoring Sheet'!D140),'Blind Scoring Sheet'!D140,VALUE(TRIM(LEFT('Blind Scoring Sheet'!D140,FIND("|",'Blind Scoring Sheet'!D140)-1))))</f>
        <v/>
      </c>
      <c r="E140" s="81">
        <f>IF(ISNUMBER('Blind Scoring Sheet'!F140),'Blind Scoring Sheet'!F140,VALUE(TRIM(LEFT('Blind Scoring Sheet'!F140,FIND("|",'Blind Scoring Sheet'!F140)-1))))</f>
        <v/>
      </c>
      <c r="F140" s="81">
        <f>IF(ISNUMBER('Blind Scoring Sheet'!H140),'Blind Scoring Sheet'!H140,VALUE(TRIM(LEFT('Blind Scoring Sheet'!H140,FIND("|",'Blind Scoring Sheet'!H140)-1))))</f>
        <v/>
      </c>
      <c r="G140" s="81">
        <f>IF(ISNUMBER('Blind Scoring Sheet'!J140),'Blind Scoring Sheet'!J140,VALUE(TRIM(LEFT('Blind Scoring Sheet'!J140,FIND("|",'Blind Scoring Sheet'!J140)-1))))</f>
        <v/>
      </c>
      <c r="H140" s="80">
        <f>IF(ISNUMBER(SEARCH("|",'Blind Scoring Sheet'!K140)),TRIM(LEFT('Blind Scoring Sheet'!K140,FIND("|",'Blind Scoring Sheet'!K140)-1)),TRIM('Blind Scoring Sheet'!K140))</f>
        <v/>
      </c>
    </row>
    <row r="141" ht="15" customHeight="1" s="38">
      <c r="A141" s="80">
        <f>'Blind Scoring Sheet'!A141</f>
        <v/>
      </c>
      <c r="B141" s="80">
        <f>MID(INDEX('Anonymization Key'!$B$4:$B$1003,MATCH(A141,'Anonymization Key'!$A$4:$A$1003,0)),3,2)</f>
        <v/>
      </c>
      <c r="C141" s="81">
        <f>IF(ISNUMBER('Blind Scoring Sheet'!B141),'Blind Scoring Sheet'!B141,VALUE(TRIM(LEFT('Blind Scoring Sheet'!B141,FIND("|",'Blind Scoring Sheet'!B141)-1))))</f>
        <v/>
      </c>
      <c r="D141" s="81">
        <f>IF(ISNUMBER('Blind Scoring Sheet'!D141),'Blind Scoring Sheet'!D141,VALUE(TRIM(LEFT('Blind Scoring Sheet'!D141,FIND("|",'Blind Scoring Sheet'!D141)-1))))</f>
        <v/>
      </c>
      <c r="E141" s="81">
        <f>IF(ISNUMBER('Blind Scoring Sheet'!F141),'Blind Scoring Sheet'!F141,VALUE(TRIM(LEFT('Blind Scoring Sheet'!F141,FIND("|",'Blind Scoring Sheet'!F141)-1))))</f>
        <v/>
      </c>
      <c r="F141" s="81">
        <f>IF(ISNUMBER('Blind Scoring Sheet'!H141),'Blind Scoring Sheet'!H141,VALUE(TRIM(LEFT('Blind Scoring Sheet'!H141,FIND("|",'Blind Scoring Sheet'!H141)-1))))</f>
        <v/>
      </c>
      <c r="G141" s="81">
        <f>IF(ISNUMBER('Blind Scoring Sheet'!J141),'Blind Scoring Sheet'!J141,VALUE(TRIM(LEFT('Blind Scoring Sheet'!J141,FIND("|",'Blind Scoring Sheet'!J141)-1))))</f>
        <v/>
      </c>
      <c r="H141" s="80">
        <f>IF(ISNUMBER(SEARCH("|",'Blind Scoring Sheet'!K141)),TRIM(LEFT('Blind Scoring Sheet'!K141,FIND("|",'Blind Scoring Sheet'!K141)-1)),TRIM('Blind Scoring Sheet'!K141))</f>
        <v/>
      </c>
    </row>
    <row r="142" ht="15" customHeight="1" s="38">
      <c r="A142" s="80">
        <f>'Blind Scoring Sheet'!A142</f>
        <v/>
      </c>
      <c r="B142" s="80">
        <f>MID(INDEX('Anonymization Key'!$B$4:$B$1003,MATCH(A142,'Anonymization Key'!$A$4:$A$1003,0)),3,2)</f>
        <v/>
      </c>
      <c r="C142" s="81">
        <f>IF(ISNUMBER('Blind Scoring Sheet'!B142),'Blind Scoring Sheet'!B142,VALUE(TRIM(LEFT('Blind Scoring Sheet'!B142,FIND("|",'Blind Scoring Sheet'!B142)-1))))</f>
        <v/>
      </c>
      <c r="D142" s="81">
        <f>IF(ISNUMBER('Blind Scoring Sheet'!D142),'Blind Scoring Sheet'!D142,VALUE(TRIM(LEFT('Blind Scoring Sheet'!D142,FIND("|",'Blind Scoring Sheet'!D142)-1))))</f>
        <v/>
      </c>
      <c r="E142" s="81">
        <f>IF(ISNUMBER('Blind Scoring Sheet'!F142),'Blind Scoring Sheet'!F142,VALUE(TRIM(LEFT('Blind Scoring Sheet'!F142,FIND("|",'Blind Scoring Sheet'!F142)-1))))</f>
        <v/>
      </c>
      <c r="F142" s="81">
        <f>IF(ISNUMBER('Blind Scoring Sheet'!H142),'Blind Scoring Sheet'!H142,VALUE(TRIM(LEFT('Blind Scoring Sheet'!H142,FIND("|",'Blind Scoring Sheet'!H142)-1))))</f>
        <v/>
      </c>
      <c r="G142" s="81">
        <f>IF(ISNUMBER('Blind Scoring Sheet'!J142),'Blind Scoring Sheet'!J142,VALUE(TRIM(LEFT('Blind Scoring Sheet'!J142,FIND("|",'Blind Scoring Sheet'!J142)-1))))</f>
        <v/>
      </c>
      <c r="H142" s="80">
        <f>IF(ISNUMBER(SEARCH("|",'Blind Scoring Sheet'!K142)),TRIM(LEFT('Blind Scoring Sheet'!K142,FIND("|",'Blind Scoring Sheet'!K142)-1)),TRIM('Blind Scoring Sheet'!K142))</f>
        <v/>
      </c>
    </row>
    <row r="143" ht="15" customHeight="1" s="38">
      <c r="A143" s="80">
        <f>'Blind Scoring Sheet'!A143</f>
        <v/>
      </c>
      <c r="B143" s="80">
        <f>MID(INDEX('Anonymization Key'!$B$4:$B$1003,MATCH(A143,'Anonymization Key'!$A$4:$A$1003,0)),3,2)</f>
        <v/>
      </c>
      <c r="C143" s="81">
        <f>IF(ISNUMBER('Blind Scoring Sheet'!B143),'Blind Scoring Sheet'!B143,VALUE(TRIM(LEFT('Blind Scoring Sheet'!B143,FIND("|",'Blind Scoring Sheet'!B143)-1))))</f>
        <v/>
      </c>
      <c r="D143" s="81">
        <f>IF(ISNUMBER('Blind Scoring Sheet'!D143),'Blind Scoring Sheet'!D143,VALUE(TRIM(LEFT('Blind Scoring Sheet'!D143,FIND("|",'Blind Scoring Sheet'!D143)-1))))</f>
        <v/>
      </c>
      <c r="E143" s="81">
        <f>IF(ISNUMBER('Blind Scoring Sheet'!F143),'Blind Scoring Sheet'!F143,VALUE(TRIM(LEFT('Blind Scoring Sheet'!F143,FIND("|",'Blind Scoring Sheet'!F143)-1))))</f>
        <v/>
      </c>
      <c r="F143" s="81">
        <f>IF(ISNUMBER('Blind Scoring Sheet'!H143),'Blind Scoring Sheet'!H143,VALUE(TRIM(LEFT('Blind Scoring Sheet'!H143,FIND("|",'Blind Scoring Sheet'!H143)-1))))</f>
        <v/>
      </c>
      <c r="G143" s="81">
        <f>IF(ISNUMBER('Blind Scoring Sheet'!J143),'Blind Scoring Sheet'!J143,VALUE(TRIM(LEFT('Blind Scoring Sheet'!J143,FIND("|",'Blind Scoring Sheet'!J143)-1))))</f>
        <v/>
      </c>
      <c r="H143" s="80">
        <f>IF(ISNUMBER(SEARCH("|",'Blind Scoring Sheet'!K143)),TRIM(LEFT('Blind Scoring Sheet'!K143,FIND("|",'Blind Scoring Sheet'!K143)-1)),TRIM('Blind Scoring Sheet'!K143))</f>
        <v/>
      </c>
    </row>
    <row r="144" ht="15" customHeight="1" s="38">
      <c r="A144" s="80">
        <f>'Blind Scoring Sheet'!A144</f>
        <v/>
      </c>
      <c r="B144" s="80">
        <f>MID(INDEX('Anonymization Key'!$B$4:$B$1003,MATCH(A144,'Anonymization Key'!$A$4:$A$1003,0)),3,2)</f>
        <v/>
      </c>
      <c r="C144" s="81">
        <f>IF(ISNUMBER('Blind Scoring Sheet'!B144),'Blind Scoring Sheet'!B144,VALUE(TRIM(LEFT('Blind Scoring Sheet'!B144,FIND("|",'Blind Scoring Sheet'!B144)-1))))</f>
        <v/>
      </c>
      <c r="D144" s="81">
        <f>IF(ISNUMBER('Blind Scoring Sheet'!D144),'Blind Scoring Sheet'!D144,VALUE(TRIM(LEFT('Blind Scoring Sheet'!D144,FIND("|",'Blind Scoring Sheet'!D144)-1))))</f>
        <v/>
      </c>
      <c r="E144" s="81">
        <f>IF(ISNUMBER('Blind Scoring Sheet'!F144),'Blind Scoring Sheet'!F144,VALUE(TRIM(LEFT('Blind Scoring Sheet'!F144,FIND("|",'Blind Scoring Sheet'!F144)-1))))</f>
        <v/>
      </c>
      <c r="F144" s="81">
        <f>IF(ISNUMBER('Blind Scoring Sheet'!H144),'Blind Scoring Sheet'!H144,VALUE(TRIM(LEFT('Blind Scoring Sheet'!H144,FIND("|",'Blind Scoring Sheet'!H144)-1))))</f>
        <v/>
      </c>
      <c r="G144" s="81">
        <f>IF(ISNUMBER('Blind Scoring Sheet'!J144),'Blind Scoring Sheet'!J144,VALUE(TRIM(LEFT('Blind Scoring Sheet'!J144,FIND("|",'Blind Scoring Sheet'!J144)-1))))</f>
        <v/>
      </c>
      <c r="H144" s="80">
        <f>IF(ISNUMBER(SEARCH("|",'Blind Scoring Sheet'!K144)),TRIM(LEFT('Blind Scoring Sheet'!K144,FIND("|",'Blind Scoring Sheet'!K144)-1)),TRIM('Blind Scoring Sheet'!K144))</f>
        <v/>
      </c>
    </row>
    <row r="145" ht="15" customHeight="1" s="38">
      <c r="A145" s="80">
        <f>'Blind Scoring Sheet'!A145</f>
        <v/>
      </c>
      <c r="B145" s="80">
        <f>MID(INDEX('Anonymization Key'!$B$4:$B$1003,MATCH(A145,'Anonymization Key'!$A$4:$A$1003,0)),3,2)</f>
        <v/>
      </c>
      <c r="C145" s="81">
        <f>IF(ISNUMBER('Blind Scoring Sheet'!B145),'Blind Scoring Sheet'!B145,VALUE(TRIM(LEFT('Blind Scoring Sheet'!B145,FIND("|",'Blind Scoring Sheet'!B145)-1))))</f>
        <v/>
      </c>
      <c r="D145" s="81">
        <f>IF(ISNUMBER('Blind Scoring Sheet'!D145),'Blind Scoring Sheet'!D145,VALUE(TRIM(LEFT('Blind Scoring Sheet'!D145,FIND("|",'Blind Scoring Sheet'!D145)-1))))</f>
        <v/>
      </c>
      <c r="E145" s="81">
        <f>IF(ISNUMBER('Blind Scoring Sheet'!F145),'Blind Scoring Sheet'!F145,VALUE(TRIM(LEFT('Blind Scoring Sheet'!F145,FIND("|",'Blind Scoring Sheet'!F145)-1))))</f>
        <v/>
      </c>
      <c r="F145" s="81">
        <f>IF(ISNUMBER('Blind Scoring Sheet'!H145),'Blind Scoring Sheet'!H145,VALUE(TRIM(LEFT('Blind Scoring Sheet'!H145,FIND("|",'Blind Scoring Sheet'!H145)-1))))</f>
        <v/>
      </c>
      <c r="G145" s="81">
        <f>IF(ISNUMBER('Blind Scoring Sheet'!J145),'Blind Scoring Sheet'!J145,VALUE(TRIM(LEFT('Blind Scoring Sheet'!J145,FIND("|",'Blind Scoring Sheet'!J145)-1))))</f>
        <v/>
      </c>
      <c r="H145" s="80">
        <f>IF(ISNUMBER(SEARCH("|",'Blind Scoring Sheet'!K145)),TRIM(LEFT('Blind Scoring Sheet'!K145,FIND("|",'Blind Scoring Sheet'!K145)-1)),TRIM('Blind Scoring Sheet'!K145))</f>
        <v/>
      </c>
    </row>
    <row r="146" ht="15" customHeight="1" s="38">
      <c r="A146" s="80">
        <f>'Blind Scoring Sheet'!A146</f>
        <v/>
      </c>
      <c r="B146" s="80">
        <f>MID(INDEX('Anonymization Key'!$B$4:$B$1003,MATCH(A146,'Anonymization Key'!$A$4:$A$1003,0)),3,2)</f>
        <v/>
      </c>
      <c r="C146" s="81">
        <f>IF(ISNUMBER('Blind Scoring Sheet'!B146),'Blind Scoring Sheet'!B146,VALUE(TRIM(LEFT('Blind Scoring Sheet'!B146,FIND("|",'Blind Scoring Sheet'!B146)-1))))</f>
        <v/>
      </c>
      <c r="D146" s="81">
        <f>IF(ISNUMBER('Blind Scoring Sheet'!D146),'Blind Scoring Sheet'!D146,VALUE(TRIM(LEFT('Blind Scoring Sheet'!D146,FIND("|",'Blind Scoring Sheet'!D146)-1))))</f>
        <v/>
      </c>
      <c r="E146" s="81">
        <f>IF(ISNUMBER('Blind Scoring Sheet'!F146),'Blind Scoring Sheet'!F146,VALUE(TRIM(LEFT('Blind Scoring Sheet'!F146,FIND("|",'Blind Scoring Sheet'!F146)-1))))</f>
        <v/>
      </c>
      <c r="F146" s="81">
        <f>IF(ISNUMBER('Blind Scoring Sheet'!H146),'Blind Scoring Sheet'!H146,VALUE(TRIM(LEFT('Blind Scoring Sheet'!H146,FIND("|",'Blind Scoring Sheet'!H146)-1))))</f>
        <v/>
      </c>
      <c r="G146" s="81">
        <f>IF(ISNUMBER('Blind Scoring Sheet'!J146),'Blind Scoring Sheet'!J146,VALUE(TRIM(LEFT('Blind Scoring Sheet'!J146,FIND("|",'Blind Scoring Sheet'!J146)-1))))</f>
        <v/>
      </c>
      <c r="H146" s="80">
        <f>IF(ISNUMBER(SEARCH("|",'Blind Scoring Sheet'!K146)),TRIM(LEFT('Blind Scoring Sheet'!K146,FIND("|",'Blind Scoring Sheet'!K146)-1)),TRIM('Blind Scoring Sheet'!K146))</f>
        <v/>
      </c>
    </row>
    <row r="147" ht="15" customHeight="1" s="38">
      <c r="A147" s="80">
        <f>'Blind Scoring Sheet'!A147</f>
        <v/>
      </c>
      <c r="B147" s="80">
        <f>MID(INDEX('Anonymization Key'!$B$4:$B$1003,MATCH(A147,'Anonymization Key'!$A$4:$A$1003,0)),3,2)</f>
        <v/>
      </c>
      <c r="C147" s="81">
        <f>IF(ISNUMBER('Blind Scoring Sheet'!B147),'Blind Scoring Sheet'!B147,VALUE(TRIM(LEFT('Blind Scoring Sheet'!B147,FIND("|",'Blind Scoring Sheet'!B147)-1))))</f>
        <v/>
      </c>
      <c r="D147" s="81">
        <f>IF(ISNUMBER('Blind Scoring Sheet'!D147),'Blind Scoring Sheet'!D147,VALUE(TRIM(LEFT('Blind Scoring Sheet'!D147,FIND("|",'Blind Scoring Sheet'!D147)-1))))</f>
        <v/>
      </c>
      <c r="E147" s="81">
        <f>IF(ISNUMBER('Blind Scoring Sheet'!F147),'Blind Scoring Sheet'!F147,VALUE(TRIM(LEFT('Blind Scoring Sheet'!F147,FIND("|",'Blind Scoring Sheet'!F147)-1))))</f>
        <v/>
      </c>
      <c r="F147" s="81">
        <f>IF(ISNUMBER('Blind Scoring Sheet'!H147),'Blind Scoring Sheet'!H147,VALUE(TRIM(LEFT('Blind Scoring Sheet'!H147,FIND("|",'Blind Scoring Sheet'!H147)-1))))</f>
        <v/>
      </c>
      <c r="G147" s="81">
        <f>IF(ISNUMBER('Blind Scoring Sheet'!J147),'Blind Scoring Sheet'!J147,VALUE(TRIM(LEFT('Blind Scoring Sheet'!J147,FIND("|",'Blind Scoring Sheet'!J147)-1))))</f>
        <v/>
      </c>
      <c r="H147" s="80">
        <f>IF(ISNUMBER(SEARCH("|",'Blind Scoring Sheet'!K147)),TRIM(LEFT('Blind Scoring Sheet'!K147,FIND("|",'Blind Scoring Sheet'!K147)-1)),TRIM('Blind Scoring Sheet'!K147))</f>
        <v/>
      </c>
    </row>
    <row r="148" ht="15" customHeight="1" s="38">
      <c r="A148" s="80">
        <f>'Blind Scoring Sheet'!A148</f>
        <v/>
      </c>
      <c r="B148" s="80">
        <f>MID(INDEX('Anonymization Key'!$B$4:$B$1003,MATCH(A148,'Anonymization Key'!$A$4:$A$1003,0)),3,2)</f>
        <v/>
      </c>
      <c r="C148" s="81">
        <f>IF(ISNUMBER('Blind Scoring Sheet'!B148),'Blind Scoring Sheet'!B148,VALUE(TRIM(LEFT('Blind Scoring Sheet'!B148,FIND("|",'Blind Scoring Sheet'!B148)-1))))</f>
        <v/>
      </c>
      <c r="D148" s="81">
        <f>IF(ISNUMBER('Blind Scoring Sheet'!D148),'Blind Scoring Sheet'!D148,VALUE(TRIM(LEFT('Blind Scoring Sheet'!D148,FIND("|",'Blind Scoring Sheet'!D148)-1))))</f>
        <v/>
      </c>
      <c r="E148" s="81">
        <f>IF(ISNUMBER('Blind Scoring Sheet'!F148),'Blind Scoring Sheet'!F148,VALUE(TRIM(LEFT('Blind Scoring Sheet'!F148,FIND("|",'Blind Scoring Sheet'!F148)-1))))</f>
        <v/>
      </c>
      <c r="F148" s="81">
        <f>IF(ISNUMBER('Blind Scoring Sheet'!H148),'Blind Scoring Sheet'!H148,VALUE(TRIM(LEFT('Blind Scoring Sheet'!H148,FIND("|",'Blind Scoring Sheet'!H148)-1))))</f>
        <v/>
      </c>
      <c r="G148" s="81">
        <f>IF(ISNUMBER('Blind Scoring Sheet'!J148),'Blind Scoring Sheet'!J148,VALUE(TRIM(LEFT('Blind Scoring Sheet'!J148,FIND("|",'Blind Scoring Sheet'!J148)-1))))</f>
        <v/>
      </c>
      <c r="H148" s="80">
        <f>IF(ISNUMBER(SEARCH("|",'Blind Scoring Sheet'!K148)),TRIM(LEFT('Blind Scoring Sheet'!K148,FIND("|",'Blind Scoring Sheet'!K148)-1)),TRIM('Blind Scoring Sheet'!K148))</f>
        <v/>
      </c>
    </row>
    <row r="149" ht="15" customHeight="1" s="38">
      <c r="A149" s="80">
        <f>'Blind Scoring Sheet'!A149</f>
        <v/>
      </c>
      <c r="B149" s="80">
        <f>MID(INDEX('Anonymization Key'!$B$4:$B$1003,MATCH(A149,'Anonymization Key'!$A$4:$A$1003,0)),3,2)</f>
        <v/>
      </c>
      <c r="C149" s="81">
        <f>IF(ISNUMBER('Blind Scoring Sheet'!B149),'Blind Scoring Sheet'!B149,VALUE(TRIM(LEFT('Blind Scoring Sheet'!B149,FIND("|",'Blind Scoring Sheet'!B149)-1))))</f>
        <v/>
      </c>
      <c r="D149" s="81">
        <f>IF(ISNUMBER('Blind Scoring Sheet'!D149),'Blind Scoring Sheet'!D149,VALUE(TRIM(LEFT('Blind Scoring Sheet'!D149,FIND("|",'Blind Scoring Sheet'!D149)-1))))</f>
        <v/>
      </c>
      <c r="E149" s="81">
        <f>IF(ISNUMBER('Blind Scoring Sheet'!F149),'Blind Scoring Sheet'!F149,VALUE(TRIM(LEFT('Blind Scoring Sheet'!F149,FIND("|",'Blind Scoring Sheet'!F149)-1))))</f>
        <v/>
      </c>
      <c r="F149" s="81">
        <f>IF(ISNUMBER('Blind Scoring Sheet'!H149),'Blind Scoring Sheet'!H149,VALUE(TRIM(LEFT('Blind Scoring Sheet'!H149,FIND("|",'Blind Scoring Sheet'!H149)-1))))</f>
        <v/>
      </c>
      <c r="G149" s="81">
        <f>IF(ISNUMBER('Blind Scoring Sheet'!J149),'Blind Scoring Sheet'!J149,VALUE(TRIM(LEFT('Blind Scoring Sheet'!J149,FIND("|",'Blind Scoring Sheet'!J149)-1))))</f>
        <v/>
      </c>
      <c r="H149" s="80">
        <f>IF(ISNUMBER(SEARCH("|",'Blind Scoring Sheet'!K149)),TRIM(LEFT('Blind Scoring Sheet'!K149,FIND("|",'Blind Scoring Sheet'!K149)-1)),TRIM('Blind Scoring Sheet'!K149))</f>
        <v/>
      </c>
    </row>
    <row r="150" ht="15" customHeight="1" s="38">
      <c r="A150" s="80">
        <f>'Blind Scoring Sheet'!A150</f>
        <v/>
      </c>
      <c r="B150" s="80">
        <f>MID(INDEX('Anonymization Key'!$B$4:$B$1003,MATCH(A150,'Anonymization Key'!$A$4:$A$1003,0)),3,2)</f>
        <v/>
      </c>
      <c r="C150" s="81">
        <f>IF(ISNUMBER('Blind Scoring Sheet'!B150),'Blind Scoring Sheet'!B150,VALUE(TRIM(LEFT('Blind Scoring Sheet'!B150,FIND("|",'Blind Scoring Sheet'!B150)-1))))</f>
        <v/>
      </c>
      <c r="D150" s="81">
        <f>IF(ISNUMBER('Blind Scoring Sheet'!D150),'Blind Scoring Sheet'!D150,VALUE(TRIM(LEFT('Blind Scoring Sheet'!D150,FIND("|",'Blind Scoring Sheet'!D150)-1))))</f>
        <v/>
      </c>
      <c r="E150" s="81">
        <f>IF(ISNUMBER('Blind Scoring Sheet'!F150),'Blind Scoring Sheet'!F150,VALUE(TRIM(LEFT('Blind Scoring Sheet'!F150,FIND("|",'Blind Scoring Sheet'!F150)-1))))</f>
        <v/>
      </c>
      <c r="F150" s="81">
        <f>IF(ISNUMBER('Blind Scoring Sheet'!H150),'Blind Scoring Sheet'!H150,VALUE(TRIM(LEFT('Blind Scoring Sheet'!H150,FIND("|",'Blind Scoring Sheet'!H150)-1))))</f>
        <v/>
      </c>
      <c r="G150" s="81">
        <f>IF(ISNUMBER('Blind Scoring Sheet'!J150),'Blind Scoring Sheet'!J150,VALUE(TRIM(LEFT('Blind Scoring Sheet'!J150,FIND("|",'Blind Scoring Sheet'!J150)-1))))</f>
        <v/>
      </c>
      <c r="H150" s="80">
        <f>IF(ISNUMBER(SEARCH("|",'Blind Scoring Sheet'!K150)),TRIM(LEFT('Blind Scoring Sheet'!K150,FIND("|",'Blind Scoring Sheet'!K150)-1)),TRIM('Blind Scoring Sheet'!K150))</f>
        <v/>
      </c>
    </row>
    <row r="151" ht="15" customHeight="1" s="38">
      <c r="A151" s="80">
        <f>'Blind Scoring Sheet'!A151</f>
        <v/>
      </c>
      <c r="B151" s="80">
        <f>MID(INDEX('Anonymization Key'!$B$4:$B$1003,MATCH(A151,'Anonymization Key'!$A$4:$A$1003,0)),3,2)</f>
        <v/>
      </c>
      <c r="C151" s="81">
        <f>IF(ISNUMBER('Blind Scoring Sheet'!B151),'Blind Scoring Sheet'!B151,VALUE(TRIM(LEFT('Blind Scoring Sheet'!B151,FIND("|",'Blind Scoring Sheet'!B151)-1))))</f>
        <v/>
      </c>
      <c r="D151" s="81">
        <f>IF(ISNUMBER('Blind Scoring Sheet'!D151),'Blind Scoring Sheet'!D151,VALUE(TRIM(LEFT('Blind Scoring Sheet'!D151,FIND("|",'Blind Scoring Sheet'!D151)-1))))</f>
        <v/>
      </c>
      <c r="E151" s="81">
        <f>IF(ISNUMBER('Blind Scoring Sheet'!F151),'Blind Scoring Sheet'!F151,VALUE(TRIM(LEFT('Blind Scoring Sheet'!F151,FIND("|",'Blind Scoring Sheet'!F151)-1))))</f>
        <v/>
      </c>
      <c r="F151" s="81">
        <f>IF(ISNUMBER('Blind Scoring Sheet'!H151),'Blind Scoring Sheet'!H151,VALUE(TRIM(LEFT('Blind Scoring Sheet'!H151,FIND("|",'Blind Scoring Sheet'!H151)-1))))</f>
        <v/>
      </c>
      <c r="G151" s="81">
        <f>IF(ISNUMBER('Blind Scoring Sheet'!J151),'Blind Scoring Sheet'!J151,VALUE(TRIM(LEFT('Blind Scoring Sheet'!J151,FIND("|",'Blind Scoring Sheet'!J151)-1))))</f>
        <v/>
      </c>
      <c r="H151" s="80">
        <f>IF(ISNUMBER(SEARCH("|",'Blind Scoring Sheet'!K151)),TRIM(LEFT('Blind Scoring Sheet'!K151,FIND("|",'Blind Scoring Sheet'!K151)-1)),TRIM('Blind Scoring Sheet'!K151))</f>
        <v/>
      </c>
    </row>
    <row r="152" ht="15" customHeight="1" s="38">
      <c r="A152" s="80">
        <f>'Blind Scoring Sheet'!A152</f>
        <v/>
      </c>
      <c r="B152" s="80">
        <f>MID(INDEX('Anonymization Key'!$B$4:$B$1003,MATCH(A152,'Anonymization Key'!$A$4:$A$1003,0)),3,2)</f>
        <v/>
      </c>
      <c r="C152" s="81">
        <f>IF(ISNUMBER('Blind Scoring Sheet'!B152),'Blind Scoring Sheet'!B152,VALUE(TRIM(LEFT('Blind Scoring Sheet'!B152,FIND("|",'Blind Scoring Sheet'!B152)-1))))</f>
        <v/>
      </c>
      <c r="D152" s="81">
        <f>IF(ISNUMBER('Blind Scoring Sheet'!D152),'Blind Scoring Sheet'!D152,VALUE(TRIM(LEFT('Blind Scoring Sheet'!D152,FIND("|",'Blind Scoring Sheet'!D152)-1))))</f>
        <v/>
      </c>
      <c r="E152" s="81">
        <f>IF(ISNUMBER('Blind Scoring Sheet'!F152),'Blind Scoring Sheet'!F152,VALUE(TRIM(LEFT('Blind Scoring Sheet'!F152,FIND("|",'Blind Scoring Sheet'!F152)-1))))</f>
        <v/>
      </c>
      <c r="F152" s="81">
        <f>IF(ISNUMBER('Blind Scoring Sheet'!H152),'Blind Scoring Sheet'!H152,VALUE(TRIM(LEFT('Blind Scoring Sheet'!H152,FIND("|",'Blind Scoring Sheet'!H152)-1))))</f>
        <v/>
      </c>
      <c r="G152" s="81">
        <f>IF(ISNUMBER('Blind Scoring Sheet'!J152),'Blind Scoring Sheet'!J152,VALUE(TRIM(LEFT('Blind Scoring Sheet'!J152,FIND("|",'Blind Scoring Sheet'!J152)-1))))</f>
        <v/>
      </c>
      <c r="H152" s="80">
        <f>IF(ISNUMBER(SEARCH("|",'Blind Scoring Sheet'!K152)),TRIM(LEFT('Blind Scoring Sheet'!K152,FIND("|",'Blind Scoring Sheet'!K152)-1)),TRIM('Blind Scoring Sheet'!K152))</f>
        <v/>
      </c>
    </row>
    <row r="153" ht="15" customHeight="1" s="38">
      <c r="A153" s="80">
        <f>'Blind Scoring Sheet'!A153</f>
        <v/>
      </c>
      <c r="B153" s="80">
        <f>MID(INDEX('Anonymization Key'!$B$4:$B$1003,MATCH(A153,'Anonymization Key'!$A$4:$A$1003,0)),3,2)</f>
        <v/>
      </c>
      <c r="C153" s="81">
        <f>IF(ISNUMBER('Blind Scoring Sheet'!B153),'Blind Scoring Sheet'!B153,VALUE(TRIM(LEFT('Blind Scoring Sheet'!B153,FIND("|",'Blind Scoring Sheet'!B153)-1))))</f>
        <v/>
      </c>
      <c r="D153" s="81">
        <f>IF(ISNUMBER('Blind Scoring Sheet'!D153),'Blind Scoring Sheet'!D153,VALUE(TRIM(LEFT('Blind Scoring Sheet'!D153,FIND("|",'Blind Scoring Sheet'!D153)-1))))</f>
        <v/>
      </c>
      <c r="E153" s="81">
        <f>IF(ISNUMBER('Blind Scoring Sheet'!F153),'Blind Scoring Sheet'!F153,VALUE(TRIM(LEFT('Blind Scoring Sheet'!F153,FIND("|",'Blind Scoring Sheet'!F153)-1))))</f>
        <v/>
      </c>
      <c r="F153" s="81">
        <f>IF(ISNUMBER('Blind Scoring Sheet'!H153),'Blind Scoring Sheet'!H153,VALUE(TRIM(LEFT('Blind Scoring Sheet'!H153,FIND("|",'Blind Scoring Sheet'!H153)-1))))</f>
        <v/>
      </c>
      <c r="G153" s="81">
        <f>IF(ISNUMBER('Blind Scoring Sheet'!J153),'Blind Scoring Sheet'!J153,VALUE(TRIM(LEFT('Blind Scoring Sheet'!J153,FIND("|",'Blind Scoring Sheet'!J153)-1))))</f>
        <v/>
      </c>
      <c r="H153" s="80">
        <f>IF(ISNUMBER(SEARCH("|",'Blind Scoring Sheet'!K153)),TRIM(LEFT('Blind Scoring Sheet'!K153,FIND("|",'Blind Scoring Sheet'!K153)-1)),TRIM('Blind Scoring Sheet'!K153))</f>
        <v/>
      </c>
    </row>
    <row r="154" ht="15" customHeight="1" s="38">
      <c r="A154" s="80">
        <f>'Blind Scoring Sheet'!A154</f>
        <v/>
      </c>
      <c r="B154" s="80">
        <f>MID(INDEX('Anonymization Key'!$B$4:$B$1003,MATCH(A154,'Anonymization Key'!$A$4:$A$1003,0)),3,2)</f>
        <v/>
      </c>
      <c r="C154" s="81">
        <f>IF(ISNUMBER('Blind Scoring Sheet'!B154),'Blind Scoring Sheet'!B154,VALUE(TRIM(LEFT('Blind Scoring Sheet'!B154,FIND("|",'Blind Scoring Sheet'!B154)-1))))</f>
        <v/>
      </c>
      <c r="D154" s="81">
        <f>IF(ISNUMBER('Blind Scoring Sheet'!D154),'Blind Scoring Sheet'!D154,VALUE(TRIM(LEFT('Blind Scoring Sheet'!D154,FIND("|",'Blind Scoring Sheet'!D154)-1))))</f>
        <v/>
      </c>
      <c r="E154" s="81">
        <f>IF(ISNUMBER('Blind Scoring Sheet'!F154),'Blind Scoring Sheet'!F154,VALUE(TRIM(LEFT('Blind Scoring Sheet'!F154,FIND("|",'Blind Scoring Sheet'!F154)-1))))</f>
        <v/>
      </c>
      <c r="F154" s="81">
        <f>IF(ISNUMBER('Blind Scoring Sheet'!H154),'Blind Scoring Sheet'!H154,VALUE(TRIM(LEFT('Blind Scoring Sheet'!H154,FIND("|",'Blind Scoring Sheet'!H154)-1))))</f>
        <v/>
      </c>
      <c r="G154" s="81">
        <f>IF(ISNUMBER('Blind Scoring Sheet'!J154),'Blind Scoring Sheet'!J154,VALUE(TRIM(LEFT('Blind Scoring Sheet'!J154,FIND("|",'Blind Scoring Sheet'!J154)-1))))</f>
        <v/>
      </c>
      <c r="H154" s="80">
        <f>IF(ISNUMBER(SEARCH("|",'Blind Scoring Sheet'!K154)),TRIM(LEFT('Blind Scoring Sheet'!K154,FIND("|",'Blind Scoring Sheet'!K154)-1)),TRIM('Blind Scoring Sheet'!K154))</f>
        <v/>
      </c>
    </row>
    <row r="155" ht="15" customHeight="1" s="38">
      <c r="A155" s="80">
        <f>'Blind Scoring Sheet'!A155</f>
        <v/>
      </c>
      <c r="B155" s="80">
        <f>MID(INDEX('Anonymization Key'!$B$4:$B$1003,MATCH(A155,'Anonymization Key'!$A$4:$A$1003,0)),3,2)</f>
        <v/>
      </c>
      <c r="C155" s="81">
        <f>IF(ISNUMBER('Blind Scoring Sheet'!B155),'Blind Scoring Sheet'!B155,VALUE(TRIM(LEFT('Blind Scoring Sheet'!B155,FIND("|",'Blind Scoring Sheet'!B155)-1))))</f>
        <v/>
      </c>
      <c r="D155" s="81">
        <f>IF(ISNUMBER('Blind Scoring Sheet'!D155),'Blind Scoring Sheet'!D155,VALUE(TRIM(LEFT('Blind Scoring Sheet'!D155,FIND("|",'Blind Scoring Sheet'!D155)-1))))</f>
        <v/>
      </c>
      <c r="E155" s="81">
        <f>IF(ISNUMBER('Blind Scoring Sheet'!F155),'Blind Scoring Sheet'!F155,VALUE(TRIM(LEFT('Blind Scoring Sheet'!F155,FIND("|",'Blind Scoring Sheet'!F155)-1))))</f>
        <v/>
      </c>
      <c r="F155" s="81">
        <f>IF(ISNUMBER('Blind Scoring Sheet'!H155),'Blind Scoring Sheet'!H155,VALUE(TRIM(LEFT('Blind Scoring Sheet'!H155,FIND("|",'Blind Scoring Sheet'!H155)-1))))</f>
        <v/>
      </c>
      <c r="G155" s="81">
        <f>IF(ISNUMBER('Blind Scoring Sheet'!J155),'Blind Scoring Sheet'!J155,VALUE(TRIM(LEFT('Blind Scoring Sheet'!J155,FIND("|",'Blind Scoring Sheet'!J155)-1))))</f>
        <v/>
      </c>
      <c r="H155" s="80">
        <f>IF(ISNUMBER(SEARCH("|",'Blind Scoring Sheet'!K155)),TRIM(LEFT('Blind Scoring Sheet'!K155,FIND("|",'Blind Scoring Sheet'!K155)-1)),TRIM('Blind Scoring Sheet'!K155))</f>
        <v/>
      </c>
    </row>
    <row r="156" ht="15" customHeight="1" s="38">
      <c r="A156" s="80">
        <f>'Blind Scoring Sheet'!A156</f>
        <v/>
      </c>
      <c r="B156" s="80">
        <f>MID(INDEX('Anonymization Key'!$B$4:$B$1003,MATCH(A156,'Anonymization Key'!$A$4:$A$1003,0)),3,2)</f>
        <v/>
      </c>
      <c r="C156" s="81">
        <f>IF(ISNUMBER('Blind Scoring Sheet'!B156),'Blind Scoring Sheet'!B156,VALUE(TRIM(LEFT('Blind Scoring Sheet'!B156,FIND("|",'Blind Scoring Sheet'!B156)-1))))</f>
        <v/>
      </c>
      <c r="D156" s="81">
        <f>IF(ISNUMBER('Blind Scoring Sheet'!D156),'Blind Scoring Sheet'!D156,VALUE(TRIM(LEFT('Blind Scoring Sheet'!D156,FIND("|",'Blind Scoring Sheet'!D156)-1))))</f>
        <v/>
      </c>
      <c r="E156" s="81">
        <f>IF(ISNUMBER('Blind Scoring Sheet'!F156),'Blind Scoring Sheet'!F156,VALUE(TRIM(LEFT('Blind Scoring Sheet'!F156,FIND("|",'Blind Scoring Sheet'!F156)-1))))</f>
        <v/>
      </c>
      <c r="F156" s="81">
        <f>IF(ISNUMBER('Blind Scoring Sheet'!H156),'Blind Scoring Sheet'!H156,VALUE(TRIM(LEFT('Blind Scoring Sheet'!H156,FIND("|",'Blind Scoring Sheet'!H156)-1))))</f>
        <v/>
      </c>
      <c r="G156" s="81">
        <f>IF(ISNUMBER('Blind Scoring Sheet'!J156),'Blind Scoring Sheet'!J156,VALUE(TRIM(LEFT('Blind Scoring Sheet'!J156,FIND("|",'Blind Scoring Sheet'!J156)-1))))</f>
        <v/>
      </c>
      <c r="H156" s="80">
        <f>IF(ISNUMBER(SEARCH("|",'Blind Scoring Sheet'!K156)),TRIM(LEFT('Blind Scoring Sheet'!K156,FIND("|",'Blind Scoring Sheet'!K156)-1)),TRIM('Blind Scoring Sheet'!K156))</f>
        <v/>
      </c>
    </row>
    <row r="157" ht="15" customHeight="1" s="38">
      <c r="A157" s="80">
        <f>'Blind Scoring Sheet'!A157</f>
        <v/>
      </c>
      <c r="B157" s="80">
        <f>MID(INDEX('Anonymization Key'!$B$4:$B$1003,MATCH(A157,'Anonymization Key'!$A$4:$A$1003,0)),3,2)</f>
        <v/>
      </c>
      <c r="C157" s="81">
        <f>IF(ISNUMBER('Blind Scoring Sheet'!B157),'Blind Scoring Sheet'!B157,VALUE(TRIM(LEFT('Blind Scoring Sheet'!B157,FIND("|",'Blind Scoring Sheet'!B157)-1))))</f>
        <v/>
      </c>
      <c r="D157" s="81">
        <f>IF(ISNUMBER('Blind Scoring Sheet'!D157),'Blind Scoring Sheet'!D157,VALUE(TRIM(LEFT('Blind Scoring Sheet'!D157,FIND("|",'Blind Scoring Sheet'!D157)-1))))</f>
        <v/>
      </c>
      <c r="E157" s="81">
        <f>IF(ISNUMBER('Blind Scoring Sheet'!F157),'Blind Scoring Sheet'!F157,VALUE(TRIM(LEFT('Blind Scoring Sheet'!F157,FIND("|",'Blind Scoring Sheet'!F157)-1))))</f>
        <v/>
      </c>
      <c r="F157" s="81">
        <f>IF(ISNUMBER('Blind Scoring Sheet'!H157),'Blind Scoring Sheet'!H157,VALUE(TRIM(LEFT('Blind Scoring Sheet'!H157,FIND("|",'Blind Scoring Sheet'!H157)-1))))</f>
        <v/>
      </c>
      <c r="G157" s="81">
        <f>IF(ISNUMBER('Blind Scoring Sheet'!J157),'Blind Scoring Sheet'!J157,VALUE(TRIM(LEFT('Blind Scoring Sheet'!J157,FIND("|",'Blind Scoring Sheet'!J157)-1))))</f>
        <v/>
      </c>
      <c r="H157" s="80">
        <f>IF(ISNUMBER(SEARCH("|",'Blind Scoring Sheet'!K157)),TRIM(LEFT('Blind Scoring Sheet'!K157,FIND("|",'Blind Scoring Sheet'!K157)-1)),TRIM('Blind Scoring Sheet'!K157))</f>
        <v/>
      </c>
    </row>
    <row r="158" ht="15" customHeight="1" s="38">
      <c r="A158" s="80">
        <f>'Blind Scoring Sheet'!A158</f>
        <v/>
      </c>
      <c r="B158" s="80">
        <f>MID(INDEX('Anonymization Key'!$B$4:$B$1003,MATCH(A158,'Anonymization Key'!$A$4:$A$1003,0)),3,2)</f>
        <v/>
      </c>
      <c r="C158" s="81">
        <f>IF(ISNUMBER('Blind Scoring Sheet'!B158),'Blind Scoring Sheet'!B158,VALUE(TRIM(LEFT('Blind Scoring Sheet'!B158,FIND("|",'Blind Scoring Sheet'!B158)-1))))</f>
        <v/>
      </c>
      <c r="D158" s="81">
        <f>IF(ISNUMBER('Blind Scoring Sheet'!D158),'Blind Scoring Sheet'!D158,VALUE(TRIM(LEFT('Blind Scoring Sheet'!D158,FIND("|",'Blind Scoring Sheet'!D158)-1))))</f>
        <v/>
      </c>
      <c r="E158" s="81">
        <f>IF(ISNUMBER('Blind Scoring Sheet'!F158),'Blind Scoring Sheet'!F158,VALUE(TRIM(LEFT('Blind Scoring Sheet'!F158,FIND("|",'Blind Scoring Sheet'!F158)-1))))</f>
        <v/>
      </c>
      <c r="F158" s="81">
        <f>IF(ISNUMBER('Blind Scoring Sheet'!H158),'Blind Scoring Sheet'!H158,VALUE(TRIM(LEFT('Blind Scoring Sheet'!H158,FIND("|",'Blind Scoring Sheet'!H158)-1))))</f>
        <v/>
      </c>
      <c r="G158" s="81">
        <f>IF(ISNUMBER('Blind Scoring Sheet'!J158),'Blind Scoring Sheet'!J158,VALUE(TRIM(LEFT('Blind Scoring Sheet'!J158,FIND("|",'Blind Scoring Sheet'!J158)-1))))</f>
        <v/>
      </c>
      <c r="H158" s="80">
        <f>IF(ISNUMBER(SEARCH("|",'Blind Scoring Sheet'!K158)),TRIM(LEFT('Blind Scoring Sheet'!K158,FIND("|",'Blind Scoring Sheet'!K158)-1)),TRIM('Blind Scoring Sheet'!K158))</f>
        <v/>
      </c>
    </row>
    <row r="159" ht="15" customHeight="1" s="38">
      <c r="A159" s="80">
        <f>'Blind Scoring Sheet'!A159</f>
        <v/>
      </c>
      <c r="B159" s="80">
        <f>MID(INDEX('Anonymization Key'!$B$4:$B$1003,MATCH(A159,'Anonymization Key'!$A$4:$A$1003,0)),3,2)</f>
        <v/>
      </c>
      <c r="C159" s="81">
        <f>IF(ISNUMBER('Blind Scoring Sheet'!B159),'Blind Scoring Sheet'!B159,VALUE(TRIM(LEFT('Blind Scoring Sheet'!B159,FIND("|",'Blind Scoring Sheet'!B159)-1))))</f>
        <v/>
      </c>
      <c r="D159" s="81">
        <f>IF(ISNUMBER('Blind Scoring Sheet'!D159),'Blind Scoring Sheet'!D159,VALUE(TRIM(LEFT('Blind Scoring Sheet'!D159,FIND("|",'Blind Scoring Sheet'!D159)-1))))</f>
        <v/>
      </c>
      <c r="E159" s="81">
        <f>IF(ISNUMBER('Blind Scoring Sheet'!F159),'Blind Scoring Sheet'!F159,VALUE(TRIM(LEFT('Blind Scoring Sheet'!F159,FIND("|",'Blind Scoring Sheet'!F159)-1))))</f>
        <v/>
      </c>
      <c r="F159" s="81">
        <f>IF(ISNUMBER('Blind Scoring Sheet'!H159),'Blind Scoring Sheet'!H159,VALUE(TRIM(LEFT('Blind Scoring Sheet'!H159,FIND("|",'Blind Scoring Sheet'!H159)-1))))</f>
        <v/>
      </c>
      <c r="G159" s="81">
        <f>IF(ISNUMBER('Blind Scoring Sheet'!J159),'Blind Scoring Sheet'!J159,VALUE(TRIM(LEFT('Blind Scoring Sheet'!J159,FIND("|",'Blind Scoring Sheet'!J159)-1))))</f>
        <v/>
      </c>
      <c r="H159" s="80">
        <f>IF(ISNUMBER(SEARCH("|",'Blind Scoring Sheet'!K159)),TRIM(LEFT('Blind Scoring Sheet'!K159,FIND("|",'Blind Scoring Sheet'!K159)-1)),TRIM('Blind Scoring Sheet'!K159))</f>
        <v/>
      </c>
    </row>
    <row r="160" ht="15" customHeight="1" s="38">
      <c r="A160" s="80">
        <f>'Blind Scoring Sheet'!A160</f>
        <v/>
      </c>
      <c r="B160" s="80">
        <f>MID(INDEX('Anonymization Key'!$B$4:$B$1003,MATCH(A160,'Anonymization Key'!$A$4:$A$1003,0)),3,2)</f>
        <v/>
      </c>
      <c r="C160" s="81">
        <f>IF(ISNUMBER('Blind Scoring Sheet'!B160),'Blind Scoring Sheet'!B160,VALUE(TRIM(LEFT('Blind Scoring Sheet'!B160,FIND("|",'Blind Scoring Sheet'!B160)-1))))</f>
        <v/>
      </c>
      <c r="D160" s="81">
        <f>IF(ISNUMBER('Blind Scoring Sheet'!D160),'Blind Scoring Sheet'!D160,VALUE(TRIM(LEFT('Blind Scoring Sheet'!D160,FIND("|",'Blind Scoring Sheet'!D160)-1))))</f>
        <v/>
      </c>
      <c r="E160" s="81">
        <f>IF(ISNUMBER('Blind Scoring Sheet'!F160),'Blind Scoring Sheet'!F160,VALUE(TRIM(LEFT('Blind Scoring Sheet'!F160,FIND("|",'Blind Scoring Sheet'!F160)-1))))</f>
        <v/>
      </c>
      <c r="F160" s="81">
        <f>IF(ISNUMBER('Blind Scoring Sheet'!H160),'Blind Scoring Sheet'!H160,VALUE(TRIM(LEFT('Blind Scoring Sheet'!H160,FIND("|",'Blind Scoring Sheet'!H160)-1))))</f>
        <v/>
      </c>
      <c r="G160" s="81">
        <f>IF(ISNUMBER('Blind Scoring Sheet'!J160),'Blind Scoring Sheet'!J160,VALUE(TRIM(LEFT('Blind Scoring Sheet'!J160,FIND("|",'Blind Scoring Sheet'!J160)-1))))</f>
        <v/>
      </c>
      <c r="H160" s="80">
        <f>IF(ISNUMBER(SEARCH("|",'Blind Scoring Sheet'!K160)),TRIM(LEFT('Blind Scoring Sheet'!K160,FIND("|",'Blind Scoring Sheet'!K160)-1)),TRIM('Blind Scoring Sheet'!K160))</f>
        <v/>
      </c>
    </row>
    <row r="161" ht="15" customHeight="1" s="38">
      <c r="A161" s="80">
        <f>'Blind Scoring Sheet'!A161</f>
        <v/>
      </c>
      <c r="B161" s="80">
        <f>MID(INDEX('Anonymization Key'!$B$4:$B$1003,MATCH(A161,'Anonymization Key'!$A$4:$A$1003,0)),3,2)</f>
        <v/>
      </c>
      <c r="C161" s="81">
        <f>IF(ISNUMBER('Blind Scoring Sheet'!B161),'Blind Scoring Sheet'!B161,VALUE(TRIM(LEFT('Blind Scoring Sheet'!B161,FIND("|",'Blind Scoring Sheet'!B161)-1))))</f>
        <v/>
      </c>
      <c r="D161" s="81">
        <f>IF(ISNUMBER('Blind Scoring Sheet'!D161),'Blind Scoring Sheet'!D161,VALUE(TRIM(LEFT('Blind Scoring Sheet'!D161,FIND("|",'Blind Scoring Sheet'!D161)-1))))</f>
        <v/>
      </c>
      <c r="E161" s="81">
        <f>IF(ISNUMBER('Blind Scoring Sheet'!F161),'Blind Scoring Sheet'!F161,VALUE(TRIM(LEFT('Blind Scoring Sheet'!F161,FIND("|",'Blind Scoring Sheet'!F161)-1))))</f>
        <v/>
      </c>
      <c r="F161" s="81">
        <f>IF(ISNUMBER('Blind Scoring Sheet'!H161),'Blind Scoring Sheet'!H161,VALUE(TRIM(LEFT('Blind Scoring Sheet'!H161,FIND("|",'Blind Scoring Sheet'!H161)-1))))</f>
        <v/>
      </c>
      <c r="G161" s="81">
        <f>IF(ISNUMBER('Blind Scoring Sheet'!J161),'Blind Scoring Sheet'!J161,VALUE(TRIM(LEFT('Blind Scoring Sheet'!J161,FIND("|",'Blind Scoring Sheet'!J161)-1))))</f>
        <v/>
      </c>
      <c r="H161" s="80">
        <f>IF(ISNUMBER(SEARCH("|",'Blind Scoring Sheet'!K161)),TRIM(LEFT('Blind Scoring Sheet'!K161,FIND("|",'Blind Scoring Sheet'!K161)-1)),TRIM('Blind Scoring Sheet'!K161))</f>
        <v/>
      </c>
    </row>
    <row r="162" ht="15" customHeight="1" s="38">
      <c r="A162" s="80">
        <f>'Blind Scoring Sheet'!A162</f>
        <v/>
      </c>
      <c r="B162" s="80">
        <f>MID(INDEX('Anonymization Key'!$B$4:$B$1003,MATCH(A162,'Anonymization Key'!$A$4:$A$1003,0)),3,2)</f>
        <v/>
      </c>
      <c r="C162" s="81">
        <f>IF(ISNUMBER('Blind Scoring Sheet'!B162),'Blind Scoring Sheet'!B162,VALUE(TRIM(LEFT('Blind Scoring Sheet'!B162,FIND("|",'Blind Scoring Sheet'!B162)-1))))</f>
        <v/>
      </c>
      <c r="D162" s="81">
        <f>IF(ISNUMBER('Blind Scoring Sheet'!D162),'Blind Scoring Sheet'!D162,VALUE(TRIM(LEFT('Blind Scoring Sheet'!D162,FIND("|",'Blind Scoring Sheet'!D162)-1))))</f>
        <v/>
      </c>
      <c r="E162" s="81">
        <f>IF(ISNUMBER('Blind Scoring Sheet'!F162),'Blind Scoring Sheet'!F162,VALUE(TRIM(LEFT('Blind Scoring Sheet'!F162,FIND("|",'Blind Scoring Sheet'!F162)-1))))</f>
        <v/>
      </c>
      <c r="F162" s="81">
        <f>IF(ISNUMBER('Blind Scoring Sheet'!H162),'Blind Scoring Sheet'!H162,VALUE(TRIM(LEFT('Blind Scoring Sheet'!H162,FIND("|",'Blind Scoring Sheet'!H162)-1))))</f>
        <v/>
      </c>
      <c r="G162" s="81">
        <f>IF(ISNUMBER('Blind Scoring Sheet'!J162),'Blind Scoring Sheet'!J162,VALUE(TRIM(LEFT('Blind Scoring Sheet'!J162,FIND("|",'Blind Scoring Sheet'!J162)-1))))</f>
        <v/>
      </c>
      <c r="H162" s="80">
        <f>IF(ISNUMBER(SEARCH("|",'Blind Scoring Sheet'!K162)),TRIM(LEFT('Blind Scoring Sheet'!K162,FIND("|",'Blind Scoring Sheet'!K162)-1)),TRIM('Blind Scoring Sheet'!K162))</f>
        <v/>
      </c>
    </row>
    <row r="163" ht="15" customHeight="1" s="38">
      <c r="A163" s="80">
        <f>'Blind Scoring Sheet'!A163</f>
        <v/>
      </c>
      <c r="B163" s="80">
        <f>MID(INDEX('Anonymization Key'!$B$4:$B$1003,MATCH(A163,'Anonymization Key'!$A$4:$A$1003,0)),3,2)</f>
        <v/>
      </c>
      <c r="C163" s="81">
        <f>IF(ISNUMBER('Blind Scoring Sheet'!B163),'Blind Scoring Sheet'!B163,VALUE(TRIM(LEFT('Blind Scoring Sheet'!B163,FIND("|",'Blind Scoring Sheet'!B163)-1))))</f>
        <v/>
      </c>
      <c r="D163" s="81">
        <f>IF(ISNUMBER('Blind Scoring Sheet'!D163),'Blind Scoring Sheet'!D163,VALUE(TRIM(LEFT('Blind Scoring Sheet'!D163,FIND("|",'Blind Scoring Sheet'!D163)-1))))</f>
        <v/>
      </c>
      <c r="E163" s="81">
        <f>IF(ISNUMBER('Blind Scoring Sheet'!F163),'Blind Scoring Sheet'!F163,VALUE(TRIM(LEFT('Blind Scoring Sheet'!F163,FIND("|",'Blind Scoring Sheet'!F163)-1))))</f>
        <v/>
      </c>
      <c r="F163" s="81">
        <f>IF(ISNUMBER('Blind Scoring Sheet'!H163),'Blind Scoring Sheet'!H163,VALUE(TRIM(LEFT('Blind Scoring Sheet'!H163,FIND("|",'Blind Scoring Sheet'!H163)-1))))</f>
        <v/>
      </c>
      <c r="G163" s="81">
        <f>IF(ISNUMBER('Blind Scoring Sheet'!J163),'Blind Scoring Sheet'!J163,VALUE(TRIM(LEFT('Blind Scoring Sheet'!J163,FIND("|",'Blind Scoring Sheet'!J163)-1))))</f>
        <v/>
      </c>
      <c r="H163" s="80">
        <f>IF(ISNUMBER(SEARCH("|",'Blind Scoring Sheet'!K163)),TRIM(LEFT('Blind Scoring Sheet'!K163,FIND("|",'Blind Scoring Sheet'!K163)-1)),TRIM('Blind Scoring Sheet'!K163))</f>
        <v/>
      </c>
    </row>
    <row r="164" ht="15" customHeight="1" s="38">
      <c r="A164" s="80">
        <f>'Blind Scoring Sheet'!A164</f>
        <v/>
      </c>
      <c r="B164" s="80">
        <f>MID(INDEX('Anonymization Key'!$B$4:$B$1003,MATCH(A164,'Anonymization Key'!$A$4:$A$1003,0)),3,2)</f>
        <v/>
      </c>
      <c r="C164" s="81">
        <f>IF(ISNUMBER('Blind Scoring Sheet'!B164),'Blind Scoring Sheet'!B164,VALUE(TRIM(LEFT('Blind Scoring Sheet'!B164,FIND("|",'Blind Scoring Sheet'!B164)-1))))</f>
        <v/>
      </c>
      <c r="D164" s="81">
        <f>IF(ISNUMBER('Blind Scoring Sheet'!D164),'Blind Scoring Sheet'!D164,VALUE(TRIM(LEFT('Blind Scoring Sheet'!D164,FIND("|",'Blind Scoring Sheet'!D164)-1))))</f>
        <v/>
      </c>
      <c r="E164" s="81">
        <f>IF(ISNUMBER('Blind Scoring Sheet'!F164),'Blind Scoring Sheet'!F164,VALUE(TRIM(LEFT('Blind Scoring Sheet'!F164,FIND("|",'Blind Scoring Sheet'!F164)-1))))</f>
        <v/>
      </c>
      <c r="F164" s="81">
        <f>IF(ISNUMBER('Blind Scoring Sheet'!H164),'Blind Scoring Sheet'!H164,VALUE(TRIM(LEFT('Blind Scoring Sheet'!H164,FIND("|",'Blind Scoring Sheet'!H164)-1))))</f>
        <v/>
      </c>
      <c r="G164" s="81">
        <f>IF(ISNUMBER('Blind Scoring Sheet'!J164),'Blind Scoring Sheet'!J164,VALUE(TRIM(LEFT('Blind Scoring Sheet'!J164,FIND("|",'Blind Scoring Sheet'!J164)-1))))</f>
        <v/>
      </c>
      <c r="H164" s="80">
        <f>IF(ISNUMBER(SEARCH("|",'Blind Scoring Sheet'!K164)),TRIM(LEFT('Blind Scoring Sheet'!K164,FIND("|",'Blind Scoring Sheet'!K164)-1)),TRIM('Blind Scoring Sheet'!K164))</f>
        <v/>
      </c>
    </row>
    <row r="165" ht="15" customHeight="1" s="38">
      <c r="A165" s="80">
        <f>'Blind Scoring Sheet'!A165</f>
        <v/>
      </c>
      <c r="B165" s="80">
        <f>MID(INDEX('Anonymization Key'!$B$4:$B$1003,MATCH(A165,'Anonymization Key'!$A$4:$A$1003,0)),3,2)</f>
        <v/>
      </c>
      <c r="C165" s="81">
        <f>IF(ISNUMBER('Blind Scoring Sheet'!B165),'Blind Scoring Sheet'!B165,VALUE(TRIM(LEFT('Blind Scoring Sheet'!B165,FIND("|",'Blind Scoring Sheet'!B165)-1))))</f>
        <v/>
      </c>
      <c r="D165" s="81">
        <f>IF(ISNUMBER('Blind Scoring Sheet'!D165),'Blind Scoring Sheet'!D165,VALUE(TRIM(LEFT('Blind Scoring Sheet'!D165,FIND("|",'Blind Scoring Sheet'!D165)-1))))</f>
        <v/>
      </c>
      <c r="E165" s="81">
        <f>IF(ISNUMBER('Blind Scoring Sheet'!F165),'Blind Scoring Sheet'!F165,VALUE(TRIM(LEFT('Blind Scoring Sheet'!F165,FIND("|",'Blind Scoring Sheet'!F165)-1))))</f>
        <v/>
      </c>
      <c r="F165" s="81">
        <f>IF(ISNUMBER('Blind Scoring Sheet'!H165),'Blind Scoring Sheet'!H165,VALUE(TRIM(LEFT('Blind Scoring Sheet'!H165,FIND("|",'Blind Scoring Sheet'!H165)-1))))</f>
        <v/>
      </c>
      <c r="G165" s="81">
        <f>IF(ISNUMBER('Blind Scoring Sheet'!J165),'Blind Scoring Sheet'!J165,VALUE(TRIM(LEFT('Blind Scoring Sheet'!J165,FIND("|",'Blind Scoring Sheet'!J165)-1))))</f>
        <v/>
      </c>
      <c r="H165" s="80">
        <f>IF(ISNUMBER(SEARCH("|",'Blind Scoring Sheet'!K165)),TRIM(LEFT('Blind Scoring Sheet'!K165,FIND("|",'Blind Scoring Sheet'!K165)-1)),TRIM('Blind Scoring Sheet'!K165))</f>
        <v/>
      </c>
    </row>
    <row r="166" ht="15" customHeight="1" s="38">
      <c r="A166" s="80">
        <f>'Blind Scoring Sheet'!A166</f>
        <v/>
      </c>
      <c r="B166" s="80">
        <f>MID(INDEX('Anonymization Key'!$B$4:$B$1003,MATCH(A166,'Anonymization Key'!$A$4:$A$1003,0)),3,2)</f>
        <v/>
      </c>
      <c r="C166" s="81">
        <f>IF(ISNUMBER('Blind Scoring Sheet'!B166),'Blind Scoring Sheet'!B166,VALUE(TRIM(LEFT('Blind Scoring Sheet'!B166,FIND("|",'Blind Scoring Sheet'!B166)-1))))</f>
        <v/>
      </c>
      <c r="D166" s="81">
        <f>IF(ISNUMBER('Blind Scoring Sheet'!D166),'Blind Scoring Sheet'!D166,VALUE(TRIM(LEFT('Blind Scoring Sheet'!D166,FIND("|",'Blind Scoring Sheet'!D166)-1))))</f>
        <v/>
      </c>
      <c r="E166" s="81">
        <f>IF(ISNUMBER('Blind Scoring Sheet'!F166),'Blind Scoring Sheet'!F166,VALUE(TRIM(LEFT('Blind Scoring Sheet'!F166,FIND("|",'Blind Scoring Sheet'!F166)-1))))</f>
        <v/>
      </c>
      <c r="F166" s="81">
        <f>IF(ISNUMBER('Blind Scoring Sheet'!H166),'Blind Scoring Sheet'!H166,VALUE(TRIM(LEFT('Blind Scoring Sheet'!H166,FIND("|",'Blind Scoring Sheet'!H166)-1))))</f>
        <v/>
      </c>
      <c r="G166" s="81">
        <f>IF(ISNUMBER('Blind Scoring Sheet'!J166),'Blind Scoring Sheet'!J166,VALUE(TRIM(LEFT('Blind Scoring Sheet'!J166,FIND("|",'Blind Scoring Sheet'!J166)-1))))</f>
        <v/>
      </c>
      <c r="H166" s="80">
        <f>IF(ISNUMBER(SEARCH("|",'Blind Scoring Sheet'!K166)),TRIM(LEFT('Blind Scoring Sheet'!K166,FIND("|",'Blind Scoring Sheet'!K166)-1)),TRIM('Blind Scoring Sheet'!K166))</f>
        <v/>
      </c>
    </row>
    <row r="167" ht="15" customHeight="1" s="38">
      <c r="A167" s="80">
        <f>'Blind Scoring Sheet'!A167</f>
        <v/>
      </c>
      <c r="B167" s="80">
        <f>MID(INDEX('Anonymization Key'!$B$4:$B$1003,MATCH(A167,'Anonymization Key'!$A$4:$A$1003,0)),3,2)</f>
        <v/>
      </c>
      <c r="C167" s="81">
        <f>IF(ISNUMBER('Blind Scoring Sheet'!B167),'Blind Scoring Sheet'!B167,VALUE(TRIM(LEFT('Blind Scoring Sheet'!B167,FIND("|",'Blind Scoring Sheet'!B167)-1))))</f>
        <v/>
      </c>
      <c r="D167" s="81">
        <f>IF(ISNUMBER('Blind Scoring Sheet'!D167),'Blind Scoring Sheet'!D167,VALUE(TRIM(LEFT('Blind Scoring Sheet'!D167,FIND("|",'Blind Scoring Sheet'!D167)-1))))</f>
        <v/>
      </c>
      <c r="E167" s="81">
        <f>IF(ISNUMBER('Blind Scoring Sheet'!F167),'Blind Scoring Sheet'!F167,VALUE(TRIM(LEFT('Blind Scoring Sheet'!F167,FIND("|",'Blind Scoring Sheet'!F167)-1))))</f>
        <v/>
      </c>
      <c r="F167" s="81">
        <f>IF(ISNUMBER('Blind Scoring Sheet'!H167),'Blind Scoring Sheet'!H167,VALUE(TRIM(LEFT('Blind Scoring Sheet'!H167,FIND("|",'Blind Scoring Sheet'!H167)-1))))</f>
        <v/>
      </c>
      <c r="G167" s="81">
        <f>IF(ISNUMBER('Blind Scoring Sheet'!J167),'Blind Scoring Sheet'!J167,VALUE(TRIM(LEFT('Blind Scoring Sheet'!J167,FIND("|",'Blind Scoring Sheet'!J167)-1))))</f>
        <v/>
      </c>
      <c r="H167" s="80">
        <f>IF(ISNUMBER(SEARCH("|",'Blind Scoring Sheet'!K167)),TRIM(LEFT('Blind Scoring Sheet'!K167,FIND("|",'Blind Scoring Sheet'!K167)-1)),TRIM('Blind Scoring Sheet'!K167))</f>
        <v/>
      </c>
    </row>
    <row r="168" ht="15" customHeight="1" s="38">
      <c r="A168" s="80">
        <f>'Blind Scoring Sheet'!A168</f>
        <v/>
      </c>
      <c r="B168" s="80">
        <f>MID(INDEX('Anonymization Key'!$B$4:$B$1003,MATCH(A168,'Anonymization Key'!$A$4:$A$1003,0)),3,2)</f>
        <v/>
      </c>
      <c r="C168" s="81">
        <f>IF(ISNUMBER('Blind Scoring Sheet'!B168),'Blind Scoring Sheet'!B168,VALUE(TRIM(LEFT('Blind Scoring Sheet'!B168,FIND("|",'Blind Scoring Sheet'!B168)-1))))</f>
        <v/>
      </c>
      <c r="D168" s="81">
        <f>IF(ISNUMBER('Blind Scoring Sheet'!D168),'Blind Scoring Sheet'!D168,VALUE(TRIM(LEFT('Blind Scoring Sheet'!D168,FIND("|",'Blind Scoring Sheet'!D168)-1))))</f>
        <v/>
      </c>
      <c r="E168" s="81">
        <f>IF(ISNUMBER('Blind Scoring Sheet'!F168),'Blind Scoring Sheet'!F168,VALUE(TRIM(LEFT('Blind Scoring Sheet'!F168,FIND("|",'Blind Scoring Sheet'!F168)-1))))</f>
        <v/>
      </c>
      <c r="F168" s="81">
        <f>IF(ISNUMBER('Blind Scoring Sheet'!H168),'Blind Scoring Sheet'!H168,VALUE(TRIM(LEFT('Blind Scoring Sheet'!H168,FIND("|",'Blind Scoring Sheet'!H168)-1))))</f>
        <v/>
      </c>
      <c r="G168" s="81">
        <f>IF(ISNUMBER('Blind Scoring Sheet'!J168),'Blind Scoring Sheet'!J168,VALUE(TRIM(LEFT('Blind Scoring Sheet'!J168,FIND("|",'Blind Scoring Sheet'!J168)-1))))</f>
        <v/>
      </c>
      <c r="H168" s="80">
        <f>IF(ISNUMBER(SEARCH("|",'Blind Scoring Sheet'!K168)),TRIM(LEFT('Blind Scoring Sheet'!K168,FIND("|",'Blind Scoring Sheet'!K168)-1)),TRIM('Blind Scoring Sheet'!K168))</f>
        <v/>
      </c>
    </row>
    <row r="169" ht="15" customHeight="1" s="38">
      <c r="A169" s="80">
        <f>'Blind Scoring Sheet'!A169</f>
        <v/>
      </c>
      <c r="B169" s="80">
        <f>MID(INDEX('Anonymization Key'!$B$4:$B$1003,MATCH(A169,'Anonymization Key'!$A$4:$A$1003,0)),3,2)</f>
        <v/>
      </c>
      <c r="C169" s="81">
        <f>IF(ISNUMBER('Blind Scoring Sheet'!B169),'Blind Scoring Sheet'!B169,VALUE(TRIM(LEFT('Blind Scoring Sheet'!B169,FIND("|",'Blind Scoring Sheet'!B169)-1))))</f>
        <v/>
      </c>
      <c r="D169" s="81">
        <f>IF(ISNUMBER('Blind Scoring Sheet'!D169),'Blind Scoring Sheet'!D169,VALUE(TRIM(LEFT('Blind Scoring Sheet'!D169,FIND("|",'Blind Scoring Sheet'!D169)-1))))</f>
        <v/>
      </c>
      <c r="E169" s="81">
        <f>IF(ISNUMBER('Blind Scoring Sheet'!F169),'Blind Scoring Sheet'!F169,VALUE(TRIM(LEFT('Blind Scoring Sheet'!F169,FIND("|",'Blind Scoring Sheet'!F169)-1))))</f>
        <v/>
      </c>
      <c r="F169" s="81">
        <f>IF(ISNUMBER('Blind Scoring Sheet'!H169),'Blind Scoring Sheet'!H169,VALUE(TRIM(LEFT('Blind Scoring Sheet'!H169,FIND("|",'Blind Scoring Sheet'!H169)-1))))</f>
        <v/>
      </c>
      <c r="G169" s="81">
        <f>IF(ISNUMBER('Blind Scoring Sheet'!J169),'Blind Scoring Sheet'!J169,VALUE(TRIM(LEFT('Blind Scoring Sheet'!J169,FIND("|",'Blind Scoring Sheet'!J169)-1))))</f>
        <v/>
      </c>
      <c r="H169" s="80">
        <f>IF(ISNUMBER(SEARCH("|",'Blind Scoring Sheet'!K169)),TRIM(LEFT('Blind Scoring Sheet'!K169,FIND("|",'Blind Scoring Sheet'!K169)-1)),TRIM('Blind Scoring Sheet'!K169))</f>
        <v/>
      </c>
    </row>
    <row r="170" ht="15" customHeight="1" s="38">
      <c r="A170" s="80">
        <f>'Blind Scoring Sheet'!A170</f>
        <v/>
      </c>
      <c r="B170" s="80">
        <f>MID(INDEX('Anonymization Key'!$B$4:$B$1003,MATCH(A170,'Anonymization Key'!$A$4:$A$1003,0)),3,2)</f>
        <v/>
      </c>
      <c r="C170" s="81">
        <f>IF(ISNUMBER('Blind Scoring Sheet'!B170),'Blind Scoring Sheet'!B170,VALUE(TRIM(LEFT('Blind Scoring Sheet'!B170,FIND("|",'Blind Scoring Sheet'!B170)-1))))</f>
        <v/>
      </c>
      <c r="D170" s="81">
        <f>IF(ISNUMBER('Blind Scoring Sheet'!D170),'Blind Scoring Sheet'!D170,VALUE(TRIM(LEFT('Blind Scoring Sheet'!D170,FIND("|",'Blind Scoring Sheet'!D170)-1))))</f>
        <v/>
      </c>
      <c r="E170" s="81">
        <f>IF(ISNUMBER('Blind Scoring Sheet'!F170),'Blind Scoring Sheet'!F170,VALUE(TRIM(LEFT('Blind Scoring Sheet'!F170,FIND("|",'Blind Scoring Sheet'!F170)-1))))</f>
        <v/>
      </c>
      <c r="F170" s="81">
        <f>IF(ISNUMBER('Blind Scoring Sheet'!H170),'Blind Scoring Sheet'!H170,VALUE(TRIM(LEFT('Blind Scoring Sheet'!H170,FIND("|",'Blind Scoring Sheet'!H170)-1))))</f>
        <v/>
      </c>
      <c r="G170" s="81">
        <f>IF(ISNUMBER('Blind Scoring Sheet'!J170),'Blind Scoring Sheet'!J170,VALUE(TRIM(LEFT('Blind Scoring Sheet'!J170,FIND("|",'Blind Scoring Sheet'!J170)-1))))</f>
        <v/>
      </c>
      <c r="H170" s="80">
        <f>IF(ISNUMBER(SEARCH("|",'Blind Scoring Sheet'!K170)),TRIM(LEFT('Blind Scoring Sheet'!K170,FIND("|",'Blind Scoring Sheet'!K170)-1)),TRIM('Blind Scoring Sheet'!K170))</f>
        <v/>
      </c>
    </row>
    <row r="171" ht="15" customHeight="1" s="38">
      <c r="A171" s="80">
        <f>'Blind Scoring Sheet'!A171</f>
        <v/>
      </c>
      <c r="B171" s="80">
        <f>MID(INDEX('Anonymization Key'!$B$4:$B$1003,MATCH(A171,'Anonymization Key'!$A$4:$A$1003,0)),3,2)</f>
        <v/>
      </c>
      <c r="C171" s="81">
        <f>IF(ISNUMBER('Blind Scoring Sheet'!B171),'Blind Scoring Sheet'!B171,VALUE(TRIM(LEFT('Blind Scoring Sheet'!B171,FIND("|",'Blind Scoring Sheet'!B171)-1))))</f>
        <v/>
      </c>
      <c r="D171" s="81">
        <f>IF(ISNUMBER('Blind Scoring Sheet'!D171),'Blind Scoring Sheet'!D171,VALUE(TRIM(LEFT('Blind Scoring Sheet'!D171,FIND("|",'Blind Scoring Sheet'!D171)-1))))</f>
        <v/>
      </c>
      <c r="E171" s="81">
        <f>IF(ISNUMBER('Blind Scoring Sheet'!F171),'Blind Scoring Sheet'!F171,VALUE(TRIM(LEFT('Blind Scoring Sheet'!F171,FIND("|",'Blind Scoring Sheet'!F171)-1))))</f>
        <v/>
      </c>
      <c r="F171" s="81">
        <f>IF(ISNUMBER('Blind Scoring Sheet'!H171),'Blind Scoring Sheet'!H171,VALUE(TRIM(LEFT('Blind Scoring Sheet'!H171,FIND("|",'Blind Scoring Sheet'!H171)-1))))</f>
        <v/>
      </c>
      <c r="G171" s="81">
        <f>IF(ISNUMBER('Blind Scoring Sheet'!J171),'Blind Scoring Sheet'!J171,VALUE(TRIM(LEFT('Blind Scoring Sheet'!J171,FIND("|",'Blind Scoring Sheet'!J171)-1))))</f>
        <v/>
      </c>
      <c r="H171" s="80">
        <f>IF(ISNUMBER(SEARCH("|",'Blind Scoring Sheet'!K171)),TRIM(LEFT('Blind Scoring Sheet'!K171,FIND("|",'Blind Scoring Sheet'!K171)-1)),TRIM('Blind Scoring Sheet'!K171))</f>
        <v/>
      </c>
    </row>
    <row r="172" ht="15" customHeight="1" s="38">
      <c r="A172" s="80">
        <f>'Blind Scoring Sheet'!A172</f>
        <v/>
      </c>
      <c r="B172" s="80">
        <f>MID(INDEX('Anonymization Key'!$B$4:$B$1003,MATCH(A172,'Anonymization Key'!$A$4:$A$1003,0)),3,2)</f>
        <v/>
      </c>
      <c r="C172" s="81">
        <f>IF(ISNUMBER('Blind Scoring Sheet'!B172),'Blind Scoring Sheet'!B172,VALUE(TRIM(LEFT('Blind Scoring Sheet'!B172,FIND("|",'Blind Scoring Sheet'!B172)-1))))</f>
        <v/>
      </c>
      <c r="D172" s="81">
        <f>IF(ISNUMBER('Blind Scoring Sheet'!D172),'Blind Scoring Sheet'!D172,VALUE(TRIM(LEFT('Blind Scoring Sheet'!D172,FIND("|",'Blind Scoring Sheet'!D172)-1))))</f>
        <v/>
      </c>
      <c r="E172" s="81">
        <f>IF(ISNUMBER('Blind Scoring Sheet'!F172),'Blind Scoring Sheet'!F172,VALUE(TRIM(LEFT('Blind Scoring Sheet'!F172,FIND("|",'Blind Scoring Sheet'!F172)-1))))</f>
        <v/>
      </c>
      <c r="F172" s="81">
        <f>IF(ISNUMBER('Blind Scoring Sheet'!H172),'Blind Scoring Sheet'!H172,VALUE(TRIM(LEFT('Blind Scoring Sheet'!H172,FIND("|",'Blind Scoring Sheet'!H172)-1))))</f>
        <v/>
      </c>
      <c r="G172" s="81">
        <f>IF(ISNUMBER('Blind Scoring Sheet'!J172),'Blind Scoring Sheet'!J172,VALUE(TRIM(LEFT('Blind Scoring Sheet'!J172,FIND("|",'Blind Scoring Sheet'!J172)-1))))</f>
        <v/>
      </c>
      <c r="H172" s="80">
        <f>IF(ISNUMBER(SEARCH("|",'Blind Scoring Sheet'!K172)),TRIM(LEFT('Blind Scoring Sheet'!K172,FIND("|",'Blind Scoring Sheet'!K172)-1)),TRIM('Blind Scoring Sheet'!K172))</f>
        <v/>
      </c>
    </row>
    <row r="173" ht="15" customHeight="1" s="38">
      <c r="A173" s="80">
        <f>'Blind Scoring Sheet'!A173</f>
        <v/>
      </c>
      <c r="B173" s="80">
        <f>MID(INDEX('Anonymization Key'!$B$4:$B$1003,MATCH(A173,'Anonymization Key'!$A$4:$A$1003,0)),3,2)</f>
        <v/>
      </c>
      <c r="C173" s="81">
        <f>IF(ISNUMBER('Blind Scoring Sheet'!B173),'Blind Scoring Sheet'!B173,VALUE(TRIM(LEFT('Blind Scoring Sheet'!B173,FIND("|",'Blind Scoring Sheet'!B173)-1))))</f>
        <v/>
      </c>
      <c r="D173" s="81">
        <f>IF(ISNUMBER('Blind Scoring Sheet'!D173),'Blind Scoring Sheet'!D173,VALUE(TRIM(LEFT('Blind Scoring Sheet'!D173,FIND("|",'Blind Scoring Sheet'!D173)-1))))</f>
        <v/>
      </c>
      <c r="E173" s="81">
        <f>IF(ISNUMBER('Blind Scoring Sheet'!F173),'Blind Scoring Sheet'!F173,VALUE(TRIM(LEFT('Blind Scoring Sheet'!F173,FIND("|",'Blind Scoring Sheet'!F173)-1))))</f>
        <v/>
      </c>
      <c r="F173" s="81">
        <f>IF(ISNUMBER('Blind Scoring Sheet'!H173),'Blind Scoring Sheet'!H173,VALUE(TRIM(LEFT('Blind Scoring Sheet'!H173,FIND("|",'Blind Scoring Sheet'!H173)-1))))</f>
        <v/>
      </c>
      <c r="G173" s="81">
        <f>IF(ISNUMBER('Blind Scoring Sheet'!J173),'Blind Scoring Sheet'!J173,VALUE(TRIM(LEFT('Blind Scoring Sheet'!J173,FIND("|",'Blind Scoring Sheet'!J173)-1))))</f>
        <v/>
      </c>
      <c r="H173" s="80">
        <f>IF(ISNUMBER(SEARCH("|",'Blind Scoring Sheet'!K173)),TRIM(LEFT('Blind Scoring Sheet'!K173,FIND("|",'Blind Scoring Sheet'!K173)-1)),TRIM('Blind Scoring Sheet'!K173))</f>
        <v/>
      </c>
    </row>
    <row r="174" ht="15" customHeight="1" s="38">
      <c r="A174" s="80">
        <f>'Blind Scoring Sheet'!A174</f>
        <v/>
      </c>
      <c r="B174" s="80">
        <f>MID(INDEX('Anonymization Key'!$B$4:$B$1003,MATCH(A174,'Anonymization Key'!$A$4:$A$1003,0)),3,2)</f>
        <v/>
      </c>
      <c r="C174" s="81">
        <f>IF(ISNUMBER('Blind Scoring Sheet'!B174),'Blind Scoring Sheet'!B174,VALUE(TRIM(LEFT('Blind Scoring Sheet'!B174,FIND("|",'Blind Scoring Sheet'!B174)-1))))</f>
        <v/>
      </c>
      <c r="D174" s="81">
        <f>IF(ISNUMBER('Blind Scoring Sheet'!D174),'Blind Scoring Sheet'!D174,VALUE(TRIM(LEFT('Blind Scoring Sheet'!D174,FIND("|",'Blind Scoring Sheet'!D174)-1))))</f>
        <v/>
      </c>
      <c r="E174" s="81">
        <f>IF(ISNUMBER('Blind Scoring Sheet'!F174),'Blind Scoring Sheet'!F174,VALUE(TRIM(LEFT('Blind Scoring Sheet'!F174,FIND("|",'Blind Scoring Sheet'!F174)-1))))</f>
        <v/>
      </c>
      <c r="F174" s="81">
        <f>IF(ISNUMBER('Blind Scoring Sheet'!H174),'Blind Scoring Sheet'!H174,VALUE(TRIM(LEFT('Blind Scoring Sheet'!H174,FIND("|",'Blind Scoring Sheet'!H174)-1))))</f>
        <v/>
      </c>
      <c r="G174" s="81">
        <f>IF(ISNUMBER('Blind Scoring Sheet'!J174),'Blind Scoring Sheet'!J174,VALUE(TRIM(LEFT('Blind Scoring Sheet'!J174,FIND("|",'Blind Scoring Sheet'!J174)-1))))</f>
        <v/>
      </c>
      <c r="H174" s="80">
        <f>IF(ISNUMBER(SEARCH("|",'Blind Scoring Sheet'!K174)),TRIM(LEFT('Blind Scoring Sheet'!K174,FIND("|",'Blind Scoring Sheet'!K174)-1)),TRIM('Blind Scoring Sheet'!K174))</f>
        <v/>
      </c>
    </row>
    <row r="175" ht="15" customHeight="1" s="38">
      <c r="A175" s="80">
        <f>'Blind Scoring Sheet'!A175</f>
        <v/>
      </c>
      <c r="B175" s="80">
        <f>MID(INDEX('Anonymization Key'!$B$4:$B$1003,MATCH(A175,'Anonymization Key'!$A$4:$A$1003,0)),3,2)</f>
        <v/>
      </c>
      <c r="C175" s="81">
        <f>IF(ISNUMBER('Blind Scoring Sheet'!B175),'Blind Scoring Sheet'!B175,VALUE(TRIM(LEFT('Blind Scoring Sheet'!B175,FIND("|",'Blind Scoring Sheet'!B175)-1))))</f>
        <v/>
      </c>
      <c r="D175" s="81">
        <f>IF(ISNUMBER('Blind Scoring Sheet'!D175),'Blind Scoring Sheet'!D175,VALUE(TRIM(LEFT('Blind Scoring Sheet'!D175,FIND("|",'Blind Scoring Sheet'!D175)-1))))</f>
        <v/>
      </c>
      <c r="E175" s="81">
        <f>IF(ISNUMBER('Blind Scoring Sheet'!F175),'Blind Scoring Sheet'!F175,VALUE(TRIM(LEFT('Blind Scoring Sheet'!F175,FIND("|",'Blind Scoring Sheet'!F175)-1))))</f>
        <v/>
      </c>
      <c r="F175" s="81">
        <f>IF(ISNUMBER('Blind Scoring Sheet'!H175),'Blind Scoring Sheet'!H175,VALUE(TRIM(LEFT('Blind Scoring Sheet'!H175,FIND("|",'Blind Scoring Sheet'!H175)-1))))</f>
        <v/>
      </c>
      <c r="G175" s="81">
        <f>IF(ISNUMBER('Blind Scoring Sheet'!J175),'Blind Scoring Sheet'!J175,VALUE(TRIM(LEFT('Blind Scoring Sheet'!J175,FIND("|",'Blind Scoring Sheet'!J175)-1))))</f>
        <v/>
      </c>
      <c r="H175" s="80">
        <f>IF(ISNUMBER(SEARCH("|",'Blind Scoring Sheet'!K175)),TRIM(LEFT('Blind Scoring Sheet'!K175,FIND("|",'Blind Scoring Sheet'!K175)-1)),TRIM('Blind Scoring Sheet'!K175))</f>
        <v/>
      </c>
    </row>
    <row r="176" ht="15" customHeight="1" s="38">
      <c r="A176" s="80">
        <f>'Blind Scoring Sheet'!A176</f>
        <v/>
      </c>
      <c r="B176" s="80">
        <f>MID(INDEX('Anonymization Key'!$B$4:$B$1003,MATCH(A176,'Anonymization Key'!$A$4:$A$1003,0)),3,2)</f>
        <v/>
      </c>
      <c r="C176" s="81">
        <f>IF(ISNUMBER('Blind Scoring Sheet'!B176),'Blind Scoring Sheet'!B176,VALUE(TRIM(LEFT('Blind Scoring Sheet'!B176,FIND("|",'Blind Scoring Sheet'!B176)-1))))</f>
        <v/>
      </c>
      <c r="D176" s="81">
        <f>IF(ISNUMBER('Blind Scoring Sheet'!D176),'Blind Scoring Sheet'!D176,VALUE(TRIM(LEFT('Blind Scoring Sheet'!D176,FIND("|",'Blind Scoring Sheet'!D176)-1))))</f>
        <v/>
      </c>
      <c r="E176" s="81">
        <f>IF(ISNUMBER('Blind Scoring Sheet'!F176),'Blind Scoring Sheet'!F176,VALUE(TRIM(LEFT('Blind Scoring Sheet'!F176,FIND("|",'Blind Scoring Sheet'!F176)-1))))</f>
        <v/>
      </c>
      <c r="F176" s="81">
        <f>IF(ISNUMBER('Blind Scoring Sheet'!H176),'Blind Scoring Sheet'!H176,VALUE(TRIM(LEFT('Blind Scoring Sheet'!H176,FIND("|",'Blind Scoring Sheet'!H176)-1))))</f>
        <v/>
      </c>
      <c r="G176" s="81">
        <f>IF(ISNUMBER('Blind Scoring Sheet'!J176),'Blind Scoring Sheet'!J176,VALUE(TRIM(LEFT('Blind Scoring Sheet'!J176,FIND("|",'Blind Scoring Sheet'!J176)-1))))</f>
        <v/>
      </c>
      <c r="H176" s="80">
        <f>IF(ISNUMBER(SEARCH("|",'Blind Scoring Sheet'!K176)),TRIM(LEFT('Blind Scoring Sheet'!K176,FIND("|",'Blind Scoring Sheet'!K176)-1)),TRIM('Blind Scoring Sheet'!K176))</f>
        <v/>
      </c>
    </row>
    <row r="177" ht="15" customHeight="1" s="38">
      <c r="A177" s="80">
        <f>'Blind Scoring Sheet'!A177</f>
        <v/>
      </c>
      <c r="B177" s="80">
        <f>MID(INDEX('Anonymization Key'!$B$4:$B$1003,MATCH(A177,'Anonymization Key'!$A$4:$A$1003,0)),3,2)</f>
        <v/>
      </c>
      <c r="C177" s="81">
        <f>IF(ISNUMBER('Blind Scoring Sheet'!B177),'Blind Scoring Sheet'!B177,VALUE(TRIM(LEFT('Blind Scoring Sheet'!B177,FIND("|",'Blind Scoring Sheet'!B177)-1))))</f>
        <v/>
      </c>
      <c r="D177" s="81">
        <f>IF(ISNUMBER('Blind Scoring Sheet'!D177),'Blind Scoring Sheet'!D177,VALUE(TRIM(LEFT('Blind Scoring Sheet'!D177,FIND("|",'Blind Scoring Sheet'!D177)-1))))</f>
        <v/>
      </c>
      <c r="E177" s="81">
        <f>IF(ISNUMBER('Blind Scoring Sheet'!F177),'Blind Scoring Sheet'!F177,VALUE(TRIM(LEFT('Blind Scoring Sheet'!F177,FIND("|",'Blind Scoring Sheet'!F177)-1))))</f>
        <v/>
      </c>
      <c r="F177" s="81">
        <f>IF(ISNUMBER('Blind Scoring Sheet'!H177),'Blind Scoring Sheet'!H177,VALUE(TRIM(LEFT('Blind Scoring Sheet'!H177,FIND("|",'Blind Scoring Sheet'!H177)-1))))</f>
        <v/>
      </c>
      <c r="G177" s="81">
        <f>IF(ISNUMBER('Blind Scoring Sheet'!J177),'Blind Scoring Sheet'!J177,VALUE(TRIM(LEFT('Blind Scoring Sheet'!J177,FIND("|",'Blind Scoring Sheet'!J177)-1))))</f>
        <v/>
      </c>
      <c r="H177" s="80">
        <f>IF(ISNUMBER(SEARCH("|",'Blind Scoring Sheet'!K177)),TRIM(LEFT('Blind Scoring Sheet'!K177,FIND("|",'Blind Scoring Sheet'!K177)-1)),TRIM('Blind Scoring Sheet'!K177))</f>
        <v/>
      </c>
    </row>
    <row r="178" ht="15" customHeight="1" s="38">
      <c r="A178" s="80">
        <f>'Blind Scoring Sheet'!A178</f>
        <v/>
      </c>
      <c r="B178" s="80">
        <f>MID(INDEX('Anonymization Key'!$B$4:$B$1003,MATCH(A178,'Anonymization Key'!$A$4:$A$1003,0)),3,2)</f>
        <v/>
      </c>
      <c r="C178" s="81">
        <f>IF(ISNUMBER('Blind Scoring Sheet'!B178),'Blind Scoring Sheet'!B178,VALUE(TRIM(LEFT('Blind Scoring Sheet'!B178,FIND("|",'Blind Scoring Sheet'!B178)-1))))</f>
        <v/>
      </c>
      <c r="D178" s="81">
        <f>IF(ISNUMBER('Blind Scoring Sheet'!D178),'Blind Scoring Sheet'!D178,VALUE(TRIM(LEFT('Blind Scoring Sheet'!D178,FIND("|",'Blind Scoring Sheet'!D178)-1))))</f>
        <v/>
      </c>
      <c r="E178" s="81">
        <f>IF(ISNUMBER('Blind Scoring Sheet'!F178),'Blind Scoring Sheet'!F178,VALUE(TRIM(LEFT('Blind Scoring Sheet'!F178,FIND("|",'Blind Scoring Sheet'!F178)-1))))</f>
        <v/>
      </c>
      <c r="F178" s="81">
        <f>IF(ISNUMBER('Blind Scoring Sheet'!H178),'Blind Scoring Sheet'!H178,VALUE(TRIM(LEFT('Blind Scoring Sheet'!H178,FIND("|",'Blind Scoring Sheet'!H178)-1))))</f>
        <v/>
      </c>
      <c r="G178" s="81">
        <f>IF(ISNUMBER('Blind Scoring Sheet'!J178),'Blind Scoring Sheet'!J178,VALUE(TRIM(LEFT('Blind Scoring Sheet'!J178,FIND("|",'Blind Scoring Sheet'!J178)-1))))</f>
        <v/>
      </c>
      <c r="H178" s="80">
        <f>IF(ISNUMBER(SEARCH("|",'Blind Scoring Sheet'!K178)),TRIM(LEFT('Blind Scoring Sheet'!K178,FIND("|",'Blind Scoring Sheet'!K178)-1)),TRIM('Blind Scoring Sheet'!K178))</f>
        <v/>
      </c>
    </row>
    <row r="179" ht="15" customHeight="1" s="38">
      <c r="A179" s="80">
        <f>'Blind Scoring Sheet'!A179</f>
        <v/>
      </c>
      <c r="B179" s="80">
        <f>MID(INDEX('Anonymization Key'!$B$4:$B$1003,MATCH(A179,'Anonymization Key'!$A$4:$A$1003,0)),3,2)</f>
        <v/>
      </c>
      <c r="C179" s="81">
        <f>IF(ISNUMBER('Blind Scoring Sheet'!B179),'Blind Scoring Sheet'!B179,VALUE(TRIM(LEFT('Blind Scoring Sheet'!B179,FIND("|",'Blind Scoring Sheet'!B179)-1))))</f>
        <v/>
      </c>
      <c r="D179" s="81">
        <f>IF(ISNUMBER('Blind Scoring Sheet'!D179),'Blind Scoring Sheet'!D179,VALUE(TRIM(LEFT('Blind Scoring Sheet'!D179,FIND("|",'Blind Scoring Sheet'!D179)-1))))</f>
        <v/>
      </c>
      <c r="E179" s="81">
        <f>IF(ISNUMBER('Blind Scoring Sheet'!F179),'Blind Scoring Sheet'!F179,VALUE(TRIM(LEFT('Blind Scoring Sheet'!F179,FIND("|",'Blind Scoring Sheet'!F179)-1))))</f>
        <v/>
      </c>
      <c r="F179" s="81">
        <f>IF(ISNUMBER('Blind Scoring Sheet'!H179),'Blind Scoring Sheet'!H179,VALUE(TRIM(LEFT('Blind Scoring Sheet'!H179,FIND("|",'Blind Scoring Sheet'!H179)-1))))</f>
        <v/>
      </c>
      <c r="G179" s="81">
        <f>IF(ISNUMBER('Blind Scoring Sheet'!J179),'Blind Scoring Sheet'!J179,VALUE(TRIM(LEFT('Blind Scoring Sheet'!J179,FIND("|",'Blind Scoring Sheet'!J179)-1))))</f>
        <v/>
      </c>
      <c r="H179" s="80">
        <f>IF(ISNUMBER(SEARCH("|",'Blind Scoring Sheet'!K179)),TRIM(LEFT('Blind Scoring Sheet'!K179,FIND("|",'Blind Scoring Sheet'!K179)-1)),TRIM('Blind Scoring Sheet'!K179))</f>
        <v/>
      </c>
    </row>
    <row r="180" ht="15" customHeight="1" s="38">
      <c r="A180" s="80">
        <f>'Blind Scoring Sheet'!A180</f>
        <v/>
      </c>
      <c r="B180" s="80">
        <f>MID(INDEX('Anonymization Key'!$B$4:$B$1003,MATCH(A180,'Anonymization Key'!$A$4:$A$1003,0)),3,2)</f>
        <v/>
      </c>
      <c r="C180" s="81">
        <f>IF(ISNUMBER('Blind Scoring Sheet'!B180),'Blind Scoring Sheet'!B180,VALUE(TRIM(LEFT('Blind Scoring Sheet'!B180,FIND("|",'Blind Scoring Sheet'!B180)-1))))</f>
        <v/>
      </c>
      <c r="D180" s="81">
        <f>IF(ISNUMBER('Blind Scoring Sheet'!D180),'Blind Scoring Sheet'!D180,VALUE(TRIM(LEFT('Blind Scoring Sheet'!D180,FIND("|",'Blind Scoring Sheet'!D180)-1))))</f>
        <v/>
      </c>
      <c r="E180" s="81">
        <f>IF(ISNUMBER('Blind Scoring Sheet'!F180),'Blind Scoring Sheet'!F180,VALUE(TRIM(LEFT('Blind Scoring Sheet'!F180,FIND("|",'Blind Scoring Sheet'!F180)-1))))</f>
        <v/>
      </c>
      <c r="F180" s="81">
        <f>IF(ISNUMBER('Blind Scoring Sheet'!H180),'Blind Scoring Sheet'!H180,VALUE(TRIM(LEFT('Blind Scoring Sheet'!H180,FIND("|",'Blind Scoring Sheet'!H180)-1))))</f>
        <v/>
      </c>
      <c r="G180" s="81">
        <f>IF(ISNUMBER('Blind Scoring Sheet'!J180),'Blind Scoring Sheet'!J180,VALUE(TRIM(LEFT('Blind Scoring Sheet'!J180,FIND("|",'Blind Scoring Sheet'!J180)-1))))</f>
        <v/>
      </c>
      <c r="H180" s="80">
        <f>IF(ISNUMBER(SEARCH("|",'Blind Scoring Sheet'!K180)),TRIM(LEFT('Blind Scoring Sheet'!K180,FIND("|",'Blind Scoring Sheet'!K180)-1)),TRIM('Blind Scoring Sheet'!K180))</f>
        <v/>
      </c>
    </row>
    <row r="181" ht="15" customHeight="1" s="38">
      <c r="A181" s="80">
        <f>'Blind Scoring Sheet'!A181</f>
        <v/>
      </c>
      <c r="B181" s="80">
        <f>MID(INDEX('Anonymization Key'!$B$4:$B$1003,MATCH(A181,'Anonymization Key'!$A$4:$A$1003,0)),3,2)</f>
        <v/>
      </c>
      <c r="C181" s="81">
        <f>IF(ISNUMBER('Blind Scoring Sheet'!B181),'Blind Scoring Sheet'!B181,VALUE(TRIM(LEFT('Blind Scoring Sheet'!B181,FIND("|",'Blind Scoring Sheet'!B181)-1))))</f>
        <v/>
      </c>
      <c r="D181" s="81">
        <f>IF(ISNUMBER('Blind Scoring Sheet'!D181),'Blind Scoring Sheet'!D181,VALUE(TRIM(LEFT('Blind Scoring Sheet'!D181,FIND("|",'Blind Scoring Sheet'!D181)-1))))</f>
        <v/>
      </c>
      <c r="E181" s="81">
        <f>IF(ISNUMBER('Blind Scoring Sheet'!F181),'Blind Scoring Sheet'!F181,VALUE(TRIM(LEFT('Blind Scoring Sheet'!F181,FIND("|",'Blind Scoring Sheet'!F181)-1))))</f>
        <v/>
      </c>
      <c r="F181" s="81">
        <f>IF(ISNUMBER('Blind Scoring Sheet'!H181),'Blind Scoring Sheet'!H181,VALUE(TRIM(LEFT('Blind Scoring Sheet'!H181,FIND("|",'Blind Scoring Sheet'!H181)-1))))</f>
        <v/>
      </c>
      <c r="G181" s="81">
        <f>IF(ISNUMBER('Blind Scoring Sheet'!J181),'Blind Scoring Sheet'!J181,VALUE(TRIM(LEFT('Blind Scoring Sheet'!J181,FIND("|",'Blind Scoring Sheet'!J181)-1))))</f>
        <v/>
      </c>
      <c r="H181" s="80">
        <f>IF(ISNUMBER(SEARCH("|",'Blind Scoring Sheet'!K181)),TRIM(LEFT('Blind Scoring Sheet'!K181,FIND("|",'Blind Scoring Sheet'!K181)-1)),TRIM('Blind Scoring Sheet'!K181))</f>
        <v/>
      </c>
    </row>
    <row r="182" ht="15" customHeight="1" s="38">
      <c r="A182" s="80">
        <f>'Blind Scoring Sheet'!A182</f>
        <v/>
      </c>
      <c r="B182" s="80">
        <f>MID(INDEX('Anonymization Key'!$B$4:$B$1003,MATCH(A182,'Anonymization Key'!$A$4:$A$1003,0)),3,2)</f>
        <v/>
      </c>
      <c r="C182" s="81">
        <f>IF(ISNUMBER('Blind Scoring Sheet'!B182),'Blind Scoring Sheet'!B182,VALUE(TRIM(LEFT('Blind Scoring Sheet'!B182,FIND("|",'Blind Scoring Sheet'!B182)-1))))</f>
        <v/>
      </c>
      <c r="D182" s="81">
        <f>IF(ISNUMBER('Blind Scoring Sheet'!D182),'Blind Scoring Sheet'!D182,VALUE(TRIM(LEFT('Blind Scoring Sheet'!D182,FIND("|",'Blind Scoring Sheet'!D182)-1))))</f>
        <v/>
      </c>
      <c r="E182" s="81">
        <f>IF(ISNUMBER('Blind Scoring Sheet'!F182),'Blind Scoring Sheet'!F182,VALUE(TRIM(LEFT('Blind Scoring Sheet'!F182,FIND("|",'Blind Scoring Sheet'!F182)-1))))</f>
        <v/>
      </c>
      <c r="F182" s="81">
        <f>IF(ISNUMBER('Blind Scoring Sheet'!H182),'Blind Scoring Sheet'!H182,VALUE(TRIM(LEFT('Blind Scoring Sheet'!H182,FIND("|",'Blind Scoring Sheet'!H182)-1))))</f>
        <v/>
      </c>
      <c r="G182" s="81">
        <f>IF(ISNUMBER('Blind Scoring Sheet'!J182),'Blind Scoring Sheet'!J182,VALUE(TRIM(LEFT('Blind Scoring Sheet'!J182,FIND("|",'Blind Scoring Sheet'!J182)-1))))</f>
        <v/>
      </c>
      <c r="H182" s="80">
        <f>IF(ISNUMBER(SEARCH("|",'Blind Scoring Sheet'!K182)),TRIM(LEFT('Blind Scoring Sheet'!K182,FIND("|",'Blind Scoring Sheet'!K182)-1)),TRIM('Blind Scoring Sheet'!K182))</f>
        <v/>
      </c>
    </row>
    <row r="183" ht="15" customHeight="1" s="38">
      <c r="A183" s="80">
        <f>'Blind Scoring Sheet'!A183</f>
        <v/>
      </c>
      <c r="B183" s="80">
        <f>MID(INDEX('Anonymization Key'!$B$4:$B$1003,MATCH(A183,'Anonymization Key'!$A$4:$A$1003,0)),3,2)</f>
        <v/>
      </c>
      <c r="C183" s="81">
        <f>IF(ISNUMBER('Blind Scoring Sheet'!B183),'Blind Scoring Sheet'!B183,VALUE(TRIM(LEFT('Blind Scoring Sheet'!B183,FIND("|",'Blind Scoring Sheet'!B183)-1))))</f>
        <v/>
      </c>
      <c r="D183" s="81">
        <f>IF(ISNUMBER('Blind Scoring Sheet'!D183),'Blind Scoring Sheet'!D183,VALUE(TRIM(LEFT('Blind Scoring Sheet'!D183,FIND("|",'Blind Scoring Sheet'!D183)-1))))</f>
        <v/>
      </c>
      <c r="E183" s="81">
        <f>IF(ISNUMBER('Blind Scoring Sheet'!F183),'Blind Scoring Sheet'!F183,VALUE(TRIM(LEFT('Blind Scoring Sheet'!F183,FIND("|",'Blind Scoring Sheet'!F183)-1))))</f>
        <v/>
      </c>
      <c r="F183" s="81">
        <f>IF(ISNUMBER('Blind Scoring Sheet'!H183),'Blind Scoring Sheet'!H183,VALUE(TRIM(LEFT('Blind Scoring Sheet'!H183,FIND("|",'Blind Scoring Sheet'!H183)-1))))</f>
        <v/>
      </c>
      <c r="G183" s="81">
        <f>IF(ISNUMBER('Blind Scoring Sheet'!J183),'Blind Scoring Sheet'!J183,VALUE(TRIM(LEFT('Blind Scoring Sheet'!J183,FIND("|",'Blind Scoring Sheet'!J183)-1))))</f>
        <v/>
      </c>
      <c r="H183" s="80">
        <f>IF(ISNUMBER(SEARCH("|",'Blind Scoring Sheet'!K183)),TRIM(LEFT('Blind Scoring Sheet'!K183,FIND("|",'Blind Scoring Sheet'!K183)-1)),TRIM('Blind Scoring Sheet'!K183))</f>
        <v/>
      </c>
    </row>
    <row r="184" ht="15" customHeight="1" s="38">
      <c r="A184" s="80">
        <f>'Blind Scoring Sheet'!A184</f>
        <v/>
      </c>
      <c r="B184" s="80">
        <f>MID(INDEX('Anonymization Key'!$B$4:$B$1003,MATCH(A184,'Anonymization Key'!$A$4:$A$1003,0)),3,2)</f>
        <v/>
      </c>
      <c r="C184" s="81">
        <f>IF(ISNUMBER('Blind Scoring Sheet'!B184),'Blind Scoring Sheet'!B184,VALUE(TRIM(LEFT('Blind Scoring Sheet'!B184,FIND("|",'Blind Scoring Sheet'!B184)-1))))</f>
        <v/>
      </c>
      <c r="D184" s="81">
        <f>IF(ISNUMBER('Blind Scoring Sheet'!D184),'Blind Scoring Sheet'!D184,VALUE(TRIM(LEFT('Blind Scoring Sheet'!D184,FIND("|",'Blind Scoring Sheet'!D184)-1))))</f>
        <v/>
      </c>
      <c r="E184" s="81">
        <f>IF(ISNUMBER('Blind Scoring Sheet'!F184),'Blind Scoring Sheet'!F184,VALUE(TRIM(LEFT('Blind Scoring Sheet'!F184,FIND("|",'Blind Scoring Sheet'!F184)-1))))</f>
        <v/>
      </c>
      <c r="F184" s="81">
        <f>IF(ISNUMBER('Blind Scoring Sheet'!H184),'Blind Scoring Sheet'!H184,VALUE(TRIM(LEFT('Blind Scoring Sheet'!H184,FIND("|",'Blind Scoring Sheet'!H184)-1))))</f>
        <v/>
      </c>
      <c r="G184" s="81">
        <f>IF(ISNUMBER('Blind Scoring Sheet'!J184),'Blind Scoring Sheet'!J184,VALUE(TRIM(LEFT('Blind Scoring Sheet'!J184,FIND("|",'Blind Scoring Sheet'!J184)-1))))</f>
        <v/>
      </c>
      <c r="H184" s="80">
        <f>IF(ISNUMBER(SEARCH("|",'Blind Scoring Sheet'!K184)),TRIM(LEFT('Blind Scoring Sheet'!K184,FIND("|",'Blind Scoring Sheet'!K184)-1)),TRIM('Blind Scoring Sheet'!K184))</f>
        <v/>
      </c>
    </row>
    <row r="185" ht="15" customHeight="1" s="38">
      <c r="A185" s="80">
        <f>'Blind Scoring Sheet'!A185</f>
        <v/>
      </c>
      <c r="B185" s="80">
        <f>MID(INDEX('Anonymization Key'!$B$4:$B$1003,MATCH(A185,'Anonymization Key'!$A$4:$A$1003,0)),3,2)</f>
        <v/>
      </c>
      <c r="C185" s="81">
        <f>IF(ISNUMBER('Blind Scoring Sheet'!B185),'Blind Scoring Sheet'!B185,VALUE(TRIM(LEFT('Blind Scoring Sheet'!B185,FIND("|",'Blind Scoring Sheet'!B185)-1))))</f>
        <v/>
      </c>
      <c r="D185" s="81">
        <f>IF(ISNUMBER('Blind Scoring Sheet'!D185),'Blind Scoring Sheet'!D185,VALUE(TRIM(LEFT('Blind Scoring Sheet'!D185,FIND("|",'Blind Scoring Sheet'!D185)-1))))</f>
        <v/>
      </c>
      <c r="E185" s="81">
        <f>IF(ISNUMBER('Blind Scoring Sheet'!F185),'Blind Scoring Sheet'!F185,VALUE(TRIM(LEFT('Blind Scoring Sheet'!F185,FIND("|",'Blind Scoring Sheet'!F185)-1))))</f>
        <v/>
      </c>
      <c r="F185" s="81">
        <f>IF(ISNUMBER('Blind Scoring Sheet'!H185),'Blind Scoring Sheet'!H185,VALUE(TRIM(LEFT('Blind Scoring Sheet'!H185,FIND("|",'Blind Scoring Sheet'!H185)-1))))</f>
        <v/>
      </c>
      <c r="G185" s="81">
        <f>IF(ISNUMBER('Blind Scoring Sheet'!J185),'Blind Scoring Sheet'!J185,VALUE(TRIM(LEFT('Blind Scoring Sheet'!J185,FIND("|",'Blind Scoring Sheet'!J185)-1))))</f>
        <v/>
      </c>
      <c r="H185" s="80">
        <f>IF(ISNUMBER(SEARCH("|",'Blind Scoring Sheet'!K185)),TRIM(LEFT('Blind Scoring Sheet'!K185,FIND("|",'Blind Scoring Sheet'!K185)-1)),TRIM('Blind Scoring Sheet'!K185))</f>
        <v/>
      </c>
    </row>
    <row r="186" ht="15" customHeight="1" s="38">
      <c r="A186" s="80">
        <f>'Blind Scoring Sheet'!A186</f>
        <v/>
      </c>
      <c r="B186" s="80">
        <f>MID(INDEX('Anonymization Key'!$B$4:$B$1003,MATCH(A186,'Anonymization Key'!$A$4:$A$1003,0)),3,2)</f>
        <v/>
      </c>
      <c r="C186" s="81">
        <f>IF(ISNUMBER('Blind Scoring Sheet'!B186),'Blind Scoring Sheet'!B186,VALUE(TRIM(LEFT('Blind Scoring Sheet'!B186,FIND("|",'Blind Scoring Sheet'!B186)-1))))</f>
        <v/>
      </c>
      <c r="D186" s="81">
        <f>IF(ISNUMBER('Blind Scoring Sheet'!D186),'Blind Scoring Sheet'!D186,VALUE(TRIM(LEFT('Blind Scoring Sheet'!D186,FIND("|",'Blind Scoring Sheet'!D186)-1))))</f>
        <v/>
      </c>
      <c r="E186" s="81">
        <f>IF(ISNUMBER('Blind Scoring Sheet'!F186),'Blind Scoring Sheet'!F186,VALUE(TRIM(LEFT('Blind Scoring Sheet'!F186,FIND("|",'Blind Scoring Sheet'!F186)-1))))</f>
        <v/>
      </c>
      <c r="F186" s="81">
        <f>IF(ISNUMBER('Blind Scoring Sheet'!H186),'Blind Scoring Sheet'!H186,VALUE(TRIM(LEFT('Blind Scoring Sheet'!H186,FIND("|",'Blind Scoring Sheet'!H186)-1))))</f>
        <v/>
      </c>
      <c r="G186" s="81">
        <f>IF(ISNUMBER('Blind Scoring Sheet'!J186),'Blind Scoring Sheet'!J186,VALUE(TRIM(LEFT('Blind Scoring Sheet'!J186,FIND("|",'Blind Scoring Sheet'!J186)-1))))</f>
        <v/>
      </c>
      <c r="H186" s="80">
        <f>IF(ISNUMBER(SEARCH("|",'Blind Scoring Sheet'!K186)),TRIM(LEFT('Blind Scoring Sheet'!K186,FIND("|",'Blind Scoring Sheet'!K186)-1)),TRIM('Blind Scoring Sheet'!K186))</f>
        <v/>
      </c>
    </row>
    <row r="187" ht="15" customHeight="1" s="38">
      <c r="A187" s="80">
        <f>'Blind Scoring Sheet'!A187</f>
        <v/>
      </c>
      <c r="B187" s="80">
        <f>MID(INDEX('Anonymization Key'!$B$4:$B$1003,MATCH(A187,'Anonymization Key'!$A$4:$A$1003,0)),3,2)</f>
        <v/>
      </c>
      <c r="C187" s="81">
        <f>IF(ISNUMBER('Blind Scoring Sheet'!B187),'Blind Scoring Sheet'!B187,VALUE(TRIM(LEFT('Blind Scoring Sheet'!B187,FIND("|",'Blind Scoring Sheet'!B187)-1))))</f>
        <v/>
      </c>
      <c r="D187" s="81">
        <f>IF(ISNUMBER('Blind Scoring Sheet'!D187),'Blind Scoring Sheet'!D187,VALUE(TRIM(LEFT('Blind Scoring Sheet'!D187,FIND("|",'Blind Scoring Sheet'!D187)-1))))</f>
        <v/>
      </c>
      <c r="E187" s="81">
        <f>IF(ISNUMBER('Blind Scoring Sheet'!F187),'Blind Scoring Sheet'!F187,VALUE(TRIM(LEFT('Blind Scoring Sheet'!F187,FIND("|",'Blind Scoring Sheet'!F187)-1))))</f>
        <v/>
      </c>
      <c r="F187" s="81">
        <f>IF(ISNUMBER('Blind Scoring Sheet'!H187),'Blind Scoring Sheet'!H187,VALUE(TRIM(LEFT('Blind Scoring Sheet'!H187,FIND("|",'Blind Scoring Sheet'!H187)-1))))</f>
        <v/>
      </c>
      <c r="G187" s="81">
        <f>IF(ISNUMBER('Blind Scoring Sheet'!J187),'Blind Scoring Sheet'!J187,VALUE(TRIM(LEFT('Blind Scoring Sheet'!J187,FIND("|",'Blind Scoring Sheet'!J187)-1))))</f>
        <v/>
      </c>
      <c r="H187" s="80">
        <f>IF(ISNUMBER(SEARCH("|",'Blind Scoring Sheet'!K187)),TRIM(LEFT('Blind Scoring Sheet'!K187,FIND("|",'Blind Scoring Sheet'!K187)-1)),TRIM('Blind Scoring Sheet'!K187))</f>
        <v/>
      </c>
    </row>
    <row r="188" ht="15" customHeight="1" s="38">
      <c r="A188" s="80">
        <f>'Blind Scoring Sheet'!A188</f>
        <v/>
      </c>
      <c r="B188" s="80">
        <f>MID(INDEX('Anonymization Key'!$B$4:$B$1003,MATCH(A188,'Anonymization Key'!$A$4:$A$1003,0)),3,2)</f>
        <v/>
      </c>
      <c r="C188" s="81">
        <f>IF(ISNUMBER('Blind Scoring Sheet'!B188),'Blind Scoring Sheet'!B188,VALUE(TRIM(LEFT('Blind Scoring Sheet'!B188,FIND("|",'Blind Scoring Sheet'!B188)-1))))</f>
        <v/>
      </c>
      <c r="D188" s="81">
        <f>IF(ISNUMBER('Blind Scoring Sheet'!D188),'Blind Scoring Sheet'!D188,VALUE(TRIM(LEFT('Blind Scoring Sheet'!D188,FIND("|",'Blind Scoring Sheet'!D188)-1))))</f>
        <v/>
      </c>
      <c r="E188" s="81">
        <f>IF(ISNUMBER('Blind Scoring Sheet'!F188),'Blind Scoring Sheet'!F188,VALUE(TRIM(LEFT('Blind Scoring Sheet'!F188,FIND("|",'Blind Scoring Sheet'!F188)-1))))</f>
        <v/>
      </c>
      <c r="F188" s="81">
        <f>IF(ISNUMBER('Blind Scoring Sheet'!H188),'Blind Scoring Sheet'!H188,VALUE(TRIM(LEFT('Blind Scoring Sheet'!H188,FIND("|",'Blind Scoring Sheet'!H188)-1))))</f>
        <v/>
      </c>
      <c r="G188" s="81">
        <f>IF(ISNUMBER('Blind Scoring Sheet'!J188),'Blind Scoring Sheet'!J188,VALUE(TRIM(LEFT('Blind Scoring Sheet'!J188,FIND("|",'Blind Scoring Sheet'!J188)-1))))</f>
        <v/>
      </c>
      <c r="H188" s="80">
        <f>IF(ISNUMBER(SEARCH("|",'Blind Scoring Sheet'!K188)),TRIM(LEFT('Blind Scoring Sheet'!K188,FIND("|",'Blind Scoring Sheet'!K188)-1)),TRIM('Blind Scoring Sheet'!K188))</f>
        <v/>
      </c>
    </row>
    <row r="189" ht="15" customHeight="1" s="38">
      <c r="A189" s="80">
        <f>'Blind Scoring Sheet'!A189</f>
        <v/>
      </c>
      <c r="B189" s="80">
        <f>MID(INDEX('Anonymization Key'!$B$4:$B$1003,MATCH(A189,'Anonymization Key'!$A$4:$A$1003,0)),3,2)</f>
        <v/>
      </c>
      <c r="C189" s="81">
        <f>IF(ISNUMBER('Blind Scoring Sheet'!B189),'Blind Scoring Sheet'!B189,VALUE(TRIM(LEFT('Blind Scoring Sheet'!B189,FIND("|",'Blind Scoring Sheet'!B189)-1))))</f>
        <v/>
      </c>
      <c r="D189" s="81">
        <f>IF(ISNUMBER('Blind Scoring Sheet'!D189),'Blind Scoring Sheet'!D189,VALUE(TRIM(LEFT('Blind Scoring Sheet'!D189,FIND("|",'Blind Scoring Sheet'!D189)-1))))</f>
        <v/>
      </c>
      <c r="E189" s="81">
        <f>IF(ISNUMBER('Blind Scoring Sheet'!F189),'Blind Scoring Sheet'!F189,VALUE(TRIM(LEFT('Blind Scoring Sheet'!F189,FIND("|",'Blind Scoring Sheet'!F189)-1))))</f>
        <v/>
      </c>
      <c r="F189" s="81">
        <f>IF(ISNUMBER('Blind Scoring Sheet'!H189),'Blind Scoring Sheet'!H189,VALUE(TRIM(LEFT('Blind Scoring Sheet'!H189,FIND("|",'Blind Scoring Sheet'!H189)-1))))</f>
        <v/>
      </c>
      <c r="G189" s="81">
        <f>IF(ISNUMBER('Blind Scoring Sheet'!J189),'Blind Scoring Sheet'!J189,VALUE(TRIM(LEFT('Blind Scoring Sheet'!J189,FIND("|",'Blind Scoring Sheet'!J189)-1))))</f>
        <v/>
      </c>
      <c r="H189" s="80">
        <f>IF(ISNUMBER(SEARCH("|",'Blind Scoring Sheet'!K189)),TRIM(LEFT('Blind Scoring Sheet'!K189,FIND("|",'Blind Scoring Sheet'!K189)-1)),TRIM('Blind Scoring Sheet'!K189))</f>
        <v/>
      </c>
    </row>
    <row r="190" ht="15" customHeight="1" s="38">
      <c r="A190" s="80">
        <f>'Blind Scoring Sheet'!A190</f>
        <v/>
      </c>
      <c r="B190" s="80">
        <f>MID(INDEX('Anonymization Key'!$B$4:$B$1003,MATCH(A190,'Anonymization Key'!$A$4:$A$1003,0)),3,2)</f>
        <v/>
      </c>
      <c r="C190" s="81">
        <f>IF(ISNUMBER('Blind Scoring Sheet'!B190),'Blind Scoring Sheet'!B190,VALUE(TRIM(LEFT('Blind Scoring Sheet'!B190,FIND("|",'Blind Scoring Sheet'!B190)-1))))</f>
        <v/>
      </c>
      <c r="D190" s="81">
        <f>IF(ISNUMBER('Blind Scoring Sheet'!D190),'Blind Scoring Sheet'!D190,VALUE(TRIM(LEFT('Blind Scoring Sheet'!D190,FIND("|",'Blind Scoring Sheet'!D190)-1))))</f>
        <v/>
      </c>
      <c r="E190" s="81">
        <f>IF(ISNUMBER('Blind Scoring Sheet'!F190),'Blind Scoring Sheet'!F190,VALUE(TRIM(LEFT('Blind Scoring Sheet'!F190,FIND("|",'Blind Scoring Sheet'!F190)-1))))</f>
        <v/>
      </c>
      <c r="F190" s="81">
        <f>IF(ISNUMBER('Blind Scoring Sheet'!H190),'Blind Scoring Sheet'!H190,VALUE(TRIM(LEFT('Blind Scoring Sheet'!H190,FIND("|",'Blind Scoring Sheet'!H190)-1))))</f>
        <v/>
      </c>
      <c r="G190" s="81">
        <f>IF(ISNUMBER('Blind Scoring Sheet'!J190),'Blind Scoring Sheet'!J190,VALUE(TRIM(LEFT('Blind Scoring Sheet'!J190,FIND("|",'Blind Scoring Sheet'!J190)-1))))</f>
        <v/>
      </c>
      <c r="H190" s="80">
        <f>IF(ISNUMBER(SEARCH("|",'Blind Scoring Sheet'!K190)),TRIM(LEFT('Blind Scoring Sheet'!K190,FIND("|",'Blind Scoring Sheet'!K190)-1)),TRIM('Blind Scoring Sheet'!K190))</f>
        <v/>
      </c>
    </row>
    <row r="191" ht="15" customHeight="1" s="38">
      <c r="A191" s="80">
        <f>'Blind Scoring Sheet'!A191</f>
        <v/>
      </c>
      <c r="B191" s="80">
        <f>MID(INDEX('Anonymization Key'!$B$4:$B$1003,MATCH(A191,'Anonymization Key'!$A$4:$A$1003,0)),3,2)</f>
        <v/>
      </c>
      <c r="C191" s="81">
        <f>IF(ISNUMBER('Blind Scoring Sheet'!B191),'Blind Scoring Sheet'!B191,VALUE(TRIM(LEFT('Blind Scoring Sheet'!B191,FIND("|",'Blind Scoring Sheet'!B191)-1))))</f>
        <v/>
      </c>
      <c r="D191" s="81">
        <f>IF(ISNUMBER('Blind Scoring Sheet'!D191),'Blind Scoring Sheet'!D191,VALUE(TRIM(LEFT('Blind Scoring Sheet'!D191,FIND("|",'Blind Scoring Sheet'!D191)-1))))</f>
        <v/>
      </c>
      <c r="E191" s="81">
        <f>IF(ISNUMBER('Blind Scoring Sheet'!F191),'Blind Scoring Sheet'!F191,VALUE(TRIM(LEFT('Blind Scoring Sheet'!F191,FIND("|",'Blind Scoring Sheet'!F191)-1))))</f>
        <v/>
      </c>
      <c r="F191" s="81">
        <f>IF(ISNUMBER('Blind Scoring Sheet'!H191),'Blind Scoring Sheet'!H191,VALUE(TRIM(LEFT('Blind Scoring Sheet'!H191,FIND("|",'Blind Scoring Sheet'!H191)-1))))</f>
        <v/>
      </c>
      <c r="G191" s="81">
        <f>IF(ISNUMBER('Blind Scoring Sheet'!J191),'Blind Scoring Sheet'!J191,VALUE(TRIM(LEFT('Blind Scoring Sheet'!J191,FIND("|",'Blind Scoring Sheet'!J191)-1))))</f>
        <v/>
      </c>
      <c r="H191" s="80">
        <f>IF(ISNUMBER(SEARCH("|",'Blind Scoring Sheet'!K191)),TRIM(LEFT('Blind Scoring Sheet'!K191,FIND("|",'Blind Scoring Sheet'!K191)-1)),TRIM('Blind Scoring Sheet'!K191))</f>
        <v/>
      </c>
    </row>
    <row r="192" ht="15" customHeight="1" s="38">
      <c r="A192" s="80">
        <f>'Blind Scoring Sheet'!A192</f>
        <v/>
      </c>
      <c r="B192" s="80">
        <f>MID(INDEX('Anonymization Key'!$B$4:$B$1003,MATCH(A192,'Anonymization Key'!$A$4:$A$1003,0)),3,2)</f>
        <v/>
      </c>
      <c r="C192" s="81">
        <f>IF(ISNUMBER('Blind Scoring Sheet'!B192),'Blind Scoring Sheet'!B192,VALUE(TRIM(LEFT('Blind Scoring Sheet'!B192,FIND("|",'Blind Scoring Sheet'!B192)-1))))</f>
        <v/>
      </c>
      <c r="D192" s="81">
        <f>IF(ISNUMBER('Blind Scoring Sheet'!D192),'Blind Scoring Sheet'!D192,VALUE(TRIM(LEFT('Blind Scoring Sheet'!D192,FIND("|",'Blind Scoring Sheet'!D192)-1))))</f>
        <v/>
      </c>
      <c r="E192" s="81">
        <f>IF(ISNUMBER('Blind Scoring Sheet'!F192),'Blind Scoring Sheet'!F192,VALUE(TRIM(LEFT('Blind Scoring Sheet'!F192,FIND("|",'Blind Scoring Sheet'!F192)-1))))</f>
        <v/>
      </c>
      <c r="F192" s="81">
        <f>IF(ISNUMBER('Blind Scoring Sheet'!H192),'Blind Scoring Sheet'!H192,VALUE(TRIM(LEFT('Blind Scoring Sheet'!H192,FIND("|",'Blind Scoring Sheet'!H192)-1))))</f>
        <v/>
      </c>
      <c r="G192" s="81">
        <f>IF(ISNUMBER('Blind Scoring Sheet'!J192),'Blind Scoring Sheet'!J192,VALUE(TRIM(LEFT('Blind Scoring Sheet'!J192,FIND("|",'Blind Scoring Sheet'!J192)-1))))</f>
        <v/>
      </c>
      <c r="H192" s="80">
        <f>IF(ISNUMBER(SEARCH("|",'Blind Scoring Sheet'!K192)),TRIM(LEFT('Blind Scoring Sheet'!K192,FIND("|",'Blind Scoring Sheet'!K192)-1)),TRIM('Blind Scoring Sheet'!K192))</f>
        <v/>
      </c>
    </row>
    <row r="193" ht="15" customHeight="1" s="38">
      <c r="A193" s="80">
        <f>'Blind Scoring Sheet'!A193</f>
        <v/>
      </c>
      <c r="B193" s="80">
        <f>MID(INDEX('Anonymization Key'!$B$4:$B$1003,MATCH(A193,'Anonymization Key'!$A$4:$A$1003,0)),3,2)</f>
        <v/>
      </c>
      <c r="C193" s="81">
        <f>IF(ISNUMBER('Blind Scoring Sheet'!B193),'Blind Scoring Sheet'!B193,VALUE(TRIM(LEFT('Blind Scoring Sheet'!B193,FIND("|",'Blind Scoring Sheet'!B193)-1))))</f>
        <v/>
      </c>
      <c r="D193" s="81">
        <f>IF(ISNUMBER('Blind Scoring Sheet'!D193),'Blind Scoring Sheet'!D193,VALUE(TRIM(LEFT('Blind Scoring Sheet'!D193,FIND("|",'Blind Scoring Sheet'!D193)-1))))</f>
        <v/>
      </c>
      <c r="E193" s="81">
        <f>IF(ISNUMBER('Blind Scoring Sheet'!F193),'Blind Scoring Sheet'!F193,VALUE(TRIM(LEFT('Blind Scoring Sheet'!F193,FIND("|",'Blind Scoring Sheet'!F193)-1))))</f>
        <v/>
      </c>
      <c r="F193" s="81">
        <f>IF(ISNUMBER('Blind Scoring Sheet'!H193),'Blind Scoring Sheet'!H193,VALUE(TRIM(LEFT('Blind Scoring Sheet'!H193,FIND("|",'Blind Scoring Sheet'!H193)-1))))</f>
        <v/>
      </c>
      <c r="G193" s="81">
        <f>IF(ISNUMBER('Blind Scoring Sheet'!J193),'Blind Scoring Sheet'!J193,VALUE(TRIM(LEFT('Blind Scoring Sheet'!J193,FIND("|",'Blind Scoring Sheet'!J193)-1))))</f>
        <v/>
      </c>
      <c r="H193" s="80">
        <f>IF(ISNUMBER(SEARCH("|",'Blind Scoring Sheet'!K193)),TRIM(LEFT('Blind Scoring Sheet'!K193,FIND("|",'Blind Scoring Sheet'!K193)-1)),TRIM('Blind Scoring Sheet'!K193))</f>
        <v/>
      </c>
    </row>
    <row r="194" ht="15" customHeight="1" s="38">
      <c r="A194" s="80">
        <f>'Blind Scoring Sheet'!A194</f>
        <v/>
      </c>
      <c r="B194" s="80">
        <f>MID(INDEX('Anonymization Key'!$B$4:$B$1003,MATCH(A194,'Anonymization Key'!$A$4:$A$1003,0)),3,2)</f>
        <v/>
      </c>
      <c r="C194" s="81">
        <f>IF(ISNUMBER('Blind Scoring Sheet'!B194),'Blind Scoring Sheet'!B194,VALUE(TRIM(LEFT('Blind Scoring Sheet'!B194,FIND("|",'Blind Scoring Sheet'!B194)-1))))</f>
        <v/>
      </c>
      <c r="D194" s="81">
        <f>IF(ISNUMBER('Blind Scoring Sheet'!D194),'Blind Scoring Sheet'!D194,VALUE(TRIM(LEFT('Blind Scoring Sheet'!D194,FIND("|",'Blind Scoring Sheet'!D194)-1))))</f>
        <v/>
      </c>
      <c r="E194" s="81">
        <f>IF(ISNUMBER('Blind Scoring Sheet'!F194),'Blind Scoring Sheet'!F194,VALUE(TRIM(LEFT('Blind Scoring Sheet'!F194,FIND("|",'Blind Scoring Sheet'!F194)-1))))</f>
        <v/>
      </c>
      <c r="F194" s="81">
        <f>IF(ISNUMBER('Blind Scoring Sheet'!H194),'Blind Scoring Sheet'!H194,VALUE(TRIM(LEFT('Blind Scoring Sheet'!H194,FIND("|",'Blind Scoring Sheet'!H194)-1))))</f>
        <v/>
      </c>
      <c r="G194" s="81">
        <f>IF(ISNUMBER('Blind Scoring Sheet'!J194),'Blind Scoring Sheet'!J194,VALUE(TRIM(LEFT('Blind Scoring Sheet'!J194,FIND("|",'Blind Scoring Sheet'!J194)-1))))</f>
        <v/>
      </c>
      <c r="H194" s="80">
        <f>IF(ISNUMBER(SEARCH("|",'Blind Scoring Sheet'!K194)),TRIM(LEFT('Blind Scoring Sheet'!K194,FIND("|",'Blind Scoring Sheet'!K194)-1)),TRIM('Blind Scoring Sheet'!K194))</f>
        <v/>
      </c>
    </row>
    <row r="195" ht="15" customHeight="1" s="38">
      <c r="A195" s="80">
        <f>'Blind Scoring Sheet'!A195</f>
        <v/>
      </c>
      <c r="B195" s="80">
        <f>MID(INDEX('Anonymization Key'!$B$4:$B$1003,MATCH(A195,'Anonymization Key'!$A$4:$A$1003,0)),3,2)</f>
        <v/>
      </c>
      <c r="C195" s="81">
        <f>IF(ISNUMBER('Blind Scoring Sheet'!B195),'Blind Scoring Sheet'!B195,VALUE(TRIM(LEFT('Blind Scoring Sheet'!B195,FIND("|",'Blind Scoring Sheet'!B195)-1))))</f>
        <v/>
      </c>
      <c r="D195" s="81">
        <f>IF(ISNUMBER('Blind Scoring Sheet'!D195),'Blind Scoring Sheet'!D195,VALUE(TRIM(LEFT('Blind Scoring Sheet'!D195,FIND("|",'Blind Scoring Sheet'!D195)-1))))</f>
        <v/>
      </c>
      <c r="E195" s="81">
        <f>IF(ISNUMBER('Blind Scoring Sheet'!F195),'Blind Scoring Sheet'!F195,VALUE(TRIM(LEFT('Blind Scoring Sheet'!F195,FIND("|",'Blind Scoring Sheet'!F195)-1))))</f>
        <v/>
      </c>
      <c r="F195" s="81">
        <f>IF(ISNUMBER('Blind Scoring Sheet'!H195),'Blind Scoring Sheet'!H195,VALUE(TRIM(LEFT('Blind Scoring Sheet'!H195,FIND("|",'Blind Scoring Sheet'!H195)-1))))</f>
        <v/>
      </c>
      <c r="G195" s="81">
        <f>IF(ISNUMBER('Blind Scoring Sheet'!J195),'Blind Scoring Sheet'!J195,VALUE(TRIM(LEFT('Blind Scoring Sheet'!J195,FIND("|",'Blind Scoring Sheet'!J195)-1))))</f>
        <v/>
      </c>
      <c r="H195" s="80">
        <f>IF(ISNUMBER(SEARCH("|",'Blind Scoring Sheet'!K195)),TRIM(LEFT('Blind Scoring Sheet'!K195,FIND("|",'Blind Scoring Sheet'!K195)-1)),TRIM('Blind Scoring Sheet'!K195))</f>
        <v/>
      </c>
    </row>
    <row r="196" ht="15" customHeight="1" s="38">
      <c r="A196" s="80">
        <f>'Blind Scoring Sheet'!A196</f>
        <v/>
      </c>
      <c r="B196" s="80">
        <f>MID(INDEX('Anonymization Key'!$B$4:$B$1003,MATCH(A196,'Anonymization Key'!$A$4:$A$1003,0)),3,2)</f>
        <v/>
      </c>
      <c r="C196" s="81">
        <f>IF(ISNUMBER('Blind Scoring Sheet'!B196),'Blind Scoring Sheet'!B196,VALUE(TRIM(LEFT('Blind Scoring Sheet'!B196,FIND("|",'Blind Scoring Sheet'!B196)-1))))</f>
        <v/>
      </c>
      <c r="D196" s="81">
        <f>IF(ISNUMBER('Blind Scoring Sheet'!D196),'Blind Scoring Sheet'!D196,VALUE(TRIM(LEFT('Blind Scoring Sheet'!D196,FIND("|",'Blind Scoring Sheet'!D196)-1))))</f>
        <v/>
      </c>
      <c r="E196" s="81">
        <f>IF(ISNUMBER('Blind Scoring Sheet'!F196),'Blind Scoring Sheet'!F196,VALUE(TRIM(LEFT('Blind Scoring Sheet'!F196,FIND("|",'Blind Scoring Sheet'!F196)-1))))</f>
        <v/>
      </c>
      <c r="F196" s="81">
        <f>IF(ISNUMBER('Blind Scoring Sheet'!H196),'Blind Scoring Sheet'!H196,VALUE(TRIM(LEFT('Blind Scoring Sheet'!H196,FIND("|",'Blind Scoring Sheet'!H196)-1))))</f>
        <v/>
      </c>
      <c r="G196" s="81">
        <f>IF(ISNUMBER('Blind Scoring Sheet'!J196),'Blind Scoring Sheet'!J196,VALUE(TRIM(LEFT('Blind Scoring Sheet'!J196,FIND("|",'Blind Scoring Sheet'!J196)-1))))</f>
        <v/>
      </c>
      <c r="H196" s="80">
        <f>IF(ISNUMBER(SEARCH("|",'Blind Scoring Sheet'!K196)),TRIM(LEFT('Blind Scoring Sheet'!K196,FIND("|",'Blind Scoring Sheet'!K196)-1)),TRIM('Blind Scoring Sheet'!K196))</f>
        <v/>
      </c>
    </row>
    <row r="197" ht="15" customHeight="1" s="38">
      <c r="A197" s="80">
        <f>'Blind Scoring Sheet'!A197</f>
        <v/>
      </c>
      <c r="B197" s="80">
        <f>MID(INDEX('Anonymization Key'!$B$4:$B$1003,MATCH(A197,'Anonymization Key'!$A$4:$A$1003,0)),3,2)</f>
        <v/>
      </c>
      <c r="C197" s="81">
        <f>IF(ISNUMBER('Blind Scoring Sheet'!B197),'Blind Scoring Sheet'!B197,VALUE(TRIM(LEFT('Blind Scoring Sheet'!B197,FIND("|",'Blind Scoring Sheet'!B197)-1))))</f>
        <v/>
      </c>
      <c r="D197" s="81">
        <f>IF(ISNUMBER('Blind Scoring Sheet'!D197),'Blind Scoring Sheet'!D197,VALUE(TRIM(LEFT('Blind Scoring Sheet'!D197,FIND("|",'Blind Scoring Sheet'!D197)-1))))</f>
        <v/>
      </c>
      <c r="E197" s="81">
        <f>IF(ISNUMBER('Blind Scoring Sheet'!F197),'Blind Scoring Sheet'!F197,VALUE(TRIM(LEFT('Blind Scoring Sheet'!F197,FIND("|",'Blind Scoring Sheet'!F197)-1))))</f>
        <v/>
      </c>
      <c r="F197" s="81">
        <f>IF(ISNUMBER('Blind Scoring Sheet'!H197),'Blind Scoring Sheet'!H197,VALUE(TRIM(LEFT('Blind Scoring Sheet'!H197,FIND("|",'Blind Scoring Sheet'!H197)-1))))</f>
        <v/>
      </c>
      <c r="G197" s="81">
        <f>IF(ISNUMBER('Blind Scoring Sheet'!J197),'Blind Scoring Sheet'!J197,VALUE(TRIM(LEFT('Blind Scoring Sheet'!J197,FIND("|",'Blind Scoring Sheet'!J197)-1))))</f>
        <v/>
      </c>
      <c r="H197" s="80">
        <f>IF(ISNUMBER(SEARCH("|",'Blind Scoring Sheet'!K197)),TRIM(LEFT('Blind Scoring Sheet'!K197,FIND("|",'Blind Scoring Sheet'!K197)-1)),TRIM('Blind Scoring Sheet'!K197))</f>
        <v/>
      </c>
    </row>
    <row r="198" ht="15" customHeight="1" s="38">
      <c r="A198" s="80">
        <f>'Blind Scoring Sheet'!A198</f>
        <v/>
      </c>
      <c r="B198" s="80">
        <f>MID(INDEX('Anonymization Key'!$B$4:$B$1003,MATCH(A198,'Anonymization Key'!$A$4:$A$1003,0)),3,2)</f>
        <v/>
      </c>
      <c r="C198" s="81">
        <f>IF(ISNUMBER('Blind Scoring Sheet'!B198),'Blind Scoring Sheet'!B198,VALUE(TRIM(LEFT('Blind Scoring Sheet'!B198,FIND("|",'Blind Scoring Sheet'!B198)-1))))</f>
        <v/>
      </c>
      <c r="D198" s="81">
        <f>IF(ISNUMBER('Blind Scoring Sheet'!D198),'Blind Scoring Sheet'!D198,VALUE(TRIM(LEFT('Blind Scoring Sheet'!D198,FIND("|",'Blind Scoring Sheet'!D198)-1))))</f>
        <v/>
      </c>
      <c r="E198" s="81">
        <f>IF(ISNUMBER('Blind Scoring Sheet'!F198),'Blind Scoring Sheet'!F198,VALUE(TRIM(LEFT('Blind Scoring Sheet'!F198,FIND("|",'Blind Scoring Sheet'!F198)-1))))</f>
        <v/>
      </c>
      <c r="F198" s="81">
        <f>IF(ISNUMBER('Blind Scoring Sheet'!H198),'Blind Scoring Sheet'!H198,VALUE(TRIM(LEFT('Blind Scoring Sheet'!H198,FIND("|",'Blind Scoring Sheet'!H198)-1))))</f>
        <v/>
      </c>
      <c r="G198" s="81">
        <f>IF(ISNUMBER('Blind Scoring Sheet'!J198),'Blind Scoring Sheet'!J198,VALUE(TRIM(LEFT('Blind Scoring Sheet'!J198,FIND("|",'Blind Scoring Sheet'!J198)-1))))</f>
        <v/>
      </c>
      <c r="H198" s="80">
        <f>IF(ISNUMBER(SEARCH("|",'Blind Scoring Sheet'!K198)),TRIM(LEFT('Blind Scoring Sheet'!K198,FIND("|",'Blind Scoring Sheet'!K198)-1)),TRIM('Blind Scoring Sheet'!K198))</f>
        <v/>
      </c>
    </row>
    <row r="199" ht="15" customHeight="1" s="38">
      <c r="A199" s="80">
        <f>'Blind Scoring Sheet'!A199</f>
        <v/>
      </c>
      <c r="B199" s="80">
        <f>MID(INDEX('Anonymization Key'!$B$4:$B$1003,MATCH(A199,'Anonymization Key'!$A$4:$A$1003,0)),3,2)</f>
        <v/>
      </c>
      <c r="C199" s="81">
        <f>IF(ISNUMBER('Blind Scoring Sheet'!B199),'Blind Scoring Sheet'!B199,VALUE(TRIM(LEFT('Blind Scoring Sheet'!B199,FIND("|",'Blind Scoring Sheet'!B199)-1))))</f>
        <v/>
      </c>
      <c r="D199" s="81">
        <f>IF(ISNUMBER('Blind Scoring Sheet'!D199),'Blind Scoring Sheet'!D199,VALUE(TRIM(LEFT('Blind Scoring Sheet'!D199,FIND("|",'Blind Scoring Sheet'!D199)-1))))</f>
        <v/>
      </c>
      <c r="E199" s="81">
        <f>IF(ISNUMBER('Blind Scoring Sheet'!F199),'Blind Scoring Sheet'!F199,VALUE(TRIM(LEFT('Blind Scoring Sheet'!F199,FIND("|",'Blind Scoring Sheet'!F199)-1))))</f>
        <v/>
      </c>
      <c r="F199" s="81">
        <f>IF(ISNUMBER('Blind Scoring Sheet'!H199),'Blind Scoring Sheet'!H199,VALUE(TRIM(LEFT('Blind Scoring Sheet'!H199,FIND("|",'Blind Scoring Sheet'!H199)-1))))</f>
        <v/>
      </c>
      <c r="G199" s="81">
        <f>IF(ISNUMBER('Blind Scoring Sheet'!J199),'Blind Scoring Sheet'!J199,VALUE(TRIM(LEFT('Blind Scoring Sheet'!J199,FIND("|",'Blind Scoring Sheet'!J199)-1))))</f>
        <v/>
      </c>
      <c r="H199" s="80">
        <f>IF(ISNUMBER(SEARCH("|",'Blind Scoring Sheet'!K199)),TRIM(LEFT('Blind Scoring Sheet'!K199,FIND("|",'Blind Scoring Sheet'!K199)-1)),TRIM('Blind Scoring Sheet'!K199))</f>
        <v/>
      </c>
    </row>
    <row r="200" ht="15" customHeight="1" s="38">
      <c r="A200" s="80">
        <f>'Blind Scoring Sheet'!A200</f>
        <v/>
      </c>
      <c r="B200" s="80">
        <f>MID(INDEX('Anonymization Key'!$B$4:$B$1003,MATCH(A200,'Anonymization Key'!$A$4:$A$1003,0)),3,2)</f>
        <v/>
      </c>
      <c r="C200" s="81">
        <f>IF(ISNUMBER('Blind Scoring Sheet'!B200),'Blind Scoring Sheet'!B200,VALUE(TRIM(LEFT('Blind Scoring Sheet'!B200,FIND("|",'Blind Scoring Sheet'!B200)-1))))</f>
        <v/>
      </c>
      <c r="D200" s="81">
        <f>IF(ISNUMBER('Blind Scoring Sheet'!D200),'Blind Scoring Sheet'!D200,VALUE(TRIM(LEFT('Blind Scoring Sheet'!D200,FIND("|",'Blind Scoring Sheet'!D200)-1))))</f>
        <v/>
      </c>
      <c r="E200" s="81">
        <f>IF(ISNUMBER('Blind Scoring Sheet'!F200),'Blind Scoring Sheet'!F200,VALUE(TRIM(LEFT('Blind Scoring Sheet'!F200,FIND("|",'Blind Scoring Sheet'!F200)-1))))</f>
        <v/>
      </c>
      <c r="F200" s="81">
        <f>IF(ISNUMBER('Blind Scoring Sheet'!H200),'Blind Scoring Sheet'!H200,VALUE(TRIM(LEFT('Blind Scoring Sheet'!H200,FIND("|",'Blind Scoring Sheet'!H200)-1))))</f>
        <v/>
      </c>
      <c r="G200" s="81">
        <f>IF(ISNUMBER('Blind Scoring Sheet'!J200),'Blind Scoring Sheet'!J200,VALUE(TRIM(LEFT('Blind Scoring Sheet'!J200,FIND("|",'Blind Scoring Sheet'!J200)-1))))</f>
        <v/>
      </c>
      <c r="H200" s="80">
        <f>IF(ISNUMBER(SEARCH("|",'Blind Scoring Sheet'!K200)),TRIM(LEFT('Blind Scoring Sheet'!K200,FIND("|",'Blind Scoring Sheet'!K200)-1)),TRIM('Blind Scoring Sheet'!K200))</f>
        <v/>
      </c>
    </row>
    <row r="201" ht="15" customHeight="1" s="38">
      <c r="A201" s="80">
        <f>'Blind Scoring Sheet'!A201</f>
        <v/>
      </c>
      <c r="B201" s="80">
        <f>MID(INDEX('Anonymization Key'!$B$4:$B$1003,MATCH(A201,'Anonymization Key'!$A$4:$A$1003,0)),3,2)</f>
        <v/>
      </c>
      <c r="C201" s="81">
        <f>IF(ISNUMBER('Blind Scoring Sheet'!B201),'Blind Scoring Sheet'!B201,VALUE(TRIM(LEFT('Blind Scoring Sheet'!B201,FIND("|",'Blind Scoring Sheet'!B201)-1))))</f>
        <v/>
      </c>
      <c r="D201" s="81">
        <f>IF(ISNUMBER('Blind Scoring Sheet'!D201),'Blind Scoring Sheet'!D201,VALUE(TRIM(LEFT('Blind Scoring Sheet'!D201,FIND("|",'Blind Scoring Sheet'!D201)-1))))</f>
        <v/>
      </c>
      <c r="E201" s="81">
        <f>IF(ISNUMBER('Blind Scoring Sheet'!F201),'Blind Scoring Sheet'!F201,VALUE(TRIM(LEFT('Blind Scoring Sheet'!F201,FIND("|",'Blind Scoring Sheet'!F201)-1))))</f>
        <v/>
      </c>
      <c r="F201" s="81">
        <f>IF(ISNUMBER('Blind Scoring Sheet'!H201),'Blind Scoring Sheet'!H201,VALUE(TRIM(LEFT('Blind Scoring Sheet'!H201,FIND("|",'Blind Scoring Sheet'!H201)-1))))</f>
        <v/>
      </c>
      <c r="G201" s="81">
        <f>IF(ISNUMBER('Blind Scoring Sheet'!J201),'Blind Scoring Sheet'!J201,VALUE(TRIM(LEFT('Blind Scoring Sheet'!J201,FIND("|",'Blind Scoring Sheet'!J201)-1))))</f>
        <v/>
      </c>
      <c r="H201" s="80">
        <f>IF(ISNUMBER(SEARCH("|",'Blind Scoring Sheet'!K201)),TRIM(LEFT('Blind Scoring Sheet'!K201,FIND("|",'Blind Scoring Sheet'!K201)-1)),TRIM('Blind Scoring Sheet'!K201))</f>
        <v/>
      </c>
    </row>
    <row r="202" ht="15" customHeight="1" s="38">
      <c r="A202" s="80">
        <f>'Blind Scoring Sheet'!A202</f>
        <v/>
      </c>
      <c r="B202" s="80">
        <f>MID(INDEX('Anonymization Key'!$B$4:$B$1003,MATCH(A202,'Anonymization Key'!$A$4:$A$1003,0)),3,2)</f>
        <v/>
      </c>
      <c r="C202" s="81">
        <f>IF(ISNUMBER('Blind Scoring Sheet'!B202),'Blind Scoring Sheet'!B202,VALUE(TRIM(LEFT('Blind Scoring Sheet'!B202,FIND("|",'Blind Scoring Sheet'!B202)-1))))</f>
        <v/>
      </c>
      <c r="D202" s="81">
        <f>IF(ISNUMBER('Blind Scoring Sheet'!D202),'Blind Scoring Sheet'!D202,VALUE(TRIM(LEFT('Blind Scoring Sheet'!D202,FIND("|",'Blind Scoring Sheet'!D202)-1))))</f>
        <v/>
      </c>
      <c r="E202" s="81">
        <f>IF(ISNUMBER('Blind Scoring Sheet'!F202),'Blind Scoring Sheet'!F202,VALUE(TRIM(LEFT('Blind Scoring Sheet'!F202,FIND("|",'Blind Scoring Sheet'!F202)-1))))</f>
        <v/>
      </c>
      <c r="F202" s="81">
        <f>IF(ISNUMBER('Blind Scoring Sheet'!H202),'Blind Scoring Sheet'!H202,VALUE(TRIM(LEFT('Blind Scoring Sheet'!H202,FIND("|",'Blind Scoring Sheet'!H202)-1))))</f>
        <v/>
      </c>
      <c r="G202" s="81">
        <f>IF(ISNUMBER('Blind Scoring Sheet'!J202),'Blind Scoring Sheet'!J202,VALUE(TRIM(LEFT('Blind Scoring Sheet'!J202,FIND("|",'Blind Scoring Sheet'!J202)-1))))</f>
        <v/>
      </c>
      <c r="H202" s="80">
        <f>IF(ISNUMBER(SEARCH("|",'Blind Scoring Sheet'!K202)),TRIM(LEFT('Blind Scoring Sheet'!K202,FIND("|",'Blind Scoring Sheet'!K202)-1)),TRIM('Blind Scoring Sheet'!K202))</f>
        <v/>
      </c>
    </row>
    <row r="203" ht="15" customHeight="1" s="38">
      <c r="A203" s="80">
        <f>'Blind Scoring Sheet'!A203</f>
        <v/>
      </c>
      <c r="B203" s="80">
        <f>MID(INDEX('Anonymization Key'!$B$4:$B$1003,MATCH(A203,'Anonymization Key'!$A$4:$A$1003,0)),3,2)</f>
        <v/>
      </c>
      <c r="C203" s="81">
        <f>IF(ISNUMBER('Blind Scoring Sheet'!B203),'Blind Scoring Sheet'!B203,VALUE(TRIM(LEFT('Blind Scoring Sheet'!B203,FIND("|",'Blind Scoring Sheet'!B203)-1))))</f>
        <v/>
      </c>
      <c r="D203" s="81">
        <f>IF(ISNUMBER('Blind Scoring Sheet'!D203),'Blind Scoring Sheet'!D203,VALUE(TRIM(LEFT('Blind Scoring Sheet'!D203,FIND("|",'Blind Scoring Sheet'!D203)-1))))</f>
        <v/>
      </c>
      <c r="E203" s="81">
        <f>IF(ISNUMBER('Blind Scoring Sheet'!F203),'Blind Scoring Sheet'!F203,VALUE(TRIM(LEFT('Blind Scoring Sheet'!F203,FIND("|",'Blind Scoring Sheet'!F203)-1))))</f>
        <v/>
      </c>
      <c r="F203" s="81">
        <f>IF(ISNUMBER('Blind Scoring Sheet'!H203),'Blind Scoring Sheet'!H203,VALUE(TRIM(LEFT('Blind Scoring Sheet'!H203,FIND("|",'Blind Scoring Sheet'!H203)-1))))</f>
        <v/>
      </c>
      <c r="G203" s="81">
        <f>IF(ISNUMBER('Blind Scoring Sheet'!J203),'Blind Scoring Sheet'!J203,VALUE(TRIM(LEFT('Blind Scoring Sheet'!J203,FIND("|",'Blind Scoring Sheet'!J203)-1))))</f>
        <v/>
      </c>
      <c r="H203" s="80">
        <f>IF(ISNUMBER(SEARCH("|",'Blind Scoring Sheet'!K203)),TRIM(LEFT('Blind Scoring Sheet'!K203,FIND("|",'Blind Scoring Sheet'!K203)-1)),TRIM('Blind Scoring Sheet'!K203))</f>
        <v/>
      </c>
    </row>
    <row r="204" ht="15" customHeight="1" s="38">
      <c r="A204" s="80">
        <f>'Blind Scoring Sheet'!A204</f>
        <v/>
      </c>
      <c r="B204" s="80">
        <f>MID(INDEX('Anonymization Key'!$B$4:$B$1003,MATCH(A204,'Anonymization Key'!$A$4:$A$1003,0)),3,2)</f>
        <v/>
      </c>
      <c r="C204" s="81">
        <f>IF(ISNUMBER('Blind Scoring Sheet'!B204),'Blind Scoring Sheet'!B204,VALUE(TRIM(LEFT('Blind Scoring Sheet'!B204,FIND("|",'Blind Scoring Sheet'!B204)-1))))</f>
        <v/>
      </c>
      <c r="D204" s="81">
        <f>IF(ISNUMBER('Blind Scoring Sheet'!D204),'Blind Scoring Sheet'!D204,VALUE(TRIM(LEFT('Blind Scoring Sheet'!D204,FIND("|",'Blind Scoring Sheet'!D204)-1))))</f>
        <v/>
      </c>
      <c r="E204" s="81">
        <f>IF(ISNUMBER('Blind Scoring Sheet'!F204),'Blind Scoring Sheet'!F204,VALUE(TRIM(LEFT('Blind Scoring Sheet'!F204,FIND("|",'Blind Scoring Sheet'!F204)-1))))</f>
        <v/>
      </c>
      <c r="F204" s="81">
        <f>IF(ISNUMBER('Blind Scoring Sheet'!H204),'Blind Scoring Sheet'!H204,VALUE(TRIM(LEFT('Blind Scoring Sheet'!H204,FIND("|",'Blind Scoring Sheet'!H204)-1))))</f>
        <v/>
      </c>
      <c r="G204" s="81">
        <f>IF(ISNUMBER('Blind Scoring Sheet'!J204),'Blind Scoring Sheet'!J204,VALUE(TRIM(LEFT('Blind Scoring Sheet'!J204,FIND("|",'Blind Scoring Sheet'!J204)-1))))</f>
        <v/>
      </c>
      <c r="H204" s="80">
        <f>IF(ISNUMBER(SEARCH("|",'Blind Scoring Sheet'!K204)),TRIM(LEFT('Blind Scoring Sheet'!K204,FIND("|",'Blind Scoring Sheet'!K204)-1)),TRIM('Blind Scoring Sheet'!K204))</f>
        <v/>
      </c>
    </row>
    <row r="205" ht="15" customHeight="1" s="38">
      <c r="A205" s="80">
        <f>'Blind Scoring Sheet'!A205</f>
        <v/>
      </c>
      <c r="B205" s="80">
        <f>MID(INDEX('Anonymization Key'!$B$4:$B$1003,MATCH(A205,'Anonymization Key'!$A$4:$A$1003,0)),3,2)</f>
        <v/>
      </c>
      <c r="C205" s="81">
        <f>IF(ISNUMBER('Blind Scoring Sheet'!B205),'Blind Scoring Sheet'!B205,VALUE(TRIM(LEFT('Blind Scoring Sheet'!B205,FIND("|",'Blind Scoring Sheet'!B205)-1))))</f>
        <v/>
      </c>
      <c r="D205" s="81">
        <f>IF(ISNUMBER('Blind Scoring Sheet'!D205),'Blind Scoring Sheet'!D205,VALUE(TRIM(LEFT('Blind Scoring Sheet'!D205,FIND("|",'Blind Scoring Sheet'!D205)-1))))</f>
        <v/>
      </c>
      <c r="E205" s="81">
        <f>IF(ISNUMBER('Blind Scoring Sheet'!F205),'Blind Scoring Sheet'!F205,VALUE(TRIM(LEFT('Blind Scoring Sheet'!F205,FIND("|",'Blind Scoring Sheet'!F205)-1))))</f>
        <v/>
      </c>
      <c r="F205" s="81">
        <f>IF(ISNUMBER('Blind Scoring Sheet'!H205),'Blind Scoring Sheet'!H205,VALUE(TRIM(LEFT('Blind Scoring Sheet'!H205,FIND("|",'Blind Scoring Sheet'!H205)-1))))</f>
        <v/>
      </c>
      <c r="G205" s="81">
        <f>IF(ISNUMBER('Blind Scoring Sheet'!J205),'Blind Scoring Sheet'!J205,VALUE(TRIM(LEFT('Blind Scoring Sheet'!J205,FIND("|",'Blind Scoring Sheet'!J205)-1))))</f>
        <v/>
      </c>
      <c r="H205" s="80">
        <f>IF(ISNUMBER(SEARCH("|",'Blind Scoring Sheet'!K205)),TRIM(LEFT('Blind Scoring Sheet'!K205,FIND("|",'Blind Scoring Sheet'!K205)-1)),TRIM('Blind Scoring Sheet'!K205))</f>
        <v/>
      </c>
    </row>
    <row r="206" ht="15" customHeight="1" s="38">
      <c r="A206" s="80">
        <f>'Blind Scoring Sheet'!A206</f>
        <v/>
      </c>
      <c r="B206" s="80">
        <f>MID(INDEX('Anonymization Key'!$B$4:$B$1003,MATCH(A206,'Anonymization Key'!$A$4:$A$1003,0)),3,2)</f>
        <v/>
      </c>
      <c r="C206" s="81">
        <f>IF(ISNUMBER('Blind Scoring Sheet'!B206),'Blind Scoring Sheet'!B206,VALUE(TRIM(LEFT('Blind Scoring Sheet'!B206,FIND("|",'Blind Scoring Sheet'!B206)-1))))</f>
        <v/>
      </c>
      <c r="D206" s="81">
        <f>IF(ISNUMBER('Blind Scoring Sheet'!D206),'Blind Scoring Sheet'!D206,VALUE(TRIM(LEFT('Blind Scoring Sheet'!D206,FIND("|",'Blind Scoring Sheet'!D206)-1))))</f>
        <v/>
      </c>
      <c r="E206" s="81">
        <f>IF(ISNUMBER('Blind Scoring Sheet'!F206),'Blind Scoring Sheet'!F206,VALUE(TRIM(LEFT('Blind Scoring Sheet'!F206,FIND("|",'Blind Scoring Sheet'!F206)-1))))</f>
        <v/>
      </c>
      <c r="F206" s="81">
        <f>IF(ISNUMBER('Blind Scoring Sheet'!H206),'Blind Scoring Sheet'!H206,VALUE(TRIM(LEFT('Blind Scoring Sheet'!H206,FIND("|",'Blind Scoring Sheet'!H206)-1))))</f>
        <v/>
      </c>
      <c r="G206" s="81">
        <f>IF(ISNUMBER('Blind Scoring Sheet'!J206),'Blind Scoring Sheet'!J206,VALUE(TRIM(LEFT('Blind Scoring Sheet'!J206,FIND("|",'Blind Scoring Sheet'!J206)-1))))</f>
        <v/>
      </c>
      <c r="H206" s="80">
        <f>IF(ISNUMBER(SEARCH("|",'Blind Scoring Sheet'!K206)),TRIM(LEFT('Blind Scoring Sheet'!K206,FIND("|",'Blind Scoring Sheet'!K206)-1)),TRIM('Blind Scoring Sheet'!K206))</f>
        <v/>
      </c>
    </row>
    <row r="207" ht="15" customHeight="1" s="38">
      <c r="A207" s="80">
        <f>'Blind Scoring Sheet'!A207</f>
        <v/>
      </c>
      <c r="B207" s="80">
        <f>MID(INDEX('Anonymization Key'!$B$4:$B$1003,MATCH(A207,'Anonymization Key'!$A$4:$A$1003,0)),3,2)</f>
        <v/>
      </c>
      <c r="C207" s="81">
        <f>IF(ISNUMBER('Blind Scoring Sheet'!B207),'Blind Scoring Sheet'!B207,VALUE(TRIM(LEFT('Blind Scoring Sheet'!B207,FIND("|",'Blind Scoring Sheet'!B207)-1))))</f>
        <v/>
      </c>
      <c r="D207" s="81">
        <f>IF(ISNUMBER('Blind Scoring Sheet'!D207),'Blind Scoring Sheet'!D207,VALUE(TRIM(LEFT('Blind Scoring Sheet'!D207,FIND("|",'Blind Scoring Sheet'!D207)-1))))</f>
        <v/>
      </c>
      <c r="E207" s="81">
        <f>IF(ISNUMBER('Blind Scoring Sheet'!F207),'Blind Scoring Sheet'!F207,VALUE(TRIM(LEFT('Blind Scoring Sheet'!F207,FIND("|",'Blind Scoring Sheet'!F207)-1))))</f>
        <v/>
      </c>
      <c r="F207" s="81">
        <f>IF(ISNUMBER('Blind Scoring Sheet'!H207),'Blind Scoring Sheet'!H207,VALUE(TRIM(LEFT('Blind Scoring Sheet'!H207,FIND("|",'Blind Scoring Sheet'!H207)-1))))</f>
        <v/>
      </c>
      <c r="G207" s="81">
        <f>IF(ISNUMBER('Blind Scoring Sheet'!J207),'Blind Scoring Sheet'!J207,VALUE(TRIM(LEFT('Blind Scoring Sheet'!J207,FIND("|",'Blind Scoring Sheet'!J207)-1))))</f>
        <v/>
      </c>
      <c r="H207" s="80">
        <f>IF(ISNUMBER(SEARCH("|",'Blind Scoring Sheet'!K207)),TRIM(LEFT('Blind Scoring Sheet'!K207,FIND("|",'Blind Scoring Sheet'!K207)-1)),TRIM('Blind Scoring Sheet'!K207))</f>
        <v/>
      </c>
    </row>
    <row r="208" ht="15" customHeight="1" s="38">
      <c r="A208" s="80">
        <f>'Blind Scoring Sheet'!A208</f>
        <v/>
      </c>
      <c r="B208" s="80">
        <f>MID(INDEX('Anonymization Key'!$B$4:$B$1003,MATCH(A208,'Anonymization Key'!$A$4:$A$1003,0)),3,2)</f>
        <v/>
      </c>
      <c r="C208" s="81">
        <f>IF(ISNUMBER('Blind Scoring Sheet'!B208),'Blind Scoring Sheet'!B208,VALUE(TRIM(LEFT('Blind Scoring Sheet'!B208,FIND("|",'Blind Scoring Sheet'!B208)-1))))</f>
        <v/>
      </c>
      <c r="D208" s="81">
        <f>IF(ISNUMBER('Blind Scoring Sheet'!D208),'Blind Scoring Sheet'!D208,VALUE(TRIM(LEFT('Blind Scoring Sheet'!D208,FIND("|",'Blind Scoring Sheet'!D208)-1))))</f>
        <v/>
      </c>
      <c r="E208" s="81">
        <f>IF(ISNUMBER('Blind Scoring Sheet'!F208),'Blind Scoring Sheet'!F208,VALUE(TRIM(LEFT('Blind Scoring Sheet'!F208,FIND("|",'Blind Scoring Sheet'!F208)-1))))</f>
        <v/>
      </c>
      <c r="F208" s="81">
        <f>IF(ISNUMBER('Blind Scoring Sheet'!H208),'Blind Scoring Sheet'!H208,VALUE(TRIM(LEFT('Blind Scoring Sheet'!H208,FIND("|",'Blind Scoring Sheet'!H208)-1))))</f>
        <v/>
      </c>
      <c r="G208" s="81">
        <f>IF(ISNUMBER('Blind Scoring Sheet'!J208),'Blind Scoring Sheet'!J208,VALUE(TRIM(LEFT('Blind Scoring Sheet'!J208,FIND("|",'Blind Scoring Sheet'!J208)-1))))</f>
        <v/>
      </c>
      <c r="H208" s="80">
        <f>IF(ISNUMBER(SEARCH("|",'Blind Scoring Sheet'!K208)),TRIM(LEFT('Blind Scoring Sheet'!K208,FIND("|",'Blind Scoring Sheet'!K208)-1)),TRIM('Blind Scoring Sheet'!K208))</f>
        <v/>
      </c>
    </row>
    <row r="209" ht="15" customHeight="1" s="38">
      <c r="A209" s="80">
        <f>'Blind Scoring Sheet'!A209</f>
        <v/>
      </c>
      <c r="B209" s="80">
        <f>MID(INDEX('Anonymization Key'!$B$4:$B$1003,MATCH(A209,'Anonymization Key'!$A$4:$A$1003,0)),3,2)</f>
        <v/>
      </c>
      <c r="C209" s="81">
        <f>IF(ISNUMBER('Blind Scoring Sheet'!B209),'Blind Scoring Sheet'!B209,VALUE(TRIM(LEFT('Blind Scoring Sheet'!B209,FIND("|",'Blind Scoring Sheet'!B209)-1))))</f>
        <v/>
      </c>
      <c r="D209" s="81">
        <f>IF(ISNUMBER('Blind Scoring Sheet'!D209),'Blind Scoring Sheet'!D209,VALUE(TRIM(LEFT('Blind Scoring Sheet'!D209,FIND("|",'Blind Scoring Sheet'!D209)-1))))</f>
        <v/>
      </c>
      <c r="E209" s="81">
        <f>IF(ISNUMBER('Blind Scoring Sheet'!F209),'Blind Scoring Sheet'!F209,VALUE(TRIM(LEFT('Blind Scoring Sheet'!F209,FIND("|",'Blind Scoring Sheet'!F209)-1))))</f>
        <v/>
      </c>
      <c r="F209" s="81">
        <f>IF(ISNUMBER('Blind Scoring Sheet'!H209),'Blind Scoring Sheet'!H209,VALUE(TRIM(LEFT('Blind Scoring Sheet'!H209,FIND("|",'Blind Scoring Sheet'!H209)-1))))</f>
        <v/>
      </c>
      <c r="G209" s="81">
        <f>IF(ISNUMBER('Blind Scoring Sheet'!J209),'Blind Scoring Sheet'!J209,VALUE(TRIM(LEFT('Blind Scoring Sheet'!J209,FIND("|",'Blind Scoring Sheet'!J209)-1))))</f>
        <v/>
      </c>
      <c r="H209" s="80">
        <f>IF(ISNUMBER(SEARCH("|",'Blind Scoring Sheet'!K209)),TRIM(LEFT('Blind Scoring Sheet'!K209,FIND("|",'Blind Scoring Sheet'!K209)-1)),TRIM('Blind Scoring Sheet'!K209))</f>
        <v/>
      </c>
    </row>
    <row r="210" ht="15" customHeight="1" s="38">
      <c r="A210" s="80">
        <f>'Blind Scoring Sheet'!A210</f>
        <v/>
      </c>
      <c r="B210" s="80">
        <f>MID(INDEX('Anonymization Key'!$B$4:$B$1003,MATCH(A210,'Anonymization Key'!$A$4:$A$1003,0)),3,2)</f>
        <v/>
      </c>
      <c r="C210" s="81">
        <f>IF(ISNUMBER('Blind Scoring Sheet'!B210),'Blind Scoring Sheet'!B210,VALUE(TRIM(LEFT('Blind Scoring Sheet'!B210,FIND("|",'Blind Scoring Sheet'!B210)-1))))</f>
        <v/>
      </c>
      <c r="D210" s="81">
        <f>IF(ISNUMBER('Blind Scoring Sheet'!D210),'Blind Scoring Sheet'!D210,VALUE(TRIM(LEFT('Blind Scoring Sheet'!D210,FIND("|",'Blind Scoring Sheet'!D210)-1))))</f>
        <v/>
      </c>
      <c r="E210" s="81">
        <f>IF(ISNUMBER('Blind Scoring Sheet'!F210),'Blind Scoring Sheet'!F210,VALUE(TRIM(LEFT('Blind Scoring Sheet'!F210,FIND("|",'Blind Scoring Sheet'!F210)-1))))</f>
        <v/>
      </c>
      <c r="F210" s="81">
        <f>IF(ISNUMBER('Blind Scoring Sheet'!H210),'Blind Scoring Sheet'!H210,VALUE(TRIM(LEFT('Blind Scoring Sheet'!H210,FIND("|",'Blind Scoring Sheet'!H210)-1))))</f>
        <v/>
      </c>
      <c r="G210" s="81">
        <f>IF(ISNUMBER('Blind Scoring Sheet'!J210),'Blind Scoring Sheet'!J210,VALUE(TRIM(LEFT('Blind Scoring Sheet'!J210,FIND("|",'Blind Scoring Sheet'!J210)-1))))</f>
        <v/>
      </c>
      <c r="H210" s="80">
        <f>IF(ISNUMBER(SEARCH("|",'Blind Scoring Sheet'!K210)),TRIM(LEFT('Blind Scoring Sheet'!K210,FIND("|",'Blind Scoring Sheet'!K210)-1)),TRIM('Blind Scoring Sheet'!K210))</f>
        <v/>
      </c>
    </row>
    <row r="211" ht="15" customHeight="1" s="38">
      <c r="A211" s="80">
        <f>'Blind Scoring Sheet'!A211</f>
        <v/>
      </c>
      <c r="B211" s="80">
        <f>MID(INDEX('Anonymization Key'!$B$4:$B$1003,MATCH(A211,'Anonymization Key'!$A$4:$A$1003,0)),3,2)</f>
        <v/>
      </c>
      <c r="C211" s="81">
        <f>IF(ISNUMBER('Blind Scoring Sheet'!B211),'Blind Scoring Sheet'!B211,VALUE(TRIM(LEFT('Blind Scoring Sheet'!B211,FIND("|",'Blind Scoring Sheet'!B211)-1))))</f>
        <v/>
      </c>
      <c r="D211" s="81">
        <f>IF(ISNUMBER('Blind Scoring Sheet'!D211),'Blind Scoring Sheet'!D211,VALUE(TRIM(LEFT('Blind Scoring Sheet'!D211,FIND("|",'Blind Scoring Sheet'!D211)-1))))</f>
        <v/>
      </c>
      <c r="E211" s="81">
        <f>IF(ISNUMBER('Blind Scoring Sheet'!F211),'Blind Scoring Sheet'!F211,VALUE(TRIM(LEFT('Blind Scoring Sheet'!F211,FIND("|",'Blind Scoring Sheet'!F211)-1))))</f>
        <v/>
      </c>
      <c r="F211" s="81">
        <f>IF(ISNUMBER('Blind Scoring Sheet'!H211),'Blind Scoring Sheet'!H211,VALUE(TRIM(LEFT('Blind Scoring Sheet'!H211,FIND("|",'Blind Scoring Sheet'!H211)-1))))</f>
        <v/>
      </c>
      <c r="G211" s="81">
        <f>IF(ISNUMBER('Blind Scoring Sheet'!J211),'Blind Scoring Sheet'!J211,VALUE(TRIM(LEFT('Blind Scoring Sheet'!J211,FIND("|",'Blind Scoring Sheet'!J211)-1))))</f>
        <v/>
      </c>
      <c r="H211" s="80">
        <f>IF(ISNUMBER(SEARCH("|",'Blind Scoring Sheet'!K211)),TRIM(LEFT('Blind Scoring Sheet'!K211,FIND("|",'Blind Scoring Sheet'!K211)-1)),TRIM('Blind Scoring Sheet'!K211))</f>
        <v/>
      </c>
    </row>
    <row r="212" ht="15" customHeight="1" s="38">
      <c r="A212" s="80">
        <f>'Blind Scoring Sheet'!A212</f>
        <v/>
      </c>
      <c r="B212" s="80">
        <f>MID(INDEX('Anonymization Key'!$B$4:$B$1003,MATCH(A212,'Anonymization Key'!$A$4:$A$1003,0)),3,2)</f>
        <v/>
      </c>
      <c r="C212" s="81">
        <f>IF(ISNUMBER('Blind Scoring Sheet'!B212),'Blind Scoring Sheet'!B212,VALUE(TRIM(LEFT('Blind Scoring Sheet'!B212,FIND("|",'Blind Scoring Sheet'!B212)-1))))</f>
        <v/>
      </c>
      <c r="D212" s="81">
        <f>IF(ISNUMBER('Blind Scoring Sheet'!D212),'Blind Scoring Sheet'!D212,VALUE(TRIM(LEFT('Blind Scoring Sheet'!D212,FIND("|",'Blind Scoring Sheet'!D212)-1))))</f>
        <v/>
      </c>
      <c r="E212" s="81">
        <f>IF(ISNUMBER('Blind Scoring Sheet'!F212),'Blind Scoring Sheet'!F212,VALUE(TRIM(LEFT('Blind Scoring Sheet'!F212,FIND("|",'Blind Scoring Sheet'!F212)-1))))</f>
        <v/>
      </c>
      <c r="F212" s="81">
        <f>IF(ISNUMBER('Blind Scoring Sheet'!H212),'Blind Scoring Sheet'!H212,VALUE(TRIM(LEFT('Blind Scoring Sheet'!H212,FIND("|",'Blind Scoring Sheet'!H212)-1))))</f>
        <v/>
      </c>
      <c r="G212" s="81">
        <f>IF(ISNUMBER('Blind Scoring Sheet'!J212),'Blind Scoring Sheet'!J212,VALUE(TRIM(LEFT('Blind Scoring Sheet'!J212,FIND("|",'Blind Scoring Sheet'!J212)-1))))</f>
        <v/>
      </c>
      <c r="H212" s="80">
        <f>IF(ISNUMBER(SEARCH("|",'Blind Scoring Sheet'!K212)),TRIM(LEFT('Blind Scoring Sheet'!K212,FIND("|",'Blind Scoring Sheet'!K212)-1)),TRIM('Blind Scoring Sheet'!K212))</f>
        <v/>
      </c>
    </row>
    <row r="213" ht="15" customHeight="1" s="38">
      <c r="A213" s="80">
        <f>'Blind Scoring Sheet'!A213</f>
        <v/>
      </c>
      <c r="B213" s="80">
        <f>MID(INDEX('Anonymization Key'!$B$4:$B$1003,MATCH(A213,'Anonymization Key'!$A$4:$A$1003,0)),3,2)</f>
        <v/>
      </c>
      <c r="C213" s="81">
        <f>IF(ISNUMBER('Blind Scoring Sheet'!B213),'Blind Scoring Sheet'!B213,VALUE(TRIM(LEFT('Blind Scoring Sheet'!B213,FIND("|",'Blind Scoring Sheet'!B213)-1))))</f>
        <v/>
      </c>
      <c r="D213" s="81">
        <f>IF(ISNUMBER('Blind Scoring Sheet'!D213),'Blind Scoring Sheet'!D213,VALUE(TRIM(LEFT('Blind Scoring Sheet'!D213,FIND("|",'Blind Scoring Sheet'!D213)-1))))</f>
        <v/>
      </c>
      <c r="E213" s="81">
        <f>IF(ISNUMBER('Blind Scoring Sheet'!F213),'Blind Scoring Sheet'!F213,VALUE(TRIM(LEFT('Blind Scoring Sheet'!F213,FIND("|",'Blind Scoring Sheet'!F213)-1))))</f>
        <v/>
      </c>
      <c r="F213" s="81">
        <f>IF(ISNUMBER('Blind Scoring Sheet'!H213),'Blind Scoring Sheet'!H213,VALUE(TRIM(LEFT('Blind Scoring Sheet'!H213,FIND("|",'Blind Scoring Sheet'!H213)-1))))</f>
        <v/>
      </c>
      <c r="G213" s="81">
        <f>IF(ISNUMBER('Blind Scoring Sheet'!J213),'Blind Scoring Sheet'!J213,VALUE(TRIM(LEFT('Blind Scoring Sheet'!J213,FIND("|",'Blind Scoring Sheet'!J213)-1))))</f>
        <v/>
      </c>
      <c r="H213" s="80">
        <f>IF(ISNUMBER(SEARCH("|",'Blind Scoring Sheet'!K213)),TRIM(LEFT('Blind Scoring Sheet'!K213,FIND("|",'Blind Scoring Sheet'!K213)-1)),TRIM('Blind Scoring Sheet'!K213))</f>
        <v/>
      </c>
    </row>
    <row r="214" ht="15" customHeight="1" s="38">
      <c r="A214" s="80">
        <f>'Blind Scoring Sheet'!A214</f>
        <v/>
      </c>
      <c r="B214" s="80">
        <f>MID(INDEX('Anonymization Key'!$B$4:$B$1003,MATCH(A214,'Anonymization Key'!$A$4:$A$1003,0)),3,2)</f>
        <v/>
      </c>
      <c r="C214" s="81">
        <f>IF(ISNUMBER('Blind Scoring Sheet'!B214),'Blind Scoring Sheet'!B214,VALUE(TRIM(LEFT('Blind Scoring Sheet'!B214,FIND("|",'Blind Scoring Sheet'!B214)-1))))</f>
        <v/>
      </c>
      <c r="D214" s="81">
        <f>IF(ISNUMBER('Blind Scoring Sheet'!D214),'Blind Scoring Sheet'!D214,VALUE(TRIM(LEFT('Blind Scoring Sheet'!D214,FIND("|",'Blind Scoring Sheet'!D214)-1))))</f>
        <v/>
      </c>
      <c r="E214" s="81">
        <f>IF(ISNUMBER('Blind Scoring Sheet'!F214),'Blind Scoring Sheet'!F214,VALUE(TRIM(LEFT('Blind Scoring Sheet'!F214,FIND("|",'Blind Scoring Sheet'!F214)-1))))</f>
        <v/>
      </c>
      <c r="F214" s="81">
        <f>IF(ISNUMBER('Blind Scoring Sheet'!H214),'Blind Scoring Sheet'!H214,VALUE(TRIM(LEFT('Blind Scoring Sheet'!H214,FIND("|",'Blind Scoring Sheet'!H214)-1))))</f>
        <v/>
      </c>
      <c r="G214" s="81">
        <f>IF(ISNUMBER('Blind Scoring Sheet'!J214),'Blind Scoring Sheet'!J214,VALUE(TRIM(LEFT('Blind Scoring Sheet'!J214,FIND("|",'Blind Scoring Sheet'!J214)-1))))</f>
        <v/>
      </c>
      <c r="H214" s="80">
        <f>IF(ISNUMBER(SEARCH("|",'Blind Scoring Sheet'!K214)),TRIM(LEFT('Blind Scoring Sheet'!K214,FIND("|",'Blind Scoring Sheet'!K214)-1)),TRIM('Blind Scoring Sheet'!K214))</f>
        <v/>
      </c>
    </row>
    <row r="215" ht="15" customHeight="1" s="38">
      <c r="A215" s="80">
        <f>'Blind Scoring Sheet'!A215</f>
        <v/>
      </c>
      <c r="B215" s="80">
        <f>MID(INDEX('Anonymization Key'!$B$4:$B$1003,MATCH(A215,'Anonymization Key'!$A$4:$A$1003,0)),3,2)</f>
        <v/>
      </c>
      <c r="C215" s="81">
        <f>IF(ISNUMBER('Blind Scoring Sheet'!B215),'Blind Scoring Sheet'!B215,VALUE(TRIM(LEFT('Blind Scoring Sheet'!B215,FIND("|",'Blind Scoring Sheet'!B215)-1))))</f>
        <v/>
      </c>
      <c r="D215" s="81">
        <f>IF(ISNUMBER('Blind Scoring Sheet'!D215),'Blind Scoring Sheet'!D215,VALUE(TRIM(LEFT('Blind Scoring Sheet'!D215,FIND("|",'Blind Scoring Sheet'!D215)-1))))</f>
        <v/>
      </c>
      <c r="E215" s="81">
        <f>IF(ISNUMBER('Blind Scoring Sheet'!F215),'Blind Scoring Sheet'!F215,VALUE(TRIM(LEFT('Blind Scoring Sheet'!F215,FIND("|",'Blind Scoring Sheet'!F215)-1))))</f>
        <v/>
      </c>
      <c r="F215" s="81">
        <f>IF(ISNUMBER('Blind Scoring Sheet'!H215),'Blind Scoring Sheet'!H215,VALUE(TRIM(LEFT('Blind Scoring Sheet'!H215,FIND("|",'Blind Scoring Sheet'!H215)-1))))</f>
        <v/>
      </c>
      <c r="G215" s="81">
        <f>IF(ISNUMBER('Blind Scoring Sheet'!J215),'Blind Scoring Sheet'!J215,VALUE(TRIM(LEFT('Blind Scoring Sheet'!J215,FIND("|",'Blind Scoring Sheet'!J215)-1))))</f>
        <v/>
      </c>
      <c r="H215" s="80">
        <f>IF(ISNUMBER(SEARCH("|",'Blind Scoring Sheet'!K215)),TRIM(LEFT('Blind Scoring Sheet'!K215,FIND("|",'Blind Scoring Sheet'!K215)-1)),TRIM('Blind Scoring Sheet'!K215))</f>
        <v/>
      </c>
    </row>
    <row r="216" ht="15" customHeight="1" s="38">
      <c r="A216" s="80">
        <f>'Blind Scoring Sheet'!A216</f>
        <v/>
      </c>
      <c r="B216" s="80">
        <f>MID(INDEX('Anonymization Key'!$B$4:$B$1003,MATCH(A216,'Anonymization Key'!$A$4:$A$1003,0)),3,2)</f>
        <v/>
      </c>
      <c r="C216" s="81">
        <f>IF(ISNUMBER('Blind Scoring Sheet'!B216),'Blind Scoring Sheet'!B216,VALUE(TRIM(LEFT('Blind Scoring Sheet'!B216,FIND("|",'Blind Scoring Sheet'!B216)-1))))</f>
        <v/>
      </c>
      <c r="D216" s="81">
        <f>IF(ISNUMBER('Blind Scoring Sheet'!D216),'Blind Scoring Sheet'!D216,VALUE(TRIM(LEFT('Blind Scoring Sheet'!D216,FIND("|",'Blind Scoring Sheet'!D216)-1))))</f>
        <v/>
      </c>
      <c r="E216" s="81">
        <f>IF(ISNUMBER('Blind Scoring Sheet'!F216),'Blind Scoring Sheet'!F216,VALUE(TRIM(LEFT('Blind Scoring Sheet'!F216,FIND("|",'Blind Scoring Sheet'!F216)-1))))</f>
        <v/>
      </c>
      <c r="F216" s="81">
        <f>IF(ISNUMBER('Blind Scoring Sheet'!H216),'Blind Scoring Sheet'!H216,VALUE(TRIM(LEFT('Blind Scoring Sheet'!H216,FIND("|",'Blind Scoring Sheet'!H216)-1))))</f>
        <v/>
      </c>
      <c r="G216" s="81">
        <f>IF(ISNUMBER('Blind Scoring Sheet'!J216),'Blind Scoring Sheet'!J216,VALUE(TRIM(LEFT('Blind Scoring Sheet'!J216,FIND("|",'Blind Scoring Sheet'!J216)-1))))</f>
        <v/>
      </c>
      <c r="H216" s="80">
        <f>IF(ISNUMBER(SEARCH("|",'Blind Scoring Sheet'!K216)),TRIM(LEFT('Blind Scoring Sheet'!K216,FIND("|",'Blind Scoring Sheet'!K216)-1)),TRIM('Blind Scoring Sheet'!K216))</f>
        <v/>
      </c>
    </row>
    <row r="217" ht="15" customHeight="1" s="38">
      <c r="A217" s="80">
        <f>'Blind Scoring Sheet'!A217</f>
        <v/>
      </c>
      <c r="B217" s="80">
        <f>MID(INDEX('Anonymization Key'!$B$4:$B$1003,MATCH(A217,'Anonymization Key'!$A$4:$A$1003,0)),3,2)</f>
        <v/>
      </c>
      <c r="C217" s="81">
        <f>IF(ISNUMBER('Blind Scoring Sheet'!B217),'Blind Scoring Sheet'!B217,VALUE(TRIM(LEFT('Blind Scoring Sheet'!B217,FIND("|",'Blind Scoring Sheet'!B217)-1))))</f>
        <v/>
      </c>
      <c r="D217" s="81">
        <f>IF(ISNUMBER('Blind Scoring Sheet'!D217),'Blind Scoring Sheet'!D217,VALUE(TRIM(LEFT('Blind Scoring Sheet'!D217,FIND("|",'Blind Scoring Sheet'!D217)-1))))</f>
        <v/>
      </c>
      <c r="E217" s="81">
        <f>IF(ISNUMBER('Blind Scoring Sheet'!F217),'Blind Scoring Sheet'!F217,VALUE(TRIM(LEFT('Blind Scoring Sheet'!F217,FIND("|",'Blind Scoring Sheet'!F217)-1))))</f>
        <v/>
      </c>
      <c r="F217" s="81">
        <f>IF(ISNUMBER('Blind Scoring Sheet'!H217),'Blind Scoring Sheet'!H217,VALUE(TRIM(LEFT('Blind Scoring Sheet'!H217,FIND("|",'Blind Scoring Sheet'!H217)-1))))</f>
        <v/>
      </c>
      <c r="G217" s="81">
        <f>IF(ISNUMBER('Blind Scoring Sheet'!J217),'Blind Scoring Sheet'!J217,VALUE(TRIM(LEFT('Blind Scoring Sheet'!J217,FIND("|",'Blind Scoring Sheet'!J217)-1))))</f>
        <v/>
      </c>
      <c r="H217" s="80">
        <f>IF(ISNUMBER(SEARCH("|",'Blind Scoring Sheet'!K217)),TRIM(LEFT('Blind Scoring Sheet'!K217,FIND("|",'Blind Scoring Sheet'!K217)-1)),TRIM('Blind Scoring Sheet'!K217))</f>
        <v/>
      </c>
    </row>
    <row r="218" ht="15" customHeight="1" s="38">
      <c r="A218" s="80">
        <f>'Blind Scoring Sheet'!A218</f>
        <v/>
      </c>
      <c r="B218" s="80">
        <f>MID(INDEX('Anonymization Key'!$B$4:$B$1003,MATCH(A218,'Anonymization Key'!$A$4:$A$1003,0)),3,2)</f>
        <v/>
      </c>
      <c r="C218" s="81">
        <f>IF(ISNUMBER('Blind Scoring Sheet'!B218),'Blind Scoring Sheet'!B218,VALUE(TRIM(LEFT('Blind Scoring Sheet'!B218,FIND("|",'Blind Scoring Sheet'!B218)-1))))</f>
        <v/>
      </c>
      <c r="D218" s="81">
        <f>IF(ISNUMBER('Blind Scoring Sheet'!D218),'Blind Scoring Sheet'!D218,VALUE(TRIM(LEFT('Blind Scoring Sheet'!D218,FIND("|",'Blind Scoring Sheet'!D218)-1))))</f>
        <v/>
      </c>
      <c r="E218" s="81">
        <f>IF(ISNUMBER('Blind Scoring Sheet'!F218),'Blind Scoring Sheet'!F218,VALUE(TRIM(LEFT('Blind Scoring Sheet'!F218,FIND("|",'Blind Scoring Sheet'!F218)-1))))</f>
        <v/>
      </c>
      <c r="F218" s="81">
        <f>IF(ISNUMBER('Blind Scoring Sheet'!H218),'Blind Scoring Sheet'!H218,VALUE(TRIM(LEFT('Blind Scoring Sheet'!H218,FIND("|",'Blind Scoring Sheet'!H218)-1))))</f>
        <v/>
      </c>
      <c r="G218" s="81">
        <f>IF(ISNUMBER('Blind Scoring Sheet'!J218),'Blind Scoring Sheet'!J218,VALUE(TRIM(LEFT('Blind Scoring Sheet'!J218,FIND("|",'Blind Scoring Sheet'!J218)-1))))</f>
        <v/>
      </c>
      <c r="H218" s="80">
        <f>IF(ISNUMBER(SEARCH("|",'Blind Scoring Sheet'!K218)),TRIM(LEFT('Blind Scoring Sheet'!K218,FIND("|",'Blind Scoring Sheet'!K218)-1)),TRIM('Blind Scoring Sheet'!K218))</f>
        <v/>
      </c>
    </row>
    <row r="219" ht="15" customHeight="1" s="38">
      <c r="A219" s="80">
        <f>'Blind Scoring Sheet'!A219</f>
        <v/>
      </c>
      <c r="B219" s="80">
        <f>MID(INDEX('Anonymization Key'!$B$4:$B$1003,MATCH(A219,'Anonymization Key'!$A$4:$A$1003,0)),3,2)</f>
        <v/>
      </c>
      <c r="C219" s="81">
        <f>IF(ISNUMBER('Blind Scoring Sheet'!B219),'Blind Scoring Sheet'!B219,VALUE(TRIM(LEFT('Blind Scoring Sheet'!B219,FIND("|",'Blind Scoring Sheet'!B219)-1))))</f>
        <v/>
      </c>
      <c r="D219" s="81">
        <f>IF(ISNUMBER('Blind Scoring Sheet'!D219),'Blind Scoring Sheet'!D219,VALUE(TRIM(LEFT('Blind Scoring Sheet'!D219,FIND("|",'Blind Scoring Sheet'!D219)-1))))</f>
        <v/>
      </c>
      <c r="E219" s="81">
        <f>IF(ISNUMBER('Blind Scoring Sheet'!F219),'Blind Scoring Sheet'!F219,VALUE(TRIM(LEFT('Blind Scoring Sheet'!F219,FIND("|",'Blind Scoring Sheet'!F219)-1))))</f>
        <v/>
      </c>
      <c r="F219" s="81">
        <f>IF(ISNUMBER('Blind Scoring Sheet'!H219),'Blind Scoring Sheet'!H219,VALUE(TRIM(LEFT('Blind Scoring Sheet'!H219,FIND("|",'Blind Scoring Sheet'!H219)-1))))</f>
        <v/>
      </c>
      <c r="G219" s="81">
        <f>IF(ISNUMBER('Blind Scoring Sheet'!J219),'Blind Scoring Sheet'!J219,VALUE(TRIM(LEFT('Blind Scoring Sheet'!J219,FIND("|",'Blind Scoring Sheet'!J219)-1))))</f>
        <v/>
      </c>
      <c r="H219" s="80">
        <f>IF(ISNUMBER(SEARCH("|",'Blind Scoring Sheet'!K219)),TRIM(LEFT('Blind Scoring Sheet'!K219,FIND("|",'Blind Scoring Sheet'!K219)-1)),TRIM('Blind Scoring Sheet'!K219))</f>
        <v/>
      </c>
    </row>
    <row r="220" ht="15" customHeight="1" s="38">
      <c r="A220" s="80">
        <f>'Blind Scoring Sheet'!A220</f>
        <v/>
      </c>
      <c r="B220" s="80">
        <f>MID(INDEX('Anonymization Key'!$B$4:$B$1003,MATCH(A220,'Anonymization Key'!$A$4:$A$1003,0)),3,2)</f>
        <v/>
      </c>
      <c r="C220" s="81">
        <f>IF(ISNUMBER('Blind Scoring Sheet'!B220),'Blind Scoring Sheet'!B220,VALUE(TRIM(LEFT('Blind Scoring Sheet'!B220,FIND("|",'Blind Scoring Sheet'!B220)-1))))</f>
        <v/>
      </c>
      <c r="D220" s="81">
        <f>IF(ISNUMBER('Blind Scoring Sheet'!D220),'Blind Scoring Sheet'!D220,VALUE(TRIM(LEFT('Blind Scoring Sheet'!D220,FIND("|",'Blind Scoring Sheet'!D220)-1))))</f>
        <v/>
      </c>
      <c r="E220" s="81">
        <f>IF(ISNUMBER('Blind Scoring Sheet'!F220),'Blind Scoring Sheet'!F220,VALUE(TRIM(LEFT('Blind Scoring Sheet'!F220,FIND("|",'Blind Scoring Sheet'!F220)-1))))</f>
        <v/>
      </c>
      <c r="F220" s="81">
        <f>IF(ISNUMBER('Blind Scoring Sheet'!H220),'Blind Scoring Sheet'!H220,VALUE(TRIM(LEFT('Blind Scoring Sheet'!H220,FIND("|",'Blind Scoring Sheet'!H220)-1))))</f>
        <v/>
      </c>
      <c r="G220" s="81">
        <f>IF(ISNUMBER('Blind Scoring Sheet'!J220),'Blind Scoring Sheet'!J220,VALUE(TRIM(LEFT('Blind Scoring Sheet'!J220,FIND("|",'Blind Scoring Sheet'!J220)-1))))</f>
        <v/>
      </c>
      <c r="H220" s="80">
        <f>IF(ISNUMBER(SEARCH("|",'Blind Scoring Sheet'!K220)),TRIM(LEFT('Blind Scoring Sheet'!K220,FIND("|",'Blind Scoring Sheet'!K220)-1)),TRIM('Blind Scoring Sheet'!K220))</f>
        <v/>
      </c>
    </row>
    <row r="221" ht="15" customHeight="1" s="38">
      <c r="A221" s="80">
        <f>'Blind Scoring Sheet'!A221</f>
        <v/>
      </c>
      <c r="B221" s="80">
        <f>MID(INDEX('Anonymization Key'!$B$4:$B$1003,MATCH(A221,'Anonymization Key'!$A$4:$A$1003,0)),3,2)</f>
        <v/>
      </c>
      <c r="C221" s="81">
        <f>IF(ISNUMBER('Blind Scoring Sheet'!B221),'Blind Scoring Sheet'!B221,VALUE(TRIM(LEFT('Blind Scoring Sheet'!B221,FIND("|",'Blind Scoring Sheet'!B221)-1))))</f>
        <v/>
      </c>
      <c r="D221" s="81">
        <f>IF(ISNUMBER('Blind Scoring Sheet'!D221),'Blind Scoring Sheet'!D221,VALUE(TRIM(LEFT('Blind Scoring Sheet'!D221,FIND("|",'Blind Scoring Sheet'!D221)-1))))</f>
        <v/>
      </c>
      <c r="E221" s="81">
        <f>IF(ISNUMBER('Blind Scoring Sheet'!F221),'Blind Scoring Sheet'!F221,VALUE(TRIM(LEFT('Blind Scoring Sheet'!F221,FIND("|",'Blind Scoring Sheet'!F221)-1))))</f>
        <v/>
      </c>
      <c r="F221" s="81">
        <f>IF(ISNUMBER('Blind Scoring Sheet'!H221),'Blind Scoring Sheet'!H221,VALUE(TRIM(LEFT('Blind Scoring Sheet'!H221,FIND("|",'Blind Scoring Sheet'!H221)-1))))</f>
        <v/>
      </c>
      <c r="G221" s="81">
        <f>IF(ISNUMBER('Blind Scoring Sheet'!J221),'Blind Scoring Sheet'!J221,VALUE(TRIM(LEFT('Blind Scoring Sheet'!J221,FIND("|",'Blind Scoring Sheet'!J221)-1))))</f>
        <v/>
      </c>
      <c r="H221" s="80">
        <f>IF(ISNUMBER(SEARCH("|",'Blind Scoring Sheet'!K221)),TRIM(LEFT('Blind Scoring Sheet'!K221,FIND("|",'Blind Scoring Sheet'!K221)-1)),TRIM('Blind Scoring Sheet'!K221))</f>
        <v/>
      </c>
    </row>
    <row r="222" ht="15" customHeight="1" s="38">
      <c r="A222" s="80">
        <f>'Blind Scoring Sheet'!A222</f>
        <v/>
      </c>
      <c r="B222" s="80">
        <f>MID(INDEX('Anonymization Key'!$B$4:$B$1003,MATCH(A222,'Anonymization Key'!$A$4:$A$1003,0)),3,2)</f>
        <v/>
      </c>
      <c r="C222" s="81">
        <f>IF(ISNUMBER('Blind Scoring Sheet'!B222),'Blind Scoring Sheet'!B222,VALUE(TRIM(LEFT('Blind Scoring Sheet'!B222,FIND("|",'Blind Scoring Sheet'!B222)-1))))</f>
        <v/>
      </c>
      <c r="D222" s="81">
        <f>IF(ISNUMBER('Blind Scoring Sheet'!D222),'Blind Scoring Sheet'!D222,VALUE(TRIM(LEFT('Blind Scoring Sheet'!D222,FIND("|",'Blind Scoring Sheet'!D222)-1))))</f>
        <v/>
      </c>
      <c r="E222" s="81">
        <f>IF(ISNUMBER('Blind Scoring Sheet'!F222),'Blind Scoring Sheet'!F222,VALUE(TRIM(LEFT('Blind Scoring Sheet'!F222,FIND("|",'Blind Scoring Sheet'!F222)-1))))</f>
        <v/>
      </c>
      <c r="F222" s="81">
        <f>IF(ISNUMBER('Blind Scoring Sheet'!H222),'Blind Scoring Sheet'!H222,VALUE(TRIM(LEFT('Blind Scoring Sheet'!H222,FIND("|",'Blind Scoring Sheet'!H222)-1))))</f>
        <v/>
      </c>
      <c r="G222" s="81">
        <f>IF(ISNUMBER('Blind Scoring Sheet'!J222),'Blind Scoring Sheet'!J222,VALUE(TRIM(LEFT('Blind Scoring Sheet'!J222,FIND("|",'Blind Scoring Sheet'!J222)-1))))</f>
        <v/>
      </c>
      <c r="H222" s="80">
        <f>IF(ISNUMBER(SEARCH("|",'Blind Scoring Sheet'!K222)),TRIM(LEFT('Blind Scoring Sheet'!K222,FIND("|",'Blind Scoring Sheet'!K222)-1)),TRIM('Blind Scoring Sheet'!K222))</f>
        <v/>
      </c>
    </row>
    <row r="223" ht="15" customHeight="1" s="38">
      <c r="A223" s="80">
        <f>'Blind Scoring Sheet'!A223</f>
        <v/>
      </c>
      <c r="B223" s="80">
        <f>MID(INDEX('Anonymization Key'!$B$4:$B$1003,MATCH(A223,'Anonymization Key'!$A$4:$A$1003,0)),3,2)</f>
        <v/>
      </c>
      <c r="C223" s="81">
        <f>IF(ISNUMBER('Blind Scoring Sheet'!B223),'Blind Scoring Sheet'!B223,VALUE(TRIM(LEFT('Blind Scoring Sheet'!B223,FIND("|",'Blind Scoring Sheet'!B223)-1))))</f>
        <v/>
      </c>
      <c r="D223" s="81">
        <f>IF(ISNUMBER('Blind Scoring Sheet'!D223),'Blind Scoring Sheet'!D223,VALUE(TRIM(LEFT('Blind Scoring Sheet'!D223,FIND("|",'Blind Scoring Sheet'!D223)-1))))</f>
        <v/>
      </c>
      <c r="E223" s="81">
        <f>IF(ISNUMBER('Blind Scoring Sheet'!F223),'Blind Scoring Sheet'!F223,VALUE(TRIM(LEFT('Blind Scoring Sheet'!F223,FIND("|",'Blind Scoring Sheet'!F223)-1))))</f>
        <v/>
      </c>
      <c r="F223" s="81">
        <f>IF(ISNUMBER('Blind Scoring Sheet'!H223),'Blind Scoring Sheet'!H223,VALUE(TRIM(LEFT('Blind Scoring Sheet'!H223,FIND("|",'Blind Scoring Sheet'!H223)-1))))</f>
        <v/>
      </c>
      <c r="G223" s="81">
        <f>IF(ISNUMBER('Blind Scoring Sheet'!J223),'Blind Scoring Sheet'!J223,VALUE(TRIM(LEFT('Blind Scoring Sheet'!J223,FIND("|",'Blind Scoring Sheet'!J223)-1))))</f>
        <v/>
      </c>
      <c r="H223" s="80">
        <f>IF(ISNUMBER(SEARCH("|",'Blind Scoring Sheet'!K223)),TRIM(LEFT('Blind Scoring Sheet'!K223,FIND("|",'Blind Scoring Sheet'!K223)-1)),TRIM('Blind Scoring Sheet'!K223))</f>
        <v/>
      </c>
    </row>
    <row r="224" ht="15" customHeight="1" s="38">
      <c r="A224" s="80">
        <f>'Blind Scoring Sheet'!A224</f>
        <v/>
      </c>
      <c r="B224" s="80">
        <f>MID(INDEX('Anonymization Key'!$B$4:$B$1003,MATCH(A224,'Anonymization Key'!$A$4:$A$1003,0)),3,2)</f>
        <v/>
      </c>
      <c r="C224" s="81">
        <f>IF(ISNUMBER('Blind Scoring Sheet'!B224),'Blind Scoring Sheet'!B224,VALUE(TRIM(LEFT('Blind Scoring Sheet'!B224,FIND("|",'Blind Scoring Sheet'!B224)-1))))</f>
        <v/>
      </c>
      <c r="D224" s="81">
        <f>IF(ISNUMBER('Blind Scoring Sheet'!D224),'Blind Scoring Sheet'!D224,VALUE(TRIM(LEFT('Blind Scoring Sheet'!D224,FIND("|",'Blind Scoring Sheet'!D224)-1))))</f>
        <v/>
      </c>
      <c r="E224" s="81">
        <f>IF(ISNUMBER('Blind Scoring Sheet'!F224),'Blind Scoring Sheet'!F224,VALUE(TRIM(LEFT('Blind Scoring Sheet'!F224,FIND("|",'Blind Scoring Sheet'!F224)-1))))</f>
        <v/>
      </c>
      <c r="F224" s="81">
        <f>IF(ISNUMBER('Blind Scoring Sheet'!H224),'Blind Scoring Sheet'!H224,VALUE(TRIM(LEFT('Blind Scoring Sheet'!H224,FIND("|",'Blind Scoring Sheet'!H224)-1))))</f>
        <v/>
      </c>
      <c r="G224" s="81">
        <f>IF(ISNUMBER('Blind Scoring Sheet'!J224),'Blind Scoring Sheet'!J224,VALUE(TRIM(LEFT('Blind Scoring Sheet'!J224,FIND("|",'Blind Scoring Sheet'!J224)-1))))</f>
        <v/>
      </c>
      <c r="H224" s="80">
        <f>IF(ISNUMBER(SEARCH("|",'Blind Scoring Sheet'!K224)),TRIM(LEFT('Blind Scoring Sheet'!K224,FIND("|",'Blind Scoring Sheet'!K224)-1)),TRIM('Blind Scoring Sheet'!K224))</f>
        <v/>
      </c>
    </row>
    <row r="225" ht="15" customHeight="1" s="38">
      <c r="A225" s="80">
        <f>'Blind Scoring Sheet'!A225</f>
        <v/>
      </c>
      <c r="B225" s="80">
        <f>MID(INDEX('Anonymization Key'!$B$4:$B$1003,MATCH(A225,'Anonymization Key'!$A$4:$A$1003,0)),3,2)</f>
        <v/>
      </c>
      <c r="C225" s="81">
        <f>IF(ISNUMBER('Blind Scoring Sheet'!B225),'Blind Scoring Sheet'!B225,VALUE(TRIM(LEFT('Blind Scoring Sheet'!B225,FIND("|",'Blind Scoring Sheet'!B225)-1))))</f>
        <v/>
      </c>
      <c r="D225" s="81">
        <f>IF(ISNUMBER('Blind Scoring Sheet'!D225),'Blind Scoring Sheet'!D225,VALUE(TRIM(LEFT('Blind Scoring Sheet'!D225,FIND("|",'Blind Scoring Sheet'!D225)-1))))</f>
        <v/>
      </c>
      <c r="E225" s="81">
        <f>IF(ISNUMBER('Blind Scoring Sheet'!F225),'Blind Scoring Sheet'!F225,VALUE(TRIM(LEFT('Blind Scoring Sheet'!F225,FIND("|",'Blind Scoring Sheet'!F225)-1))))</f>
        <v/>
      </c>
      <c r="F225" s="81">
        <f>IF(ISNUMBER('Blind Scoring Sheet'!H225),'Blind Scoring Sheet'!H225,VALUE(TRIM(LEFT('Blind Scoring Sheet'!H225,FIND("|",'Blind Scoring Sheet'!H225)-1))))</f>
        <v/>
      </c>
      <c r="G225" s="81">
        <f>IF(ISNUMBER('Blind Scoring Sheet'!J225),'Blind Scoring Sheet'!J225,VALUE(TRIM(LEFT('Blind Scoring Sheet'!J225,FIND("|",'Blind Scoring Sheet'!J225)-1))))</f>
        <v/>
      </c>
      <c r="H225" s="80">
        <f>IF(ISNUMBER(SEARCH("|",'Blind Scoring Sheet'!K225)),TRIM(LEFT('Blind Scoring Sheet'!K225,FIND("|",'Blind Scoring Sheet'!K225)-1)),TRIM('Blind Scoring Sheet'!K225))</f>
        <v/>
      </c>
    </row>
    <row r="226" ht="15" customHeight="1" s="38">
      <c r="A226" s="80">
        <f>'Blind Scoring Sheet'!A226</f>
        <v/>
      </c>
      <c r="B226" s="80">
        <f>MID(INDEX('Anonymization Key'!$B$4:$B$1003,MATCH(A226,'Anonymization Key'!$A$4:$A$1003,0)),3,2)</f>
        <v/>
      </c>
      <c r="C226" s="81">
        <f>IF(ISNUMBER('Blind Scoring Sheet'!B226),'Blind Scoring Sheet'!B226,VALUE(TRIM(LEFT('Blind Scoring Sheet'!B226,FIND("|",'Blind Scoring Sheet'!B226)-1))))</f>
        <v/>
      </c>
      <c r="D226" s="81">
        <f>IF(ISNUMBER('Blind Scoring Sheet'!D226),'Blind Scoring Sheet'!D226,VALUE(TRIM(LEFT('Blind Scoring Sheet'!D226,FIND("|",'Blind Scoring Sheet'!D226)-1))))</f>
        <v/>
      </c>
      <c r="E226" s="81">
        <f>IF(ISNUMBER('Blind Scoring Sheet'!F226),'Blind Scoring Sheet'!F226,VALUE(TRIM(LEFT('Blind Scoring Sheet'!F226,FIND("|",'Blind Scoring Sheet'!F226)-1))))</f>
        <v/>
      </c>
      <c r="F226" s="81">
        <f>IF(ISNUMBER('Blind Scoring Sheet'!H226),'Blind Scoring Sheet'!H226,VALUE(TRIM(LEFT('Blind Scoring Sheet'!H226,FIND("|",'Blind Scoring Sheet'!H226)-1))))</f>
        <v/>
      </c>
      <c r="G226" s="81">
        <f>IF(ISNUMBER('Blind Scoring Sheet'!J226),'Blind Scoring Sheet'!J226,VALUE(TRIM(LEFT('Blind Scoring Sheet'!J226,FIND("|",'Blind Scoring Sheet'!J226)-1))))</f>
        <v/>
      </c>
      <c r="H226" s="80">
        <f>IF(ISNUMBER(SEARCH("|",'Blind Scoring Sheet'!K226)),TRIM(LEFT('Blind Scoring Sheet'!K226,FIND("|",'Blind Scoring Sheet'!K226)-1)),TRIM('Blind Scoring Sheet'!K226))</f>
        <v/>
      </c>
    </row>
    <row r="227" ht="15" customHeight="1" s="38">
      <c r="A227" s="80">
        <f>'Blind Scoring Sheet'!A227</f>
        <v/>
      </c>
      <c r="B227" s="80">
        <f>MID(INDEX('Anonymization Key'!$B$4:$B$1003,MATCH(A227,'Anonymization Key'!$A$4:$A$1003,0)),3,2)</f>
        <v/>
      </c>
      <c r="C227" s="81">
        <f>IF(ISNUMBER('Blind Scoring Sheet'!B227),'Blind Scoring Sheet'!B227,VALUE(TRIM(LEFT('Blind Scoring Sheet'!B227,FIND("|",'Blind Scoring Sheet'!B227)-1))))</f>
        <v/>
      </c>
      <c r="D227" s="81">
        <f>IF(ISNUMBER('Blind Scoring Sheet'!D227),'Blind Scoring Sheet'!D227,VALUE(TRIM(LEFT('Blind Scoring Sheet'!D227,FIND("|",'Blind Scoring Sheet'!D227)-1))))</f>
        <v/>
      </c>
      <c r="E227" s="81">
        <f>IF(ISNUMBER('Blind Scoring Sheet'!F227),'Blind Scoring Sheet'!F227,VALUE(TRIM(LEFT('Blind Scoring Sheet'!F227,FIND("|",'Blind Scoring Sheet'!F227)-1))))</f>
        <v/>
      </c>
      <c r="F227" s="81">
        <f>IF(ISNUMBER('Blind Scoring Sheet'!H227),'Blind Scoring Sheet'!H227,VALUE(TRIM(LEFT('Blind Scoring Sheet'!H227,FIND("|",'Blind Scoring Sheet'!H227)-1))))</f>
        <v/>
      </c>
      <c r="G227" s="81">
        <f>IF(ISNUMBER('Blind Scoring Sheet'!J227),'Blind Scoring Sheet'!J227,VALUE(TRIM(LEFT('Blind Scoring Sheet'!J227,FIND("|",'Blind Scoring Sheet'!J227)-1))))</f>
        <v/>
      </c>
      <c r="H227" s="80">
        <f>IF(ISNUMBER(SEARCH("|",'Blind Scoring Sheet'!K227)),TRIM(LEFT('Blind Scoring Sheet'!K227,FIND("|",'Blind Scoring Sheet'!K227)-1)),TRIM('Blind Scoring Sheet'!K227))</f>
        <v/>
      </c>
    </row>
    <row r="228" ht="15" customHeight="1" s="38">
      <c r="A228" s="80">
        <f>'Blind Scoring Sheet'!A228</f>
        <v/>
      </c>
      <c r="B228" s="80">
        <f>MID(INDEX('Anonymization Key'!$B$4:$B$1003,MATCH(A228,'Anonymization Key'!$A$4:$A$1003,0)),3,2)</f>
        <v/>
      </c>
      <c r="C228" s="81">
        <f>IF(ISNUMBER('Blind Scoring Sheet'!B228),'Blind Scoring Sheet'!B228,VALUE(TRIM(LEFT('Blind Scoring Sheet'!B228,FIND("|",'Blind Scoring Sheet'!B228)-1))))</f>
        <v/>
      </c>
      <c r="D228" s="81">
        <f>IF(ISNUMBER('Blind Scoring Sheet'!D228),'Blind Scoring Sheet'!D228,VALUE(TRIM(LEFT('Blind Scoring Sheet'!D228,FIND("|",'Blind Scoring Sheet'!D228)-1))))</f>
        <v/>
      </c>
      <c r="E228" s="81">
        <f>IF(ISNUMBER('Blind Scoring Sheet'!F228),'Blind Scoring Sheet'!F228,VALUE(TRIM(LEFT('Blind Scoring Sheet'!F228,FIND("|",'Blind Scoring Sheet'!F228)-1))))</f>
        <v/>
      </c>
      <c r="F228" s="81">
        <f>IF(ISNUMBER('Blind Scoring Sheet'!H228),'Blind Scoring Sheet'!H228,VALUE(TRIM(LEFT('Blind Scoring Sheet'!H228,FIND("|",'Blind Scoring Sheet'!H228)-1))))</f>
        <v/>
      </c>
      <c r="G228" s="81">
        <f>IF(ISNUMBER('Blind Scoring Sheet'!J228),'Blind Scoring Sheet'!J228,VALUE(TRIM(LEFT('Blind Scoring Sheet'!J228,FIND("|",'Blind Scoring Sheet'!J228)-1))))</f>
        <v/>
      </c>
      <c r="H228" s="80">
        <f>IF(ISNUMBER(SEARCH("|",'Blind Scoring Sheet'!K228)),TRIM(LEFT('Blind Scoring Sheet'!K228,FIND("|",'Blind Scoring Sheet'!K228)-1)),TRIM('Blind Scoring Sheet'!K228))</f>
        <v/>
      </c>
    </row>
    <row r="229" ht="15" customHeight="1" s="38">
      <c r="A229" s="80">
        <f>'Blind Scoring Sheet'!A229</f>
        <v/>
      </c>
      <c r="B229" s="80">
        <f>MID(INDEX('Anonymization Key'!$B$4:$B$1003,MATCH(A229,'Anonymization Key'!$A$4:$A$1003,0)),3,2)</f>
        <v/>
      </c>
      <c r="C229" s="81">
        <f>IF(ISNUMBER('Blind Scoring Sheet'!B229),'Blind Scoring Sheet'!B229,VALUE(TRIM(LEFT('Blind Scoring Sheet'!B229,FIND("|",'Blind Scoring Sheet'!B229)-1))))</f>
        <v/>
      </c>
      <c r="D229" s="81">
        <f>IF(ISNUMBER('Blind Scoring Sheet'!D229),'Blind Scoring Sheet'!D229,VALUE(TRIM(LEFT('Blind Scoring Sheet'!D229,FIND("|",'Blind Scoring Sheet'!D229)-1))))</f>
        <v/>
      </c>
      <c r="E229" s="81">
        <f>IF(ISNUMBER('Blind Scoring Sheet'!F229),'Blind Scoring Sheet'!F229,VALUE(TRIM(LEFT('Blind Scoring Sheet'!F229,FIND("|",'Blind Scoring Sheet'!F229)-1))))</f>
        <v/>
      </c>
      <c r="F229" s="81">
        <f>IF(ISNUMBER('Blind Scoring Sheet'!H229),'Blind Scoring Sheet'!H229,VALUE(TRIM(LEFT('Blind Scoring Sheet'!H229,FIND("|",'Blind Scoring Sheet'!H229)-1))))</f>
        <v/>
      </c>
      <c r="G229" s="81">
        <f>IF(ISNUMBER('Blind Scoring Sheet'!J229),'Blind Scoring Sheet'!J229,VALUE(TRIM(LEFT('Blind Scoring Sheet'!J229,FIND("|",'Blind Scoring Sheet'!J229)-1))))</f>
        <v/>
      </c>
      <c r="H229" s="80">
        <f>IF(ISNUMBER(SEARCH("|",'Blind Scoring Sheet'!K229)),TRIM(LEFT('Blind Scoring Sheet'!K229,FIND("|",'Blind Scoring Sheet'!K229)-1)),TRIM('Blind Scoring Sheet'!K229))</f>
        <v/>
      </c>
    </row>
    <row r="230" ht="15" customHeight="1" s="38">
      <c r="A230" s="80">
        <f>'Blind Scoring Sheet'!A230</f>
        <v/>
      </c>
      <c r="B230" s="80">
        <f>MID(INDEX('Anonymization Key'!$B$4:$B$1003,MATCH(A230,'Anonymization Key'!$A$4:$A$1003,0)),3,2)</f>
        <v/>
      </c>
      <c r="C230" s="81">
        <f>IF(ISNUMBER('Blind Scoring Sheet'!B230),'Blind Scoring Sheet'!B230,VALUE(TRIM(LEFT('Blind Scoring Sheet'!B230,FIND("|",'Blind Scoring Sheet'!B230)-1))))</f>
        <v/>
      </c>
      <c r="D230" s="81">
        <f>IF(ISNUMBER('Blind Scoring Sheet'!D230),'Blind Scoring Sheet'!D230,VALUE(TRIM(LEFT('Blind Scoring Sheet'!D230,FIND("|",'Blind Scoring Sheet'!D230)-1))))</f>
        <v/>
      </c>
      <c r="E230" s="81">
        <f>IF(ISNUMBER('Blind Scoring Sheet'!F230),'Blind Scoring Sheet'!F230,VALUE(TRIM(LEFT('Blind Scoring Sheet'!F230,FIND("|",'Blind Scoring Sheet'!F230)-1))))</f>
        <v/>
      </c>
      <c r="F230" s="81">
        <f>IF(ISNUMBER('Blind Scoring Sheet'!H230),'Blind Scoring Sheet'!H230,VALUE(TRIM(LEFT('Blind Scoring Sheet'!H230,FIND("|",'Blind Scoring Sheet'!H230)-1))))</f>
        <v/>
      </c>
      <c r="G230" s="81">
        <f>IF(ISNUMBER('Blind Scoring Sheet'!J230),'Blind Scoring Sheet'!J230,VALUE(TRIM(LEFT('Blind Scoring Sheet'!J230,FIND("|",'Blind Scoring Sheet'!J230)-1))))</f>
        <v/>
      </c>
      <c r="H230" s="80">
        <f>IF(ISNUMBER(SEARCH("|",'Blind Scoring Sheet'!K230)),TRIM(LEFT('Blind Scoring Sheet'!K230,FIND("|",'Blind Scoring Sheet'!K230)-1)),TRIM('Blind Scoring Sheet'!K230))</f>
        <v/>
      </c>
    </row>
    <row r="231" ht="15" customHeight="1" s="38">
      <c r="A231" s="80">
        <f>'Blind Scoring Sheet'!A231</f>
        <v/>
      </c>
      <c r="B231" s="80">
        <f>MID(INDEX('Anonymization Key'!$B$4:$B$1003,MATCH(A231,'Anonymization Key'!$A$4:$A$1003,0)),3,2)</f>
        <v/>
      </c>
      <c r="C231" s="81">
        <f>IF(ISNUMBER('Blind Scoring Sheet'!B231),'Blind Scoring Sheet'!B231,VALUE(TRIM(LEFT('Blind Scoring Sheet'!B231,FIND("|",'Blind Scoring Sheet'!B231)-1))))</f>
        <v/>
      </c>
      <c r="D231" s="81">
        <f>IF(ISNUMBER('Blind Scoring Sheet'!D231),'Blind Scoring Sheet'!D231,VALUE(TRIM(LEFT('Blind Scoring Sheet'!D231,FIND("|",'Blind Scoring Sheet'!D231)-1))))</f>
        <v/>
      </c>
      <c r="E231" s="81">
        <f>IF(ISNUMBER('Blind Scoring Sheet'!F231),'Blind Scoring Sheet'!F231,VALUE(TRIM(LEFT('Blind Scoring Sheet'!F231,FIND("|",'Blind Scoring Sheet'!F231)-1))))</f>
        <v/>
      </c>
      <c r="F231" s="81">
        <f>IF(ISNUMBER('Blind Scoring Sheet'!H231),'Blind Scoring Sheet'!H231,VALUE(TRIM(LEFT('Blind Scoring Sheet'!H231,FIND("|",'Blind Scoring Sheet'!H231)-1))))</f>
        <v/>
      </c>
      <c r="G231" s="81">
        <f>IF(ISNUMBER('Blind Scoring Sheet'!J231),'Blind Scoring Sheet'!J231,VALUE(TRIM(LEFT('Blind Scoring Sheet'!J231,FIND("|",'Blind Scoring Sheet'!J231)-1))))</f>
        <v/>
      </c>
      <c r="H231" s="80">
        <f>IF(ISNUMBER(SEARCH("|",'Blind Scoring Sheet'!K231)),TRIM(LEFT('Blind Scoring Sheet'!K231,FIND("|",'Blind Scoring Sheet'!K231)-1)),TRIM('Blind Scoring Sheet'!K231))</f>
        <v/>
      </c>
    </row>
    <row r="232" ht="15" customHeight="1" s="38">
      <c r="A232" s="80">
        <f>'Blind Scoring Sheet'!A232</f>
        <v/>
      </c>
      <c r="B232" s="80">
        <f>MID(INDEX('Anonymization Key'!$B$4:$B$1003,MATCH(A232,'Anonymization Key'!$A$4:$A$1003,0)),3,2)</f>
        <v/>
      </c>
      <c r="C232" s="81">
        <f>IF(ISNUMBER('Blind Scoring Sheet'!B232),'Blind Scoring Sheet'!B232,VALUE(TRIM(LEFT('Blind Scoring Sheet'!B232,FIND("|",'Blind Scoring Sheet'!B232)-1))))</f>
        <v/>
      </c>
      <c r="D232" s="81">
        <f>IF(ISNUMBER('Blind Scoring Sheet'!D232),'Blind Scoring Sheet'!D232,VALUE(TRIM(LEFT('Blind Scoring Sheet'!D232,FIND("|",'Blind Scoring Sheet'!D232)-1))))</f>
        <v/>
      </c>
      <c r="E232" s="81">
        <f>IF(ISNUMBER('Blind Scoring Sheet'!F232),'Blind Scoring Sheet'!F232,VALUE(TRIM(LEFT('Blind Scoring Sheet'!F232,FIND("|",'Blind Scoring Sheet'!F232)-1))))</f>
        <v/>
      </c>
      <c r="F232" s="81">
        <f>IF(ISNUMBER('Blind Scoring Sheet'!H232),'Blind Scoring Sheet'!H232,VALUE(TRIM(LEFT('Blind Scoring Sheet'!H232,FIND("|",'Blind Scoring Sheet'!H232)-1))))</f>
        <v/>
      </c>
      <c r="G232" s="81">
        <f>IF(ISNUMBER('Blind Scoring Sheet'!J232),'Blind Scoring Sheet'!J232,VALUE(TRIM(LEFT('Blind Scoring Sheet'!J232,FIND("|",'Blind Scoring Sheet'!J232)-1))))</f>
        <v/>
      </c>
      <c r="H232" s="80">
        <f>IF(ISNUMBER(SEARCH("|",'Blind Scoring Sheet'!K232)),TRIM(LEFT('Blind Scoring Sheet'!K232,FIND("|",'Blind Scoring Sheet'!K232)-1)),TRIM('Blind Scoring Sheet'!K232))</f>
        <v/>
      </c>
    </row>
    <row r="233" ht="15" customHeight="1" s="38">
      <c r="A233" s="80">
        <f>'Blind Scoring Sheet'!A233</f>
        <v/>
      </c>
      <c r="B233" s="80">
        <f>MID(INDEX('Anonymization Key'!$B$4:$B$1003,MATCH(A233,'Anonymization Key'!$A$4:$A$1003,0)),3,2)</f>
        <v/>
      </c>
      <c r="C233" s="81">
        <f>IF(ISNUMBER('Blind Scoring Sheet'!B233),'Blind Scoring Sheet'!B233,VALUE(TRIM(LEFT('Blind Scoring Sheet'!B233,FIND("|",'Blind Scoring Sheet'!B233)-1))))</f>
        <v/>
      </c>
      <c r="D233" s="81">
        <f>IF(ISNUMBER('Blind Scoring Sheet'!D233),'Blind Scoring Sheet'!D233,VALUE(TRIM(LEFT('Blind Scoring Sheet'!D233,FIND("|",'Blind Scoring Sheet'!D233)-1))))</f>
        <v/>
      </c>
      <c r="E233" s="81">
        <f>IF(ISNUMBER('Blind Scoring Sheet'!F233),'Blind Scoring Sheet'!F233,VALUE(TRIM(LEFT('Blind Scoring Sheet'!F233,FIND("|",'Blind Scoring Sheet'!F233)-1))))</f>
        <v/>
      </c>
      <c r="F233" s="81">
        <f>IF(ISNUMBER('Blind Scoring Sheet'!H233),'Blind Scoring Sheet'!H233,VALUE(TRIM(LEFT('Blind Scoring Sheet'!H233,FIND("|",'Blind Scoring Sheet'!H233)-1))))</f>
        <v/>
      </c>
      <c r="G233" s="81">
        <f>IF(ISNUMBER('Blind Scoring Sheet'!J233),'Blind Scoring Sheet'!J233,VALUE(TRIM(LEFT('Blind Scoring Sheet'!J233,FIND("|",'Blind Scoring Sheet'!J233)-1))))</f>
        <v/>
      </c>
      <c r="H233" s="80">
        <f>IF(ISNUMBER(SEARCH("|",'Blind Scoring Sheet'!K233)),TRIM(LEFT('Blind Scoring Sheet'!K233,FIND("|",'Blind Scoring Sheet'!K233)-1)),TRIM('Blind Scoring Sheet'!K233))</f>
        <v/>
      </c>
    </row>
    <row r="234" ht="15" customHeight="1" s="38">
      <c r="A234" s="80">
        <f>'Blind Scoring Sheet'!A234</f>
        <v/>
      </c>
      <c r="B234" s="80">
        <f>MID(INDEX('Anonymization Key'!$B$4:$B$1003,MATCH(A234,'Anonymization Key'!$A$4:$A$1003,0)),3,2)</f>
        <v/>
      </c>
      <c r="C234" s="81">
        <f>IF(ISNUMBER('Blind Scoring Sheet'!B234),'Blind Scoring Sheet'!B234,VALUE(TRIM(LEFT('Blind Scoring Sheet'!B234,FIND("|",'Blind Scoring Sheet'!B234)-1))))</f>
        <v/>
      </c>
      <c r="D234" s="81">
        <f>IF(ISNUMBER('Blind Scoring Sheet'!D234),'Blind Scoring Sheet'!D234,VALUE(TRIM(LEFT('Blind Scoring Sheet'!D234,FIND("|",'Blind Scoring Sheet'!D234)-1))))</f>
        <v/>
      </c>
      <c r="E234" s="81">
        <f>IF(ISNUMBER('Blind Scoring Sheet'!F234),'Blind Scoring Sheet'!F234,VALUE(TRIM(LEFT('Blind Scoring Sheet'!F234,FIND("|",'Blind Scoring Sheet'!F234)-1))))</f>
        <v/>
      </c>
      <c r="F234" s="81">
        <f>IF(ISNUMBER('Blind Scoring Sheet'!H234),'Blind Scoring Sheet'!H234,VALUE(TRIM(LEFT('Blind Scoring Sheet'!H234,FIND("|",'Blind Scoring Sheet'!H234)-1))))</f>
        <v/>
      </c>
      <c r="G234" s="81">
        <f>IF(ISNUMBER('Blind Scoring Sheet'!J234),'Blind Scoring Sheet'!J234,VALUE(TRIM(LEFT('Blind Scoring Sheet'!J234,FIND("|",'Blind Scoring Sheet'!J234)-1))))</f>
        <v/>
      </c>
      <c r="H234" s="80">
        <f>IF(ISNUMBER(SEARCH("|",'Blind Scoring Sheet'!K234)),TRIM(LEFT('Blind Scoring Sheet'!K234,FIND("|",'Blind Scoring Sheet'!K234)-1)),TRIM('Blind Scoring Sheet'!K234))</f>
        <v/>
      </c>
    </row>
    <row r="235" ht="15" customHeight="1" s="38">
      <c r="A235" s="80">
        <f>'Blind Scoring Sheet'!A235</f>
        <v/>
      </c>
      <c r="B235" s="80">
        <f>MID(INDEX('Anonymization Key'!$B$4:$B$1003,MATCH(A235,'Anonymization Key'!$A$4:$A$1003,0)),3,2)</f>
        <v/>
      </c>
      <c r="C235" s="81">
        <f>IF(ISNUMBER('Blind Scoring Sheet'!B235),'Blind Scoring Sheet'!B235,VALUE(TRIM(LEFT('Blind Scoring Sheet'!B235,FIND("|",'Blind Scoring Sheet'!B235)-1))))</f>
        <v/>
      </c>
      <c r="D235" s="81">
        <f>IF(ISNUMBER('Blind Scoring Sheet'!D235),'Blind Scoring Sheet'!D235,VALUE(TRIM(LEFT('Blind Scoring Sheet'!D235,FIND("|",'Blind Scoring Sheet'!D235)-1))))</f>
        <v/>
      </c>
      <c r="E235" s="81">
        <f>IF(ISNUMBER('Blind Scoring Sheet'!F235),'Blind Scoring Sheet'!F235,VALUE(TRIM(LEFT('Blind Scoring Sheet'!F235,FIND("|",'Blind Scoring Sheet'!F235)-1))))</f>
        <v/>
      </c>
      <c r="F235" s="81">
        <f>IF(ISNUMBER('Blind Scoring Sheet'!H235),'Blind Scoring Sheet'!H235,VALUE(TRIM(LEFT('Blind Scoring Sheet'!H235,FIND("|",'Blind Scoring Sheet'!H235)-1))))</f>
        <v/>
      </c>
      <c r="G235" s="81">
        <f>IF(ISNUMBER('Blind Scoring Sheet'!J235),'Blind Scoring Sheet'!J235,VALUE(TRIM(LEFT('Blind Scoring Sheet'!J235,FIND("|",'Blind Scoring Sheet'!J235)-1))))</f>
        <v/>
      </c>
      <c r="H235" s="80">
        <f>IF(ISNUMBER(SEARCH("|",'Blind Scoring Sheet'!K235)),TRIM(LEFT('Blind Scoring Sheet'!K235,FIND("|",'Blind Scoring Sheet'!K235)-1)),TRIM('Blind Scoring Sheet'!K235))</f>
        <v/>
      </c>
    </row>
    <row r="236" ht="15" customHeight="1" s="38">
      <c r="A236" s="80">
        <f>'Blind Scoring Sheet'!A236</f>
        <v/>
      </c>
      <c r="B236" s="80">
        <f>MID(INDEX('Anonymization Key'!$B$4:$B$1003,MATCH(A236,'Anonymization Key'!$A$4:$A$1003,0)),3,2)</f>
        <v/>
      </c>
      <c r="C236" s="81">
        <f>IF(ISNUMBER('Blind Scoring Sheet'!B236),'Blind Scoring Sheet'!B236,VALUE(TRIM(LEFT('Blind Scoring Sheet'!B236,FIND("|",'Blind Scoring Sheet'!B236)-1))))</f>
        <v/>
      </c>
      <c r="D236" s="81">
        <f>IF(ISNUMBER('Blind Scoring Sheet'!D236),'Blind Scoring Sheet'!D236,VALUE(TRIM(LEFT('Blind Scoring Sheet'!D236,FIND("|",'Blind Scoring Sheet'!D236)-1))))</f>
        <v/>
      </c>
      <c r="E236" s="81">
        <f>IF(ISNUMBER('Blind Scoring Sheet'!F236),'Blind Scoring Sheet'!F236,VALUE(TRIM(LEFT('Blind Scoring Sheet'!F236,FIND("|",'Blind Scoring Sheet'!F236)-1))))</f>
        <v/>
      </c>
      <c r="F236" s="81">
        <f>IF(ISNUMBER('Blind Scoring Sheet'!H236),'Blind Scoring Sheet'!H236,VALUE(TRIM(LEFT('Blind Scoring Sheet'!H236,FIND("|",'Blind Scoring Sheet'!H236)-1))))</f>
        <v/>
      </c>
      <c r="G236" s="81">
        <f>IF(ISNUMBER('Blind Scoring Sheet'!J236),'Blind Scoring Sheet'!J236,VALUE(TRIM(LEFT('Blind Scoring Sheet'!J236,FIND("|",'Blind Scoring Sheet'!J236)-1))))</f>
        <v/>
      </c>
      <c r="H236" s="80">
        <f>IF(ISNUMBER(SEARCH("|",'Blind Scoring Sheet'!K236)),TRIM(LEFT('Blind Scoring Sheet'!K236,FIND("|",'Blind Scoring Sheet'!K236)-1)),TRIM('Blind Scoring Sheet'!K236))</f>
        <v/>
      </c>
    </row>
    <row r="237" ht="15" customHeight="1" s="38">
      <c r="A237" s="80">
        <f>'Blind Scoring Sheet'!A237</f>
        <v/>
      </c>
      <c r="B237" s="80">
        <f>MID(INDEX('Anonymization Key'!$B$4:$B$1003,MATCH(A237,'Anonymization Key'!$A$4:$A$1003,0)),3,2)</f>
        <v/>
      </c>
      <c r="C237" s="81">
        <f>IF(ISNUMBER('Blind Scoring Sheet'!B237),'Blind Scoring Sheet'!B237,VALUE(TRIM(LEFT('Blind Scoring Sheet'!B237,FIND("|",'Blind Scoring Sheet'!B237)-1))))</f>
        <v/>
      </c>
      <c r="D237" s="81">
        <f>IF(ISNUMBER('Blind Scoring Sheet'!D237),'Blind Scoring Sheet'!D237,VALUE(TRIM(LEFT('Blind Scoring Sheet'!D237,FIND("|",'Blind Scoring Sheet'!D237)-1))))</f>
        <v/>
      </c>
      <c r="E237" s="81">
        <f>IF(ISNUMBER('Blind Scoring Sheet'!F237),'Blind Scoring Sheet'!F237,VALUE(TRIM(LEFT('Blind Scoring Sheet'!F237,FIND("|",'Blind Scoring Sheet'!F237)-1))))</f>
        <v/>
      </c>
      <c r="F237" s="81">
        <f>IF(ISNUMBER('Blind Scoring Sheet'!H237),'Blind Scoring Sheet'!H237,VALUE(TRIM(LEFT('Blind Scoring Sheet'!H237,FIND("|",'Blind Scoring Sheet'!H237)-1))))</f>
        <v/>
      </c>
      <c r="G237" s="81">
        <f>IF(ISNUMBER('Blind Scoring Sheet'!J237),'Blind Scoring Sheet'!J237,VALUE(TRIM(LEFT('Blind Scoring Sheet'!J237,FIND("|",'Blind Scoring Sheet'!J237)-1))))</f>
        <v/>
      </c>
      <c r="H237" s="80">
        <f>IF(ISNUMBER(SEARCH("|",'Blind Scoring Sheet'!K237)),TRIM(LEFT('Blind Scoring Sheet'!K237,FIND("|",'Blind Scoring Sheet'!K237)-1)),TRIM('Blind Scoring Sheet'!K237))</f>
        <v/>
      </c>
    </row>
    <row r="238" ht="15" customHeight="1" s="38">
      <c r="A238" s="80">
        <f>'Blind Scoring Sheet'!A238</f>
        <v/>
      </c>
      <c r="B238" s="80">
        <f>MID(INDEX('Anonymization Key'!$B$4:$B$1003,MATCH(A238,'Anonymization Key'!$A$4:$A$1003,0)),3,2)</f>
        <v/>
      </c>
      <c r="C238" s="81">
        <f>IF(ISNUMBER('Blind Scoring Sheet'!B238),'Blind Scoring Sheet'!B238,VALUE(TRIM(LEFT('Blind Scoring Sheet'!B238,FIND("|",'Blind Scoring Sheet'!B238)-1))))</f>
        <v/>
      </c>
      <c r="D238" s="81">
        <f>IF(ISNUMBER('Blind Scoring Sheet'!D238),'Blind Scoring Sheet'!D238,VALUE(TRIM(LEFT('Blind Scoring Sheet'!D238,FIND("|",'Blind Scoring Sheet'!D238)-1))))</f>
        <v/>
      </c>
      <c r="E238" s="81">
        <f>IF(ISNUMBER('Blind Scoring Sheet'!F238),'Blind Scoring Sheet'!F238,VALUE(TRIM(LEFT('Blind Scoring Sheet'!F238,FIND("|",'Blind Scoring Sheet'!F238)-1))))</f>
        <v/>
      </c>
      <c r="F238" s="81">
        <f>IF(ISNUMBER('Blind Scoring Sheet'!H238),'Blind Scoring Sheet'!H238,VALUE(TRIM(LEFT('Blind Scoring Sheet'!H238,FIND("|",'Blind Scoring Sheet'!H238)-1))))</f>
        <v/>
      </c>
      <c r="G238" s="81">
        <f>IF(ISNUMBER('Blind Scoring Sheet'!J238),'Blind Scoring Sheet'!J238,VALUE(TRIM(LEFT('Blind Scoring Sheet'!J238,FIND("|",'Blind Scoring Sheet'!J238)-1))))</f>
        <v/>
      </c>
      <c r="H238" s="80">
        <f>IF(ISNUMBER(SEARCH("|",'Blind Scoring Sheet'!K238)),TRIM(LEFT('Blind Scoring Sheet'!K238,FIND("|",'Blind Scoring Sheet'!K238)-1)),TRIM('Blind Scoring Sheet'!K238))</f>
        <v/>
      </c>
    </row>
    <row r="239" ht="15" customHeight="1" s="38">
      <c r="A239" s="80">
        <f>'Blind Scoring Sheet'!A239</f>
        <v/>
      </c>
      <c r="B239" s="80">
        <f>MID(INDEX('Anonymization Key'!$B$4:$B$1003,MATCH(A239,'Anonymization Key'!$A$4:$A$1003,0)),3,2)</f>
        <v/>
      </c>
      <c r="C239" s="81">
        <f>IF(ISNUMBER('Blind Scoring Sheet'!B239),'Blind Scoring Sheet'!B239,VALUE(TRIM(LEFT('Blind Scoring Sheet'!B239,FIND("|",'Blind Scoring Sheet'!B239)-1))))</f>
        <v/>
      </c>
      <c r="D239" s="81">
        <f>IF(ISNUMBER('Blind Scoring Sheet'!D239),'Blind Scoring Sheet'!D239,VALUE(TRIM(LEFT('Blind Scoring Sheet'!D239,FIND("|",'Blind Scoring Sheet'!D239)-1))))</f>
        <v/>
      </c>
      <c r="E239" s="81">
        <f>IF(ISNUMBER('Blind Scoring Sheet'!F239),'Blind Scoring Sheet'!F239,VALUE(TRIM(LEFT('Blind Scoring Sheet'!F239,FIND("|",'Blind Scoring Sheet'!F239)-1))))</f>
        <v/>
      </c>
      <c r="F239" s="81">
        <f>IF(ISNUMBER('Blind Scoring Sheet'!H239),'Blind Scoring Sheet'!H239,VALUE(TRIM(LEFT('Blind Scoring Sheet'!H239,FIND("|",'Blind Scoring Sheet'!H239)-1))))</f>
        <v/>
      </c>
      <c r="G239" s="81">
        <f>IF(ISNUMBER('Blind Scoring Sheet'!J239),'Blind Scoring Sheet'!J239,VALUE(TRIM(LEFT('Blind Scoring Sheet'!J239,FIND("|",'Blind Scoring Sheet'!J239)-1))))</f>
        <v/>
      </c>
      <c r="H239" s="80">
        <f>IF(ISNUMBER(SEARCH("|",'Blind Scoring Sheet'!K239)),TRIM(LEFT('Blind Scoring Sheet'!K239,FIND("|",'Blind Scoring Sheet'!K239)-1)),TRIM('Blind Scoring Sheet'!K239))</f>
        <v/>
      </c>
    </row>
    <row r="240" ht="15" customHeight="1" s="38">
      <c r="A240" s="80">
        <f>'Blind Scoring Sheet'!A240</f>
        <v/>
      </c>
      <c r="B240" s="80">
        <f>MID(INDEX('Anonymization Key'!$B$4:$B$1003,MATCH(A240,'Anonymization Key'!$A$4:$A$1003,0)),3,2)</f>
        <v/>
      </c>
      <c r="C240" s="81">
        <f>IF(ISNUMBER('Blind Scoring Sheet'!B240),'Blind Scoring Sheet'!B240,VALUE(TRIM(LEFT('Blind Scoring Sheet'!B240,FIND("|",'Blind Scoring Sheet'!B240)-1))))</f>
        <v/>
      </c>
      <c r="D240" s="81">
        <f>IF(ISNUMBER('Blind Scoring Sheet'!D240),'Blind Scoring Sheet'!D240,VALUE(TRIM(LEFT('Blind Scoring Sheet'!D240,FIND("|",'Blind Scoring Sheet'!D240)-1))))</f>
        <v/>
      </c>
      <c r="E240" s="81">
        <f>IF(ISNUMBER('Blind Scoring Sheet'!F240),'Blind Scoring Sheet'!F240,VALUE(TRIM(LEFT('Blind Scoring Sheet'!F240,FIND("|",'Blind Scoring Sheet'!F240)-1))))</f>
        <v/>
      </c>
      <c r="F240" s="81">
        <f>IF(ISNUMBER('Blind Scoring Sheet'!H240),'Blind Scoring Sheet'!H240,VALUE(TRIM(LEFT('Blind Scoring Sheet'!H240,FIND("|",'Blind Scoring Sheet'!H240)-1))))</f>
        <v/>
      </c>
      <c r="G240" s="81">
        <f>IF(ISNUMBER('Blind Scoring Sheet'!J240),'Blind Scoring Sheet'!J240,VALUE(TRIM(LEFT('Blind Scoring Sheet'!J240,FIND("|",'Blind Scoring Sheet'!J240)-1))))</f>
        <v/>
      </c>
      <c r="H240" s="80">
        <f>IF(ISNUMBER(SEARCH("|",'Blind Scoring Sheet'!K240)),TRIM(LEFT('Blind Scoring Sheet'!K240,FIND("|",'Blind Scoring Sheet'!K240)-1)),TRIM('Blind Scoring Sheet'!K240))</f>
        <v/>
      </c>
    </row>
    <row r="241" ht="15" customHeight="1" s="38">
      <c r="A241" s="80">
        <f>'Blind Scoring Sheet'!A241</f>
        <v/>
      </c>
      <c r="B241" s="80">
        <f>MID(INDEX('Anonymization Key'!$B$4:$B$1003,MATCH(A241,'Anonymization Key'!$A$4:$A$1003,0)),3,2)</f>
        <v/>
      </c>
      <c r="C241" s="81">
        <f>IF(ISNUMBER('Blind Scoring Sheet'!B241),'Blind Scoring Sheet'!B241,VALUE(TRIM(LEFT('Blind Scoring Sheet'!B241,FIND("|",'Blind Scoring Sheet'!B241)-1))))</f>
        <v/>
      </c>
      <c r="D241" s="81">
        <f>IF(ISNUMBER('Blind Scoring Sheet'!D241),'Blind Scoring Sheet'!D241,VALUE(TRIM(LEFT('Blind Scoring Sheet'!D241,FIND("|",'Blind Scoring Sheet'!D241)-1))))</f>
        <v/>
      </c>
      <c r="E241" s="81">
        <f>IF(ISNUMBER('Blind Scoring Sheet'!F241),'Blind Scoring Sheet'!F241,VALUE(TRIM(LEFT('Blind Scoring Sheet'!F241,FIND("|",'Blind Scoring Sheet'!F241)-1))))</f>
        <v/>
      </c>
      <c r="F241" s="81">
        <f>IF(ISNUMBER('Blind Scoring Sheet'!H241),'Blind Scoring Sheet'!H241,VALUE(TRIM(LEFT('Blind Scoring Sheet'!H241,FIND("|",'Blind Scoring Sheet'!H241)-1))))</f>
        <v/>
      </c>
      <c r="G241" s="81">
        <f>IF(ISNUMBER('Blind Scoring Sheet'!J241),'Blind Scoring Sheet'!J241,VALUE(TRIM(LEFT('Blind Scoring Sheet'!J241,FIND("|",'Blind Scoring Sheet'!J241)-1))))</f>
        <v/>
      </c>
      <c r="H241" s="80">
        <f>IF(ISNUMBER(SEARCH("|",'Blind Scoring Sheet'!K241)),TRIM(LEFT('Blind Scoring Sheet'!K241,FIND("|",'Blind Scoring Sheet'!K241)-1)),TRIM('Blind Scoring Sheet'!K241))</f>
        <v/>
      </c>
    </row>
    <row r="242" ht="15" customHeight="1" s="38">
      <c r="A242" s="80">
        <f>'Blind Scoring Sheet'!A242</f>
        <v/>
      </c>
      <c r="B242" s="80">
        <f>MID(INDEX('Anonymization Key'!$B$4:$B$1003,MATCH(A242,'Anonymization Key'!$A$4:$A$1003,0)),3,2)</f>
        <v/>
      </c>
      <c r="C242" s="81">
        <f>IF(ISNUMBER('Blind Scoring Sheet'!B242),'Blind Scoring Sheet'!B242,VALUE(TRIM(LEFT('Blind Scoring Sheet'!B242,FIND("|",'Blind Scoring Sheet'!B242)-1))))</f>
        <v/>
      </c>
      <c r="D242" s="81">
        <f>IF(ISNUMBER('Blind Scoring Sheet'!D242),'Blind Scoring Sheet'!D242,VALUE(TRIM(LEFT('Blind Scoring Sheet'!D242,FIND("|",'Blind Scoring Sheet'!D242)-1))))</f>
        <v/>
      </c>
      <c r="E242" s="81">
        <f>IF(ISNUMBER('Blind Scoring Sheet'!F242),'Blind Scoring Sheet'!F242,VALUE(TRIM(LEFT('Blind Scoring Sheet'!F242,FIND("|",'Blind Scoring Sheet'!F242)-1))))</f>
        <v/>
      </c>
      <c r="F242" s="81">
        <f>IF(ISNUMBER('Blind Scoring Sheet'!H242),'Blind Scoring Sheet'!H242,VALUE(TRIM(LEFT('Blind Scoring Sheet'!H242,FIND("|",'Blind Scoring Sheet'!H242)-1))))</f>
        <v/>
      </c>
      <c r="G242" s="81">
        <f>IF(ISNUMBER('Blind Scoring Sheet'!J242),'Blind Scoring Sheet'!J242,VALUE(TRIM(LEFT('Blind Scoring Sheet'!J242,FIND("|",'Blind Scoring Sheet'!J242)-1))))</f>
        <v/>
      </c>
      <c r="H242" s="80">
        <f>IF(ISNUMBER(SEARCH("|",'Blind Scoring Sheet'!K242)),TRIM(LEFT('Blind Scoring Sheet'!K242,FIND("|",'Blind Scoring Sheet'!K242)-1)),TRIM('Blind Scoring Sheet'!K242))</f>
        <v/>
      </c>
    </row>
    <row r="243" ht="15" customHeight="1" s="38">
      <c r="A243" s="80">
        <f>'Blind Scoring Sheet'!A243</f>
        <v/>
      </c>
      <c r="B243" s="80">
        <f>MID(INDEX('Anonymization Key'!$B$4:$B$1003,MATCH(A243,'Anonymization Key'!$A$4:$A$1003,0)),3,2)</f>
        <v/>
      </c>
      <c r="C243" s="81">
        <f>IF(ISNUMBER('Blind Scoring Sheet'!B243),'Blind Scoring Sheet'!B243,VALUE(TRIM(LEFT('Blind Scoring Sheet'!B243,FIND("|",'Blind Scoring Sheet'!B243)-1))))</f>
        <v/>
      </c>
      <c r="D243" s="81">
        <f>IF(ISNUMBER('Blind Scoring Sheet'!D243),'Blind Scoring Sheet'!D243,VALUE(TRIM(LEFT('Blind Scoring Sheet'!D243,FIND("|",'Blind Scoring Sheet'!D243)-1))))</f>
        <v/>
      </c>
      <c r="E243" s="81">
        <f>IF(ISNUMBER('Blind Scoring Sheet'!F243),'Blind Scoring Sheet'!F243,VALUE(TRIM(LEFT('Blind Scoring Sheet'!F243,FIND("|",'Blind Scoring Sheet'!F243)-1))))</f>
        <v/>
      </c>
      <c r="F243" s="81">
        <f>IF(ISNUMBER('Blind Scoring Sheet'!H243),'Blind Scoring Sheet'!H243,VALUE(TRIM(LEFT('Blind Scoring Sheet'!H243,FIND("|",'Blind Scoring Sheet'!H243)-1))))</f>
        <v/>
      </c>
      <c r="G243" s="81">
        <f>IF(ISNUMBER('Blind Scoring Sheet'!J243),'Blind Scoring Sheet'!J243,VALUE(TRIM(LEFT('Blind Scoring Sheet'!J243,FIND("|",'Blind Scoring Sheet'!J243)-1))))</f>
        <v/>
      </c>
      <c r="H243" s="80">
        <f>IF(ISNUMBER(SEARCH("|",'Blind Scoring Sheet'!K243)),TRIM(LEFT('Blind Scoring Sheet'!K243,FIND("|",'Blind Scoring Sheet'!K243)-1)),TRIM('Blind Scoring Sheet'!K243))</f>
        <v/>
      </c>
    </row>
    <row r="244" ht="15" customHeight="1" s="38">
      <c r="A244" s="80">
        <f>'Blind Scoring Sheet'!A244</f>
        <v/>
      </c>
      <c r="B244" s="80">
        <f>MID(INDEX('Anonymization Key'!$B$4:$B$1003,MATCH(A244,'Anonymization Key'!$A$4:$A$1003,0)),3,2)</f>
        <v/>
      </c>
      <c r="C244" s="81">
        <f>IF(ISNUMBER('Blind Scoring Sheet'!B244),'Blind Scoring Sheet'!B244,VALUE(TRIM(LEFT('Blind Scoring Sheet'!B244,FIND("|",'Blind Scoring Sheet'!B244)-1))))</f>
        <v/>
      </c>
      <c r="D244" s="81">
        <f>IF(ISNUMBER('Blind Scoring Sheet'!D244),'Blind Scoring Sheet'!D244,VALUE(TRIM(LEFT('Blind Scoring Sheet'!D244,FIND("|",'Blind Scoring Sheet'!D244)-1))))</f>
        <v/>
      </c>
      <c r="E244" s="81">
        <f>IF(ISNUMBER('Blind Scoring Sheet'!F244),'Blind Scoring Sheet'!F244,VALUE(TRIM(LEFT('Blind Scoring Sheet'!F244,FIND("|",'Blind Scoring Sheet'!F244)-1))))</f>
        <v/>
      </c>
      <c r="F244" s="81">
        <f>IF(ISNUMBER('Blind Scoring Sheet'!H244),'Blind Scoring Sheet'!H244,VALUE(TRIM(LEFT('Blind Scoring Sheet'!H244,FIND("|",'Blind Scoring Sheet'!H244)-1))))</f>
        <v/>
      </c>
      <c r="G244" s="81">
        <f>IF(ISNUMBER('Blind Scoring Sheet'!J244),'Blind Scoring Sheet'!J244,VALUE(TRIM(LEFT('Blind Scoring Sheet'!J244,FIND("|",'Blind Scoring Sheet'!J244)-1))))</f>
        <v/>
      </c>
      <c r="H244" s="80">
        <f>IF(ISNUMBER(SEARCH("|",'Blind Scoring Sheet'!K244)),TRIM(LEFT('Blind Scoring Sheet'!K244,FIND("|",'Blind Scoring Sheet'!K244)-1)),TRIM('Blind Scoring Sheet'!K244))</f>
        <v/>
      </c>
    </row>
    <row r="245" ht="15" customHeight="1" s="38">
      <c r="A245" s="80">
        <f>'Blind Scoring Sheet'!A245</f>
        <v/>
      </c>
      <c r="B245" s="80">
        <f>MID(INDEX('Anonymization Key'!$B$4:$B$1003,MATCH(A245,'Anonymization Key'!$A$4:$A$1003,0)),3,2)</f>
        <v/>
      </c>
      <c r="C245" s="81">
        <f>IF(ISNUMBER('Blind Scoring Sheet'!B245),'Blind Scoring Sheet'!B245,VALUE(TRIM(LEFT('Blind Scoring Sheet'!B245,FIND("|",'Blind Scoring Sheet'!B245)-1))))</f>
        <v/>
      </c>
      <c r="D245" s="81">
        <f>IF(ISNUMBER('Blind Scoring Sheet'!D245),'Blind Scoring Sheet'!D245,VALUE(TRIM(LEFT('Blind Scoring Sheet'!D245,FIND("|",'Blind Scoring Sheet'!D245)-1))))</f>
        <v/>
      </c>
      <c r="E245" s="81">
        <f>IF(ISNUMBER('Blind Scoring Sheet'!F245),'Blind Scoring Sheet'!F245,VALUE(TRIM(LEFT('Blind Scoring Sheet'!F245,FIND("|",'Blind Scoring Sheet'!F245)-1))))</f>
        <v/>
      </c>
      <c r="F245" s="81">
        <f>IF(ISNUMBER('Blind Scoring Sheet'!H245),'Blind Scoring Sheet'!H245,VALUE(TRIM(LEFT('Blind Scoring Sheet'!H245,FIND("|",'Blind Scoring Sheet'!H245)-1))))</f>
        <v/>
      </c>
      <c r="G245" s="81">
        <f>IF(ISNUMBER('Blind Scoring Sheet'!J245),'Blind Scoring Sheet'!J245,VALUE(TRIM(LEFT('Blind Scoring Sheet'!J245,FIND("|",'Blind Scoring Sheet'!J245)-1))))</f>
        <v/>
      </c>
      <c r="H245" s="80">
        <f>IF(ISNUMBER(SEARCH("|",'Blind Scoring Sheet'!K245)),TRIM(LEFT('Blind Scoring Sheet'!K245,FIND("|",'Blind Scoring Sheet'!K245)-1)),TRIM('Blind Scoring Sheet'!K245))</f>
        <v/>
      </c>
    </row>
    <row r="246" ht="15" customHeight="1" s="38">
      <c r="A246" s="80">
        <f>'Blind Scoring Sheet'!A246</f>
        <v/>
      </c>
      <c r="B246" s="80">
        <f>MID(INDEX('Anonymization Key'!$B$4:$B$1003,MATCH(A246,'Anonymization Key'!$A$4:$A$1003,0)),3,2)</f>
        <v/>
      </c>
      <c r="C246" s="81">
        <f>IF(ISNUMBER('Blind Scoring Sheet'!B246),'Blind Scoring Sheet'!B246,VALUE(TRIM(LEFT('Blind Scoring Sheet'!B246,FIND("|",'Blind Scoring Sheet'!B246)-1))))</f>
        <v/>
      </c>
      <c r="D246" s="81">
        <f>IF(ISNUMBER('Blind Scoring Sheet'!D246),'Blind Scoring Sheet'!D246,VALUE(TRIM(LEFT('Blind Scoring Sheet'!D246,FIND("|",'Blind Scoring Sheet'!D246)-1))))</f>
        <v/>
      </c>
      <c r="E246" s="81">
        <f>IF(ISNUMBER('Blind Scoring Sheet'!F246),'Blind Scoring Sheet'!F246,VALUE(TRIM(LEFT('Blind Scoring Sheet'!F246,FIND("|",'Blind Scoring Sheet'!F246)-1))))</f>
        <v/>
      </c>
      <c r="F246" s="81">
        <f>IF(ISNUMBER('Blind Scoring Sheet'!H246),'Blind Scoring Sheet'!H246,VALUE(TRIM(LEFT('Blind Scoring Sheet'!H246,FIND("|",'Blind Scoring Sheet'!H246)-1))))</f>
        <v/>
      </c>
      <c r="G246" s="81">
        <f>IF(ISNUMBER('Blind Scoring Sheet'!J246),'Blind Scoring Sheet'!J246,VALUE(TRIM(LEFT('Blind Scoring Sheet'!J246,FIND("|",'Blind Scoring Sheet'!J246)-1))))</f>
        <v/>
      </c>
      <c r="H246" s="80">
        <f>IF(ISNUMBER(SEARCH("|",'Blind Scoring Sheet'!K246)),TRIM(LEFT('Blind Scoring Sheet'!K246,FIND("|",'Blind Scoring Sheet'!K246)-1)),TRIM('Blind Scoring Sheet'!K246))</f>
        <v/>
      </c>
    </row>
    <row r="247" ht="15" customHeight="1" s="38">
      <c r="A247" s="80">
        <f>'Blind Scoring Sheet'!A247</f>
        <v/>
      </c>
      <c r="B247" s="80">
        <f>MID(INDEX('Anonymization Key'!$B$4:$B$1003,MATCH(A247,'Anonymization Key'!$A$4:$A$1003,0)),3,2)</f>
        <v/>
      </c>
      <c r="C247" s="81">
        <f>IF(ISNUMBER('Blind Scoring Sheet'!B247),'Blind Scoring Sheet'!B247,VALUE(TRIM(LEFT('Blind Scoring Sheet'!B247,FIND("|",'Blind Scoring Sheet'!B247)-1))))</f>
        <v/>
      </c>
      <c r="D247" s="81">
        <f>IF(ISNUMBER('Blind Scoring Sheet'!D247),'Blind Scoring Sheet'!D247,VALUE(TRIM(LEFT('Blind Scoring Sheet'!D247,FIND("|",'Blind Scoring Sheet'!D247)-1))))</f>
        <v/>
      </c>
      <c r="E247" s="81">
        <f>IF(ISNUMBER('Blind Scoring Sheet'!F247),'Blind Scoring Sheet'!F247,VALUE(TRIM(LEFT('Blind Scoring Sheet'!F247,FIND("|",'Blind Scoring Sheet'!F247)-1))))</f>
        <v/>
      </c>
      <c r="F247" s="81">
        <f>IF(ISNUMBER('Blind Scoring Sheet'!H247),'Blind Scoring Sheet'!H247,VALUE(TRIM(LEFT('Blind Scoring Sheet'!H247,FIND("|",'Blind Scoring Sheet'!H247)-1))))</f>
        <v/>
      </c>
      <c r="G247" s="81">
        <f>IF(ISNUMBER('Blind Scoring Sheet'!J247),'Blind Scoring Sheet'!J247,VALUE(TRIM(LEFT('Blind Scoring Sheet'!J247,FIND("|",'Blind Scoring Sheet'!J247)-1))))</f>
        <v/>
      </c>
      <c r="H247" s="80">
        <f>IF(ISNUMBER(SEARCH("|",'Blind Scoring Sheet'!K247)),TRIM(LEFT('Blind Scoring Sheet'!K247,FIND("|",'Blind Scoring Sheet'!K247)-1)),TRIM('Blind Scoring Sheet'!K247))</f>
        <v/>
      </c>
    </row>
    <row r="248" ht="15" customHeight="1" s="38">
      <c r="A248" s="80">
        <f>'Blind Scoring Sheet'!A248</f>
        <v/>
      </c>
      <c r="B248" s="80">
        <f>MID(INDEX('Anonymization Key'!$B$4:$B$1003,MATCH(A248,'Anonymization Key'!$A$4:$A$1003,0)),3,2)</f>
        <v/>
      </c>
      <c r="C248" s="81">
        <f>IF(ISNUMBER('Blind Scoring Sheet'!B248),'Blind Scoring Sheet'!B248,VALUE(TRIM(LEFT('Blind Scoring Sheet'!B248,FIND("|",'Blind Scoring Sheet'!B248)-1))))</f>
        <v/>
      </c>
      <c r="D248" s="81">
        <f>IF(ISNUMBER('Blind Scoring Sheet'!D248),'Blind Scoring Sheet'!D248,VALUE(TRIM(LEFT('Blind Scoring Sheet'!D248,FIND("|",'Blind Scoring Sheet'!D248)-1))))</f>
        <v/>
      </c>
      <c r="E248" s="81">
        <f>IF(ISNUMBER('Blind Scoring Sheet'!F248),'Blind Scoring Sheet'!F248,VALUE(TRIM(LEFT('Blind Scoring Sheet'!F248,FIND("|",'Blind Scoring Sheet'!F248)-1))))</f>
        <v/>
      </c>
      <c r="F248" s="81">
        <f>IF(ISNUMBER('Blind Scoring Sheet'!H248),'Blind Scoring Sheet'!H248,VALUE(TRIM(LEFT('Blind Scoring Sheet'!H248,FIND("|",'Blind Scoring Sheet'!H248)-1))))</f>
        <v/>
      </c>
      <c r="G248" s="81">
        <f>IF(ISNUMBER('Blind Scoring Sheet'!J248),'Blind Scoring Sheet'!J248,VALUE(TRIM(LEFT('Blind Scoring Sheet'!J248,FIND("|",'Blind Scoring Sheet'!J248)-1))))</f>
        <v/>
      </c>
      <c r="H248" s="80">
        <f>IF(ISNUMBER(SEARCH("|",'Blind Scoring Sheet'!K248)),TRIM(LEFT('Blind Scoring Sheet'!K248,FIND("|",'Blind Scoring Sheet'!K248)-1)),TRIM('Blind Scoring Sheet'!K248))</f>
        <v/>
      </c>
    </row>
    <row r="249" ht="15" customHeight="1" s="38">
      <c r="A249" s="80">
        <f>'Blind Scoring Sheet'!A249</f>
        <v/>
      </c>
      <c r="B249" s="80">
        <f>MID(INDEX('Anonymization Key'!$B$4:$B$1003,MATCH(A249,'Anonymization Key'!$A$4:$A$1003,0)),3,2)</f>
        <v/>
      </c>
      <c r="C249" s="81">
        <f>IF(ISNUMBER('Blind Scoring Sheet'!B249),'Blind Scoring Sheet'!B249,VALUE(TRIM(LEFT('Blind Scoring Sheet'!B249,FIND("|",'Blind Scoring Sheet'!B249)-1))))</f>
        <v/>
      </c>
      <c r="D249" s="81">
        <f>IF(ISNUMBER('Blind Scoring Sheet'!D249),'Blind Scoring Sheet'!D249,VALUE(TRIM(LEFT('Blind Scoring Sheet'!D249,FIND("|",'Blind Scoring Sheet'!D249)-1))))</f>
        <v/>
      </c>
      <c r="E249" s="81">
        <f>IF(ISNUMBER('Blind Scoring Sheet'!F249),'Blind Scoring Sheet'!F249,VALUE(TRIM(LEFT('Blind Scoring Sheet'!F249,FIND("|",'Blind Scoring Sheet'!F249)-1))))</f>
        <v/>
      </c>
      <c r="F249" s="81">
        <f>IF(ISNUMBER('Blind Scoring Sheet'!H249),'Blind Scoring Sheet'!H249,VALUE(TRIM(LEFT('Blind Scoring Sheet'!H249,FIND("|",'Blind Scoring Sheet'!H249)-1))))</f>
        <v/>
      </c>
      <c r="G249" s="81">
        <f>IF(ISNUMBER('Blind Scoring Sheet'!J249),'Blind Scoring Sheet'!J249,VALUE(TRIM(LEFT('Blind Scoring Sheet'!J249,FIND("|",'Blind Scoring Sheet'!J249)-1))))</f>
        <v/>
      </c>
      <c r="H249" s="80">
        <f>IF(ISNUMBER(SEARCH("|",'Blind Scoring Sheet'!K249)),TRIM(LEFT('Blind Scoring Sheet'!K249,FIND("|",'Blind Scoring Sheet'!K249)-1)),TRIM('Blind Scoring Sheet'!K249))</f>
        <v/>
      </c>
    </row>
    <row r="250" ht="15" customHeight="1" s="38">
      <c r="A250" s="80">
        <f>'Blind Scoring Sheet'!A250</f>
        <v/>
      </c>
      <c r="B250" s="80">
        <f>MID(INDEX('Anonymization Key'!$B$4:$B$1003,MATCH(A250,'Anonymization Key'!$A$4:$A$1003,0)),3,2)</f>
        <v/>
      </c>
      <c r="C250" s="81">
        <f>IF(ISNUMBER('Blind Scoring Sheet'!B250),'Blind Scoring Sheet'!B250,VALUE(TRIM(LEFT('Blind Scoring Sheet'!B250,FIND("|",'Blind Scoring Sheet'!B250)-1))))</f>
        <v/>
      </c>
      <c r="D250" s="81">
        <f>IF(ISNUMBER('Blind Scoring Sheet'!D250),'Blind Scoring Sheet'!D250,VALUE(TRIM(LEFT('Blind Scoring Sheet'!D250,FIND("|",'Blind Scoring Sheet'!D250)-1))))</f>
        <v/>
      </c>
      <c r="E250" s="81">
        <f>IF(ISNUMBER('Blind Scoring Sheet'!F250),'Blind Scoring Sheet'!F250,VALUE(TRIM(LEFT('Blind Scoring Sheet'!F250,FIND("|",'Blind Scoring Sheet'!F250)-1))))</f>
        <v/>
      </c>
      <c r="F250" s="81">
        <f>IF(ISNUMBER('Blind Scoring Sheet'!H250),'Blind Scoring Sheet'!H250,VALUE(TRIM(LEFT('Blind Scoring Sheet'!H250,FIND("|",'Blind Scoring Sheet'!H250)-1))))</f>
        <v/>
      </c>
      <c r="G250" s="81">
        <f>IF(ISNUMBER('Blind Scoring Sheet'!J250),'Blind Scoring Sheet'!J250,VALUE(TRIM(LEFT('Blind Scoring Sheet'!J250,FIND("|",'Blind Scoring Sheet'!J250)-1))))</f>
        <v/>
      </c>
      <c r="H250" s="80">
        <f>IF(ISNUMBER(SEARCH("|",'Blind Scoring Sheet'!K250)),TRIM(LEFT('Blind Scoring Sheet'!K250,FIND("|",'Blind Scoring Sheet'!K250)-1)),TRIM('Blind Scoring Sheet'!K250))</f>
        <v/>
      </c>
    </row>
    <row r="251" ht="15" customHeight="1" s="38">
      <c r="A251" s="80">
        <f>'Blind Scoring Sheet'!A251</f>
        <v/>
      </c>
      <c r="B251" s="80">
        <f>MID(INDEX('Anonymization Key'!$B$4:$B$1003,MATCH(A251,'Anonymization Key'!$A$4:$A$1003,0)),3,2)</f>
        <v/>
      </c>
      <c r="C251" s="81">
        <f>IF(ISNUMBER('Blind Scoring Sheet'!B251),'Blind Scoring Sheet'!B251,VALUE(TRIM(LEFT('Blind Scoring Sheet'!B251,FIND("|",'Blind Scoring Sheet'!B251)-1))))</f>
        <v/>
      </c>
      <c r="D251" s="81">
        <f>IF(ISNUMBER('Blind Scoring Sheet'!D251),'Blind Scoring Sheet'!D251,VALUE(TRIM(LEFT('Blind Scoring Sheet'!D251,FIND("|",'Blind Scoring Sheet'!D251)-1))))</f>
        <v/>
      </c>
      <c r="E251" s="81">
        <f>IF(ISNUMBER('Blind Scoring Sheet'!F251),'Blind Scoring Sheet'!F251,VALUE(TRIM(LEFT('Blind Scoring Sheet'!F251,FIND("|",'Blind Scoring Sheet'!F251)-1))))</f>
        <v/>
      </c>
      <c r="F251" s="81">
        <f>IF(ISNUMBER('Blind Scoring Sheet'!H251),'Blind Scoring Sheet'!H251,VALUE(TRIM(LEFT('Blind Scoring Sheet'!H251,FIND("|",'Blind Scoring Sheet'!H251)-1))))</f>
        <v/>
      </c>
      <c r="G251" s="81">
        <f>IF(ISNUMBER('Blind Scoring Sheet'!J251),'Blind Scoring Sheet'!J251,VALUE(TRIM(LEFT('Blind Scoring Sheet'!J251,FIND("|",'Blind Scoring Sheet'!J251)-1))))</f>
        <v/>
      </c>
      <c r="H251" s="80">
        <f>IF(ISNUMBER(SEARCH("|",'Blind Scoring Sheet'!K251)),TRIM(LEFT('Blind Scoring Sheet'!K251,FIND("|",'Blind Scoring Sheet'!K251)-1)),TRIM('Blind Scoring Sheet'!K251))</f>
        <v/>
      </c>
    </row>
    <row r="252" ht="15" customHeight="1" s="38">
      <c r="A252" s="80">
        <f>'Blind Scoring Sheet'!A252</f>
        <v/>
      </c>
      <c r="B252" s="80">
        <f>MID(INDEX('Anonymization Key'!$B$4:$B$1003,MATCH(A252,'Anonymization Key'!$A$4:$A$1003,0)),3,2)</f>
        <v/>
      </c>
      <c r="C252" s="81">
        <f>IF(ISNUMBER('Blind Scoring Sheet'!B252),'Blind Scoring Sheet'!B252,VALUE(TRIM(LEFT('Blind Scoring Sheet'!B252,FIND("|",'Blind Scoring Sheet'!B252)-1))))</f>
        <v/>
      </c>
      <c r="D252" s="81">
        <f>IF(ISNUMBER('Blind Scoring Sheet'!D252),'Blind Scoring Sheet'!D252,VALUE(TRIM(LEFT('Blind Scoring Sheet'!D252,FIND("|",'Blind Scoring Sheet'!D252)-1))))</f>
        <v/>
      </c>
      <c r="E252" s="81">
        <f>IF(ISNUMBER('Blind Scoring Sheet'!F252),'Blind Scoring Sheet'!F252,VALUE(TRIM(LEFT('Blind Scoring Sheet'!F252,FIND("|",'Blind Scoring Sheet'!F252)-1))))</f>
        <v/>
      </c>
      <c r="F252" s="81">
        <f>IF(ISNUMBER('Blind Scoring Sheet'!H252),'Blind Scoring Sheet'!H252,VALUE(TRIM(LEFT('Blind Scoring Sheet'!H252,FIND("|",'Blind Scoring Sheet'!H252)-1))))</f>
        <v/>
      </c>
      <c r="G252" s="81">
        <f>IF(ISNUMBER('Blind Scoring Sheet'!J252),'Blind Scoring Sheet'!J252,VALUE(TRIM(LEFT('Blind Scoring Sheet'!J252,FIND("|",'Blind Scoring Sheet'!J252)-1))))</f>
        <v/>
      </c>
      <c r="H252" s="80">
        <f>IF(ISNUMBER(SEARCH("|",'Blind Scoring Sheet'!K252)),TRIM(LEFT('Blind Scoring Sheet'!K252,FIND("|",'Blind Scoring Sheet'!K252)-1)),TRIM('Blind Scoring Sheet'!K252))</f>
        <v/>
      </c>
    </row>
    <row r="253" ht="15" customHeight="1" s="38">
      <c r="A253" s="80">
        <f>'Blind Scoring Sheet'!A253</f>
        <v/>
      </c>
      <c r="B253" s="80">
        <f>MID(INDEX('Anonymization Key'!$B$4:$B$1003,MATCH(A253,'Anonymization Key'!$A$4:$A$1003,0)),3,2)</f>
        <v/>
      </c>
      <c r="C253" s="81">
        <f>IF(ISNUMBER('Blind Scoring Sheet'!B253),'Blind Scoring Sheet'!B253,VALUE(TRIM(LEFT('Blind Scoring Sheet'!B253,FIND("|",'Blind Scoring Sheet'!B253)-1))))</f>
        <v/>
      </c>
      <c r="D253" s="81">
        <f>IF(ISNUMBER('Blind Scoring Sheet'!D253),'Blind Scoring Sheet'!D253,VALUE(TRIM(LEFT('Blind Scoring Sheet'!D253,FIND("|",'Blind Scoring Sheet'!D253)-1))))</f>
        <v/>
      </c>
      <c r="E253" s="81">
        <f>IF(ISNUMBER('Blind Scoring Sheet'!F253),'Blind Scoring Sheet'!F253,VALUE(TRIM(LEFT('Blind Scoring Sheet'!F253,FIND("|",'Blind Scoring Sheet'!F253)-1))))</f>
        <v/>
      </c>
      <c r="F253" s="81">
        <f>IF(ISNUMBER('Blind Scoring Sheet'!H253),'Blind Scoring Sheet'!H253,VALUE(TRIM(LEFT('Blind Scoring Sheet'!H253,FIND("|",'Blind Scoring Sheet'!H253)-1))))</f>
        <v/>
      </c>
      <c r="G253" s="81">
        <f>IF(ISNUMBER('Blind Scoring Sheet'!J253),'Blind Scoring Sheet'!J253,VALUE(TRIM(LEFT('Blind Scoring Sheet'!J253,FIND("|",'Blind Scoring Sheet'!J253)-1))))</f>
        <v/>
      </c>
      <c r="H253" s="80">
        <f>IF(ISNUMBER(SEARCH("|",'Blind Scoring Sheet'!K253)),TRIM(LEFT('Blind Scoring Sheet'!K253,FIND("|",'Blind Scoring Sheet'!K253)-1)),TRIM('Blind Scoring Sheet'!K253))</f>
        <v/>
      </c>
    </row>
    <row r="254" ht="15" customHeight="1" s="38">
      <c r="A254" s="80">
        <f>'Blind Scoring Sheet'!A254</f>
        <v/>
      </c>
      <c r="B254" s="80">
        <f>MID(INDEX('Anonymization Key'!$B$4:$B$1003,MATCH(A254,'Anonymization Key'!$A$4:$A$1003,0)),3,2)</f>
        <v/>
      </c>
      <c r="C254" s="81">
        <f>IF(ISNUMBER('Blind Scoring Sheet'!B254),'Blind Scoring Sheet'!B254,VALUE(TRIM(LEFT('Blind Scoring Sheet'!B254,FIND("|",'Blind Scoring Sheet'!B254)-1))))</f>
        <v/>
      </c>
      <c r="D254" s="81">
        <f>IF(ISNUMBER('Blind Scoring Sheet'!D254),'Blind Scoring Sheet'!D254,VALUE(TRIM(LEFT('Blind Scoring Sheet'!D254,FIND("|",'Blind Scoring Sheet'!D254)-1))))</f>
        <v/>
      </c>
      <c r="E254" s="81">
        <f>IF(ISNUMBER('Blind Scoring Sheet'!F254),'Blind Scoring Sheet'!F254,VALUE(TRIM(LEFT('Blind Scoring Sheet'!F254,FIND("|",'Blind Scoring Sheet'!F254)-1))))</f>
        <v/>
      </c>
      <c r="F254" s="81">
        <f>IF(ISNUMBER('Blind Scoring Sheet'!H254),'Blind Scoring Sheet'!H254,VALUE(TRIM(LEFT('Blind Scoring Sheet'!H254,FIND("|",'Blind Scoring Sheet'!H254)-1))))</f>
        <v/>
      </c>
      <c r="G254" s="81">
        <f>IF(ISNUMBER('Blind Scoring Sheet'!J254),'Blind Scoring Sheet'!J254,VALUE(TRIM(LEFT('Blind Scoring Sheet'!J254,FIND("|",'Blind Scoring Sheet'!J254)-1))))</f>
        <v/>
      </c>
      <c r="H254" s="80">
        <f>IF(ISNUMBER(SEARCH("|",'Blind Scoring Sheet'!K254)),TRIM(LEFT('Blind Scoring Sheet'!K254,FIND("|",'Blind Scoring Sheet'!K254)-1)),TRIM('Blind Scoring Sheet'!K254))</f>
        <v/>
      </c>
    </row>
    <row r="255" ht="15" customHeight="1" s="38">
      <c r="A255" s="80">
        <f>'Blind Scoring Sheet'!A255</f>
        <v/>
      </c>
      <c r="B255" s="80">
        <f>MID(INDEX('Anonymization Key'!$B$4:$B$1003,MATCH(A255,'Anonymization Key'!$A$4:$A$1003,0)),3,2)</f>
        <v/>
      </c>
      <c r="C255" s="81">
        <f>IF(ISNUMBER('Blind Scoring Sheet'!B255),'Blind Scoring Sheet'!B255,VALUE(TRIM(LEFT('Blind Scoring Sheet'!B255,FIND("|",'Blind Scoring Sheet'!B255)-1))))</f>
        <v/>
      </c>
      <c r="D255" s="81">
        <f>IF(ISNUMBER('Blind Scoring Sheet'!D255),'Blind Scoring Sheet'!D255,VALUE(TRIM(LEFT('Blind Scoring Sheet'!D255,FIND("|",'Blind Scoring Sheet'!D255)-1))))</f>
        <v/>
      </c>
      <c r="E255" s="81">
        <f>IF(ISNUMBER('Blind Scoring Sheet'!F255),'Blind Scoring Sheet'!F255,VALUE(TRIM(LEFT('Blind Scoring Sheet'!F255,FIND("|",'Blind Scoring Sheet'!F255)-1))))</f>
        <v/>
      </c>
      <c r="F255" s="81">
        <f>IF(ISNUMBER('Blind Scoring Sheet'!H255),'Blind Scoring Sheet'!H255,VALUE(TRIM(LEFT('Blind Scoring Sheet'!H255,FIND("|",'Blind Scoring Sheet'!H255)-1))))</f>
        <v/>
      </c>
      <c r="G255" s="81">
        <f>IF(ISNUMBER('Blind Scoring Sheet'!J255),'Blind Scoring Sheet'!J255,VALUE(TRIM(LEFT('Blind Scoring Sheet'!J255,FIND("|",'Blind Scoring Sheet'!J255)-1))))</f>
        <v/>
      </c>
      <c r="H255" s="80">
        <f>IF(ISNUMBER(SEARCH("|",'Blind Scoring Sheet'!K255)),TRIM(LEFT('Blind Scoring Sheet'!K255,FIND("|",'Blind Scoring Sheet'!K255)-1)),TRIM('Blind Scoring Sheet'!K255))</f>
        <v/>
      </c>
    </row>
    <row r="256" ht="15" customHeight="1" s="38">
      <c r="A256" s="80">
        <f>'Blind Scoring Sheet'!A256</f>
        <v/>
      </c>
      <c r="B256" s="80">
        <f>MID(INDEX('Anonymization Key'!$B$4:$B$1003,MATCH(A256,'Anonymization Key'!$A$4:$A$1003,0)),3,2)</f>
        <v/>
      </c>
      <c r="C256" s="81">
        <f>IF(ISNUMBER('Blind Scoring Sheet'!B256),'Blind Scoring Sheet'!B256,VALUE(TRIM(LEFT('Blind Scoring Sheet'!B256,FIND("|",'Blind Scoring Sheet'!B256)-1))))</f>
        <v/>
      </c>
      <c r="D256" s="81">
        <f>IF(ISNUMBER('Blind Scoring Sheet'!D256),'Blind Scoring Sheet'!D256,VALUE(TRIM(LEFT('Blind Scoring Sheet'!D256,FIND("|",'Blind Scoring Sheet'!D256)-1))))</f>
        <v/>
      </c>
      <c r="E256" s="81">
        <f>IF(ISNUMBER('Blind Scoring Sheet'!F256),'Blind Scoring Sheet'!F256,VALUE(TRIM(LEFT('Blind Scoring Sheet'!F256,FIND("|",'Blind Scoring Sheet'!F256)-1))))</f>
        <v/>
      </c>
      <c r="F256" s="81">
        <f>IF(ISNUMBER('Blind Scoring Sheet'!H256),'Blind Scoring Sheet'!H256,VALUE(TRIM(LEFT('Blind Scoring Sheet'!H256,FIND("|",'Blind Scoring Sheet'!H256)-1))))</f>
        <v/>
      </c>
      <c r="G256" s="81">
        <f>IF(ISNUMBER('Blind Scoring Sheet'!J256),'Blind Scoring Sheet'!J256,VALUE(TRIM(LEFT('Blind Scoring Sheet'!J256,FIND("|",'Blind Scoring Sheet'!J256)-1))))</f>
        <v/>
      </c>
      <c r="H256" s="80">
        <f>IF(ISNUMBER(SEARCH("|",'Blind Scoring Sheet'!K256)),TRIM(LEFT('Blind Scoring Sheet'!K256,FIND("|",'Blind Scoring Sheet'!K256)-1)),TRIM('Blind Scoring Sheet'!K256))</f>
        <v/>
      </c>
    </row>
    <row r="257" ht="15" customHeight="1" s="38">
      <c r="A257" s="80">
        <f>'Blind Scoring Sheet'!A257</f>
        <v/>
      </c>
      <c r="B257" s="80">
        <f>MID(INDEX('Anonymization Key'!$B$4:$B$1003,MATCH(A257,'Anonymization Key'!$A$4:$A$1003,0)),3,2)</f>
        <v/>
      </c>
      <c r="C257" s="81">
        <f>IF(ISNUMBER('Blind Scoring Sheet'!B257),'Blind Scoring Sheet'!B257,VALUE(TRIM(LEFT('Blind Scoring Sheet'!B257,FIND("|",'Blind Scoring Sheet'!B257)-1))))</f>
        <v/>
      </c>
      <c r="D257" s="81">
        <f>IF(ISNUMBER('Blind Scoring Sheet'!D257),'Blind Scoring Sheet'!D257,VALUE(TRIM(LEFT('Blind Scoring Sheet'!D257,FIND("|",'Blind Scoring Sheet'!D257)-1))))</f>
        <v/>
      </c>
      <c r="E257" s="81">
        <f>IF(ISNUMBER('Blind Scoring Sheet'!F257),'Blind Scoring Sheet'!F257,VALUE(TRIM(LEFT('Blind Scoring Sheet'!F257,FIND("|",'Blind Scoring Sheet'!F257)-1))))</f>
        <v/>
      </c>
      <c r="F257" s="81">
        <f>IF(ISNUMBER('Blind Scoring Sheet'!H257),'Blind Scoring Sheet'!H257,VALUE(TRIM(LEFT('Blind Scoring Sheet'!H257,FIND("|",'Blind Scoring Sheet'!H257)-1))))</f>
        <v/>
      </c>
      <c r="G257" s="81">
        <f>IF(ISNUMBER('Blind Scoring Sheet'!J257),'Blind Scoring Sheet'!J257,VALUE(TRIM(LEFT('Blind Scoring Sheet'!J257,FIND("|",'Blind Scoring Sheet'!J257)-1))))</f>
        <v/>
      </c>
      <c r="H257" s="80">
        <f>IF(ISNUMBER(SEARCH("|",'Blind Scoring Sheet'!K257)),TRIM(LEFT('Blind Scoring Sheet'!K257,FIND("|",'Blind Scoring Sheet'!K257)-1)),TRIM('Blind Scoring Sheet'!K257))</f>
        <v/>
      </c>
    </row>
    <row r="258" ht="15" customHeight="1" s="38">
      <c r="A258" s="80">
        <f>'Blind Scoring Sheet'!A258</f>
        <v/>
      </c>
      <c r="B258" s="80">
        <f>MID(INDEX('Anonymization Key'!$B$4:$B$1003,MATCH(A258,'Anonymization Key'!$A$4:$A$1003,0)),3,2)</f>
        <v/>
      </c>
      <c r="C258" s="81">
        <f>IF(ISNUMBER('Blind Scoring Sheet'!B258),'Blind Scoring Sheet'!B258,VALUE(TRIM(LEFT('Blind Scoring Sheet'!B258,FIND("|",'Blind Scoring Sheet'!B258)-1))))</f>
        <v/>
      </c>
      <c r="D258" s="81">
        <f>IF(ISNUMBER('Blind Scoring Sheet'!D258),'Blind Scoring Sheet'!D258,VALUE(TRIM(LEFT('Blind Scoring Sheet'!D258,FIND("|",'Blind Scoring Sheet'!D258)-1))))</f>
        <v/>
      </c>
      <c r="E258" s="81">
        <f>IF(ISNUMBER('Blind Scoring Sheet'!F258),'Blind Scoring Sheet'!F258,VALUE(TRIM(LEFT('Blind Scoring Sheet'!F258,FIND("|",'Blind Scoring Sheet'!F258)-1))))</f>
        <v/>
      </c>
      <c r="F258" s="81">
        <f>IF(ISNUMBER('Blind Scoring Sheet'!H258),'Blind Scoring Sheet'!H258,VALUE(TRIM(LEFT('Blind Scoring Sheet'!H258,FIND("|",'Blind Scoring Sheet'!H258)-1))))</f>
        <v/>
      </c>
      <c r="G258" s="81">
        <f>IF(ISNUMBER('Blind Scoring Sheet'!J258),'Blind Scoring Sheet'!J258,VALUE(TRIM(LEFT('Blind Scoring Sheet'!J258,FIND("|",'Blind Scoring Sheet'!J258)-1))))</f>
        <v/>
      </c>
      <c r="H258" s="80">
        <f>IF(ISNUMBER(SEARCH("|",'Blind Scoring Sheet'!K258)),TRIM(LEFT('Blind Scoring Sheet'!K258,FIND("|",'Blind Scoring Sheet'!K258)-1)),TRIM('Blind Scoring Sheet'!K258))</f>
        <v/>
      </c>
    </row>
    <row r="259" ht="15" customHeight="1" s="38">
      <c r="A259" s="80">
        <f>'Blind Scoring Sheet'!A259</f>
        <v/>
      </c>
      <c r="B259" s="80">
        <f>MID(INDEX('Anonymization Key'!$B$4:$B$1003,MATCH(A259,'Anonymization Key'!$A$4:$A$1003,0)),3,2)</f>
        <v/>
      </c>
      <c r="C259" s="81">
        <f>IF(ISNUMBER('Blind Scoring Sheet'!B259),'Blind Scoring Sheet'!B259,VALUE(TRIM(LEFT('Blind Scoring Sheet'!B259,FIND("|",'Blind Scoring Sheet'!B259)-1))))</f>
        <v/>
      </c>
      <c r="D259" s="81">
        <f>IF(ISNUMBER('Blind Scoring Sheet'!D259),'Blind Scoring Sheet'!D259,VALUE(TRIM(LEFT('Blind Scoring Sheet'!D259,FIND("|",'Blind Scoring Sheet'!D259)-1))))</f>
        <v/>
      </c>
      <c r="E259" s="81">
        <f>IF(ISNUMBER('Blind Scoring Sheet'!F259),'Blind Scoring Sheet'!F259,VALUE(TRIM(LEFT('Blind Scoring Sheet'!F259,FIND("|",'Blind Scoring Sheet'!F259)-1))))</f>
        <v/>
      </c>
      <c r="F259" s="81">
        <f>IF(ISNUMBER('Blind Scoring Sheet'!H259),'Blind Scoring Sheet'!H259,VALUE(TRIM(LEFT('Blind Scoring Sheet'!H259,FIND("|",'Blind Scoring Sheet'!H259)-1))))</f>
        <v/>
      </c>
      <c r="G259" s="81">
        <f>IF(ISNUMBER('Blind Scoring Sheet'!J259),'Blind Scoring Sheet'!J259,VALUE(TRIM(LEFT('Blind Scoring Sheet'!J259,FIND("|",'Blind Scoring Sheet'!J259)-1))))</f>
        <v/>
      </c>
      <c r="H259" s="80">
        <f>IF(ISNUMBER(SEARCH("|",'Blind Scoring Sheet'!K259)),TRIM(LEFT('Blind Scoring Sheet'!K259,FIND("|",'Blind Scoring Sheet'!K259)-1)),TRIM('Blind Scoring Sheet'!K259))</f>
        <v/>
      </c>
    </row>
    <row r="260" ht="15" customHeight="1" s="38">
      <c r="A260" s="80">
        <f>'Blind Scoring Sheet'!A260</f>
        <v/>
      </c>
      <c r="B260" s="80">
        <f>MID(INDEX('Anonymization Key'!$B$4:$B$1003,MATCH(A260,'Anonymization Key'!$A$4:$A$1003,0)),3,2)</f>
        <v/>
      </c>
      <c r="C260" s="81">
        <f>IF(ISNUMBER('Blind Scoring Sheet'!B260),'Blind Scoring Sheet'!B260,VALUE(TRIM(LEFT('Blind Scoring Sheet'!B260,FIND("|",'Blind Scoring Sheet'!B260)-1))))</f>
        <v/>
      </c>
      <c r="D260" s="81">
        <f>IF(ISNUMBER('Blind Scoring Sheet'!D260),'Blind Scoring Sheet'!D260,VALUE(TRIM(LEFT('Blind Scoring Sheet'!D260,FIND("|",'Blind Scoring Sheet'!D260)-1))))</f>
        <v/>
      </c>
      <c r="E260" s="81">
        <f>IF(ISNUMBER('Blind Scoring Sheet'!F260),'Blind Scoring Sheet'!F260,VALUE(TRIM(LEFT('Blind Scoring Sheet'!F260,FIND("|",'Blind Scoring Sheet'!F260)-1))))</f>
        <v/>
      </c>
      <c r="F260" s="81">
        <f>IF(ISNUMBER('Blind Scoring Sheet'!H260),'Blind Scoring Sheet'!H260,VALUE(TRIM(LEFT('Blind Scoring Sheet'!H260,FIND("|",'Blind Scoring Sheet'!H260)-1))))</f>
        <v/>
      </c>
      <c r="G260" s="81">
        <f>IF(ISNUMBER('Blind Scoring Sheet'!J260),'Blind Scoring Sheet'!J260,VALUE(TRIM(LEFT('Blind Scoring Sheet'!J260,FIND("|",'Blind Scoring Sheet'!J260)-1))))</f>
        <v/>
      </c>
      <c r="H260" s="80">
        <f>IF(ISNUMBER(SEARCH("|",'Blind Scoring Sheet'!K260)),TRIM(LEFT('Blind Scoring Sheet'!K260,FIND("|",'Blind Scoring Sheet'!K260)-1)),TRIM('Blind Scoring Sheet'!K260))</f>
        <v/>
      </c>
    </row>
    <row r="261" ht="15" customHeight="1" s="38">
      <c r="A261" s="80">
        <f>'Blind Scoring Sheet'!A261</f>
        <v/>
      </c>
      <c r="B261" s="80">
        <f>MID(INDEX('Anonymization Key'!$B$4:$B$1003,MATCH(A261,'Anonymization Key'!$A$4:$A$1003,0)),3,2)</f>
        <v/>
      </c>
      <c r="C261" s="81">
        <f>IF(ISNUMBER('Blind Scoring Sheet'!B261),'Blind Scoring Sheet'!B261,VALUE(TRIM(LEFT('Blind Scoring Sheet'!B261,FIND("|",'Blind Scoring Sheet'!B261)-1))))</f>
        <v/>
      </c>
      <c r="D261" s="81">
        <f>IF(ISNUMBER('Blind Scoring Sheet'!D261),'Blind Scoring Sheet'!D261,VALUE(TRIM(LEFT('Blind Scoring Sheet'!D261,FIND("|",'Blind Scoring Sheet'!D261)-1))))</f>
        <v/>
      </c>
      <c r="E261" s="81">
        <f>IF(ISNUMBER('Blind Scoring Sheet'!F261),'Blind Scoring Sheet'!F261,VALUE(TRIM(LEFT('Blind Scoring Sheet'!F261,FIND("|",'Blind Scoring Sheet'!F261)-1))))</f>
        <v/>
      </c>
      <c r="F261" s="81">
        <f>IF(ISNUMBER('Blind Scoring Sheet'!H261),'Blind Scoring Sheet'!H261,VALUE(TRIM(LEFT('Blind Scoring Sheet'!H261,FIND("|",'Blind Scoring Sheet'!H261)-1))))</f>
        <v/>
      </c>
      <c r="G261" s="81">
        <f>IF(ISNUMBER('Blind Scoring Sheet'!J261),'Blind Scoring Sheet'!J261,VALUE(TRIM(LEFT('Blind Scoring Sheet'!J261,FIND("|",'Blind Scoring Sheet'!J261)-1))))</f>
        <v/>
      </c>
      <c r="H261" s="80">
        <f>IF(ISNUMBER(SEARCH("|",'Blind Scoring Sheet'!K261)),TRIM(LEFT('Blind Scoring Sheet'!K261,FIND("|",'Blind Scoring Sheet'!K261)-1)),TRIM('Blind Scoring Sheet'!K261))</f>
        <v/>
      </c>
    </row>
    <row r="262" ht="15" customHeight="1" s="38">
      <c r="A262" s="80">
        <f>'Blind Scoring Sheet'!A262</f>
        <v/>
      </c>
      <c r="B262" s="80">
        <f>MID(INDEX('Anonymization Key'!$B$4:$B$1003,MATCH(A262,'Anonymization Key'!$A$4:$A$1003,0)),3,2)</f>
        <v/>
      </c>
      <c r="C262" s="81">
        <f>IF(ISNUMBER('Blind Scoring Sheet'!B262),'Blind Scoring Sheet'!B262,VALUE(TRIM(LEFT('Blind Scoring Sheet'!B262,FIND("|",'Blind Scoring Sheet'!B262)-1))))</f>
        <v/>
      </c>
      <c r="D262" s="81">
        <f>IF(ISNUMBER('Blind Scoring Sheet'!D262),'Blind Scoring Sheet'!D262,VALUE(TRIM(LEFT('Blind Scoring Sheet'!D262,FIND("|",'Blind Scoring Sheet'!D262)-1))))</f>
        <v/>
      </c>
      <c r="E262" s="81">
        <f>IF(ISNUMBER('Blind Scoring Sheet'!F262),'Blind Scoring Sheet'!F262,VALUE(TRIM(LEFT('Blind Scoring Sheet'!F262,FIND("|",'Blind Scoring Sheet'!F262)-1))))</f>
        <v/>
      </c>
      <c r="F262" s="81">
        <f>IF(ISNUMBER('Blind Scoring Sheet'!H262),'Blind Scoring Sheet'!H262,VALUE(TRIM(LEFT('Blind Scoring Sheet'!H262,FIND("|",'Blind Scoring Sheet'!H262)-1))))</f>
        <v/>
      </c>
      <c r="G262" s="81">
        <f>IF(ISNUMBER('Blind Scoring Sheet'!J262),'Blind Scoring Sheet'!J262,VALUE(TRIM(LEFT('Blind Scoring Sheet'!J262,FIND("|",'Blind Scoring Sheet'!J262)-1))))</f>
        <v/>
      </c>
      <c r="H262" s="80">
        <f>IF(ISNUMBER(SEARCH("|",'Blind Scoring Sheet'!K262)),TRIM(LEFT('Blind Scoring Sheet'!K262,FIND("|",'Blind Scoring Sheet'!K262)-1)),TRIM('Blind Scoring Sheet'!K262))</f>
        <v/>
      </c>
    </row>
    <row r="263" ht="15" customHeight="1" s="38">
      <c r="A263" s="80">
        <f>'Blind Scoring Sheet'!A263</f>
        <v/>
      </c>
      <c r="B263" s="80">
        <f>MID(INDEX('Anonymization Key'!$B$4:$B$1003,MATCH(A263,'Anonymization Key'!$A$4:$A$1003,0)),3,2)</f>
        <v/>
      </c>
      <c r="C263" s="81">
        <f>IF(ISNUMBER('Blind Scoring Sheet'!B263),'Blind Scoring Sheet'!B263,VALUE(TRIM(LEFT('Blind Scoring Sheet'!B263,FIND("|",'Blind Scoring Sheet'!B263)-1))))</f>
        <v/>
      </c>
      <c r="D263" s="81">
        <f>IF(ISNUMBER('Blind Scoring Sheet'!D263),'Blind Scoring Sheet'!D263,VALUE(TRIM(LEFT('Blind Scoring Sheet'!D263,FIND("|",'Blind Scoring Sheet'!D263)-1))))</f>
        <v/>
      </c>
      <c r="E263" s="81">
        <f>IF(ISNUMBER('Blind Scoring Sheet'!F263),'Blind Scoring Sheet'!F263,VALUE(TRIM(LEFT('Blind Scoring Sheet'!F263,FIND("|",'Blind Scoring Sheet'!F263)-1))))</f>
        <v/>
      </c>
      <c r="F263" s="81">
        <f>IF(ISNUMBER('Blind Scoring Sheet'!H263),'Blind Scoring Sheet'!H263,VALUE(TRIM(LEFT('Blind Scoring Sheet'!H263,FIND("|",'Blind Scoring Sheet'!H263)-1))))</f>
        <v/>
      </c>
      <c r="G263" s="81">
        <f>IF(ISNUMBER('Blind Scoring Sheet'!J263),'Blind Scoring Sheet'!J263,VALUE(TRIM(LEFT('Blind Scoring Sheet'!J263,FIND("|",'Blind Scoring Sheet'!J263)-1))))</f>
        <v/>
      </c>
      <c r="H263" s="80">
        <f>IF(ISNUMBER(SEARCH("|",'Blind Scoring Sheet'!K263)),TRIM(LEFT('Blind Scoring Sheet'!K263,FIND("|",'Blind Scoring Sheet'!K263)-1)),TRIM('Blind Scoring Sheet'!K263))</f>
        <v/>
      </c>
    </row>
    <row r="264" ht="15" customHeight="1" s="38">
      <c r="A264" s="80">
        <f>'Blind Scoring Sheet'!A264</f>
        <v/>
      </c>
      <c r="B264" s="80">
        <f>MID(INDEX('Anonymization Key'!$B$4:$B$1003,MATCH(A264,'Anonymization Key'!$A$4:$A$1003,0)),3,2)</f>
        <v/>
      </c>
      <c r="C264" s="81">
        <f>IF(ISNUMBER('Blind Scoring Sheet'!B264),'Blind Scoring Sheet'!B264,VALUE(TRIM(LEFT('Blind Scoring Sheet'!B264,FIND("|",'Blind Scoring Sheet'!B264)-1))))</f>
        <v/>
      </c>
      <c r="D264" s="81">
        <f>IF(ISNUMBER('Blind Scoring Sheet'!D264),'Blind Scoring Sheet'!D264,VALUE(TRIM(LEFT('Blind Scoring Sheet'!D264,FIND("|",'Blind Scoring Sheet'!D264)-1))))</f>
        <v/>
      </c>
      <c r="E264" s="81">
        <f>IF(ISNUMBER('Blind Scoring Sheet'!F264),'Blind Scoring Sheet'!F264,VALUE(TRIM(LEFT('Blind Scoring Sheet'!F264,FIND("|",'Blind Scoring Sheet'!F264)-1))))</f>
        <v/>
      </c>
      <c r="F264" s="81">
        <f>IF(ISNUMBER('Blind Scoring Sheet'!H264),'Blind Scoring Sheet'!H264,VALUE(TRIM(LEFT('Blind Scoring Sheet'!H264,FIND("|",'Blind Scoring Sheet'!H264)-1))))</f>
        <v/>
      </c>
      <c r="G264" s="81">
        <f>IF(ISNUMBER('Blind Scoring Sheet'!J264),'Blind Scoring Sheet'!J264,VALUE(TRIM(LEFT('Blind Scoring Sheet'!J264,FIND("|",'Blind Scoring Sheet'!J264)-1))))</f>
        <v/>
      </c>
      <c r="H264" s="80">
        <f>IF(ISNUMBER(SEARCH("|",'Blind Scoring Sheet'!K264)),TRIM(LEFT('Blind Scoring Sheet'!K264,FIND("|",'Blind Scoring Sheet'!K264)-1)),TRIM('Blind Scoring Sheet'!K264))</f>
        <v/>
      </c>
    </row>
    <row r="265" ht="15" customHeight="1" s="38">
      <c r="A265" s="80">
        <f>'Blind Scoring Sheet'!A265</f>
        <v/>
      </c>
      <c r="B265" s="80">
        <f>MID(INDEX('Anonymization Key'!$B$4:$B$1003,MATCH(A265,'Anonymization Key'!$A$4:$A$1003,0)),3,2)</f>
        <v/>
      </c>
      <c r="C265" s="81">
        <f>IF(ISNUMBER('Blind Scoring Sheet'!B265),'Blind Scoring Sheet'!B265,VALUE(TRIM(LEFT('Blind Scoring Sheet'!B265,FIND("|",'Blind Scoring Sheet'!B265)-1))))</f>
        <v/>
      </c>
      <c r="D265" s="81">
        <f>IF(ISNUMBER('Blind Scoring Sheet'!D265),'Blind Scoring Sheet'!D265,VALUE(TRIM(LEFT('Blind Scoring Sheet'!D265,FIND("|",'Blind Scoring Sheet'!D265)-1))))</f>
        <v/>
      </c>
      <c r="E265" s="81">
        <f>IF(ISNUMBER('Blind Scoring Sheet'!F265),'Blind Scoring Sheet'!F265,VALUE(TRIM(LEFT('Blind Scoring Sheet'!F265,FIND("|",'Blind Scoring Sheet'!F265)-1))))</f>
        <v/>
      </c>
      <c r="F265" s="81">
        <f>IF(ISNUMBER('Blind Scoring Sheet'!H265),'Blind Scoring Sheet'!H265,VALUE(TRIM(LEFT('Blind Scoring Sheet'!H265,FIND("|",'Blind Scoring Sheet'!H265)-1))))</f>
        <v/>
      </c>
      <c r="G265" s="81">
        <f>IF(ISNUMBER('Blind Scoring Sheet'!J265),'Blind Scoring Sheet'!J265,VALUE(TRIM(LEFT('Blind Scoring Sheet'!J265,FIND("|",'Blind Scoring Sheet'!J265)-1))))</f>
        <v/>
      </c>
      <c r="H265" s="80">
        <f>IF(ISNUMBER(SEARCH("|",'Blind Scoring Sheet'!K265)),TRIM(LEFT('Blind Scoring Sheet'!K265,FIND("|",'Blind Scoring Sheet'!K265)-1)),TRIM('Blind Scoring Sheet'!K265))</f>
        <v/>
      </c>
    </row>
    <row r="266" ht="15" customHeight="1" s="38">
      <c r="A266" s="80">
        <f>'Blind Scoring Sheet'!A266</f>
        <v/>
      </c>
      <c r="B266" s="80">
        <f>MID(INDEX('Anonymization Key'!$B$4:$B$1003,MATCH(A266,'Anonymization Key'!$A$4:$A$1003,0)),3,2)</f>
        <v/>
      </c>
      <c r="C266" s="81">
        <f>IF(ISNUMBER('Blind Scoring Sheet'!B266),'Blind Scoring Sheet'!B266,VALUE(TRIM(LEFT('Blind Scoring Sheet'!B266,FIND("|",'Blind Scoring Sheet'!B266)-1))))</f>
        <v/>
      </c>
      <c r="D266" s="81">
        <f>IF(ISNUMBER('Blind Scoring Sheet'!D266),'Blind Scoring Sheet'!D266,VALUE(TRIM(LEFT('Blind Scoring Sheet'!D266,FIND("|",'Blind Scoring Sheet'!D266)-1))))</f>
        <v/>
      </c>
      <c r="E266" s="81">
        <f>IF(ISNUMBER('Blind Scoring Sheet'!F266),'Blind Scoring Sheet'!F266,VALUE(TRIM(LEFT('Blind Scoring Sheet'!F266,FIND("|",'Blind Scoring Sheet'!F266)-1))))</f>
        <v/>
      </c>
      <c r="F266" s="81">
        <f>IF(ISNUMBER('Blind Scoring Sheet'!H266),'Blind Scoring Sheet'!H266,VALUE(TRIM(LEFT('Blind Scoring Sheet'!H266,FIND("|",'Blind Scoring Sheet'!H266)-1))))</f>
        <v/>
      </c>
      <c r="G266" s="81">
        <f>IF(ISNUMBER('Blind Scoring Sheet'!J266),'Blind Scoring Sheet'!J266,VALUE(TRIM(LEFT('Blind Scoring Sheet'!J266,FIND("|",'Blind Scoring Sheet'!J266)-1))))</f>
        <v/>
      </c>
      <c r="H266" s="80">
        <f>IF(ISNUMBER(SEARCH("|",'Blind Scoring Sheet'!K266)),TRIM(LEFT('Blind Scoring Sheet'!K266,FIND("|",'Blind Scoring Sheet'!K266)-1)),TRIM('Blind Scoring Sheet'!K266))</f>
        <v/>
      </c>
    </row>
    <row r="267" ht="15" customHeight="1" s="38">
      <c r="A267" s="80">
        <f>'Blind Scoring Sheet'!A267</f>
        <v/>
      </c>
      <c r="B267" s="80">
        <f>MID(INDEX('Anonymization Key'!$B$4:$B$1003,MATCH(A267,'Anonymization Key'!$A$4:$A$1003,0)),3,2)</f>
        <v/>
      </c>
      <c r="C267" s="81">
        <f>IF(ISNUMBER('Blind Scoring Sheet'!B267),'Blind Scoring Sheet'!B267,VALUE(TRIM(LEFT('Blind Scoring Sheet'!B267,FIND("|",'Blind Scoring Sheet'!B267)-1))))</f>
        <v/>
      </c>
      <c r="D267" s="81">
        <f>IF(ISNUMBER('Blind Scoring Sheet'!D267),'Blind Scoring Sheet'!D267,VALUE(TRIM(LEFT('Blind Scoring Sheet'!D267,FIND("|",'Blind Scoring Sheet'!D267)-1))))</f>
        <v/>
      </c>
      <c r="E267" s="81">
        <f>IF(ISNUMBER('Blind Scoring Sheet'!F267),'Blind Scoring Sheet'!F267,VALUE(TRIM(LEFT('Blind Scoring Sheet'!F267,FIND("|",'Blind Scoring Sheet'!F267)-1))))</f>
        <v/>
      </c>
      <c r="F267" s="81">
        <f>IF(ISNUMBER('Blind Scoring Sheet'!H267),'Blind Scoring Sheet'!H267,VALUE(TRIM(LEFT('Blind Scoring Sheet'!H267,FIND("|",'Blind Scoring Sheet'!H267)-1))))</f>
        <v/>
      </c>
      <c r="G267" s="81">
        <f>IF(ISNUMBER('Blind Scoring Sheet'!J267),'Blind Scoring Sheet'!J267,VALUE(TRIM(LEFT('Blind Scoring Sheet'!J267,FIND("|",'Blind Scoring Sheet'!J267)-1))))</f>
        <v/>
      </c>
      <c r="H267" s="80">
        <f>IF(ISNUMBER(SEARCH("|",'Blind Scoring Sheet'!K267)),TRIM(LEFT('Blind Scoring Sheet'!K267,FIND("|",'Blind Scoring Sheet'!K267)-1)),TRIM('Blind Scoring Sheet'!K267))</f>
        <v/>
      </c>
    </row>
    <row r="268" ht="15" customHeight="1" s="38">
      <c r="A268" s="80">
        <f>'Blind Scoring Sheet'!A268</f>
        <v/>
      </c>
      <c r="B268" s="80">
        <f>MID(INDEX('Anonymization Key'!$B$4:$B$1003,MATCH(A268,'Anonymization Key'!$A$4:$A$1003,0)),3,2)</f>
        <v/>
      </c>
      <c r="C268" s="81">
        <f>IF(ISNUMBER('Blind Scoring Sheet'!B268),'Blind Scoring Sheet'!B268,VALUE(TRIM(LEFT('Blind Scoring Sheet'!B268,FIND("|",'Blind Scoring Sheet'!B268)-1))))</f>
        <v/>
      </c>
      <c r="D268" s="81">
        <f>IF(ISNUMBER('Blind Scoring Sheet'!D268),'Blind Scoring Sheet'!D268,VALUE(TRIM(LEFT('Blind Scoring Sheet'!D268,FIND("|",'Blind Scoring Sheet'!D268)-1))))</f>
        <v/>
      </c>
      <c r="E268" s="81">
        <f>IF(ISNUMBER('Blind Scoring Sheet'!F268),'Blind Scoring Sheet'!F268,VALUE(TRIM(LEFT('Blind Scoring Sheet'!F268,FIND("|",'Blind Scoring Sheet'!F268)-1))))</f>
        <v/>
      </c>
      <c r="F268" s="81">
        <f>IF(ISNUMBER('Blind Scoring Sheet'!H268),'Blind Scoring Sheet'!H268,VALUE(TRIM(LEFT('Blind Scoring Sheet'!H268,FIND("|",'Blind Scoring Sheet'!H268)-1))))</f>
        <v/>
      </c>
      <c r="G268" s="81">
        <f>IF(ISNUMBER('Blind Scoring Sheet'!J268),'Blind Scoring Sheet'!J268,VALUE(TRIM(LEFT('Blind Scoring Sheet'!J268,FIND("|",'Blind Scoring Sheet'!J268)-1))))</f>
        <v/>
      </c>
      <c r="H268" s="80">
        <f>IF(ISNUMBER(SEARCH("|",'Blind Scoring Sheet'!K268)),TRIM(LEFT('Blind Scoring Sheet'!K268,FIND("|",'Blind Scoring Sheet'!K268)-1)),TRIM('Blind Scoring Sheet'!K268))</f>
        <v/>
      </c>
    </row>
    <row r="269" ht="15" customHeight="1" s="38">
      <c r="A269" s="80">
        <f>'Blind Scoring Sheet'!A269</f>
        <v/>
      </c>
      <c r="B269" s="80">
        <f>MID(INDEX('Anonymization Key'!$B$4:$B$1003,MATCH(A269,'Anonymization Key'!$A$4:$A$1003,0)),3,2)</f>
        <v/>
      </c>
      <c r="C269" s="81">
        <f>IF(ISNUMBER('Blind Scoring Sheet'!B269),'Blind Scoring Sheet'!B269,VALUE(TRIM(LEFT('Blind Scoring Sheet'!B269,FIND("|",'Blind Scoring Sheet'!B269)-1))))</f>
        <v/>
      </c>
      <c r="D269" s="81">
        <f>IF(ISNUMBER('Blind Scoring Sheet'!D269),'Blind Scoring Sheet'!D269,VALUE(TRIM(LEFT('Blind Scoring Sheet'!D269,FIND("|",'Blind Scoring Sheet'!D269)-1))))</f>
        <v/>
      </c>
      <c r="E269" s="81">
        <f>IF(ISNUMBER('Blind Scoring Sheet'!F269),'Blind Scoring Sheet'!F269,VALUE(TRIM(LEFT('Blind Scoring Sheet'!F269,FIND("|",'Blind Scoring Sheet'!F269)-1))))</f>
        <v/>
      </c>
      <c r="F269" s="81">
        <f>IF(ISNUMBER('Blind Scoring Sheet'!H269),'Blind Scoring Sheet'!H269,VALUE(TRIM(LEFT('Blind Scoring Sheet'!H269,FIND("|",'Blind Scoring Sheet'!H269)-1))))</f>
        <v/>
      </c>
      <c r="G269" s="81">
        <f>IF(ISNUMBER('Blind Scoring Sheet'!J269),'Blind Scoring Sheet'!J269,VALUE(TRIM(LEFT('Blind Scoring Sheet'!J269,FIND("|",'Blind Scoring Sheet'!J269)-1))))</f>
        <v/>
      </c>
      <c r="H269" s="80">
        <f>IF(ISNUMBER(SEARCH("|",'Blind Scoring Sheet'!K269)),TRIM(LEFT('Blind Scoring Sheet'!K269,FIND("|",'Blind Scoring Sheet'!K269)-1)),TRIM('Blind Scoring Sheet'!K269))</f>
        <v/>
      </c>
    </row>
    <row r="270" ht="15" customHeight="1" s="38">
      <c r="A270" s="80">
        <f>'Blind Scoring Sheet'!A270</f>
        <v/>
      </c>
      <c r="B270" s="80">
        <f>MID(INDEX('Anonymization Key'!$B$4:$B$1003,MATCH(A270,'Anonymization Key'!$A$4:$A$1003,0)),3,2)</f>
        <v/>
      </c>
      <c r="C270" s="81">
        <f>IF(ISNUMBER('Blind Scoring Sheet'!B270),'Blind Scoring Sheet'!B270,VALUE(TRIM(LEFT('Blind Scoring Sheet'!B270,FIND("|",'Blind Scoring Sheet'!B270)-1))))</f>
        <v/>
      </c>
      <c r="D270" s="81">
        <f>IF(ISNUMBER('Blind Scoring Sheet'!D270),'Blind Scoring Sheet'!D270,VALUE(TRIM(LEFT('Blind Scoring Sheet'!D270,FIND("|",'Blind Scoring Sheet'!D270)-1))))</f>
        <v/>
      </c>
      <c r="E270" s="81">
        <f>IF(ISNUMBER('Blind Scoring Sheet'!F270),'Blind Scoring Sheet'!F270,VALUE(TRIM(LEFT('Blind Scoring Sheet'!F270,FIND("|",'Blind Scoring Sheet'!F270)-1))))</f>
        <v/>
      </c>
      <c r="F270" s="81">
        <f>IF(ISNUMBER('Blind Scoring Sheet'!H270),'Blind Scoring Sheet'!H270,VALUE(TRIM(LEFT('Blind Scoring Sheet'!H270,FIND("|",'Blind Scoring Sheet'!H270)-1))))</f>
        <v/>
      </c>
      <c r="G270" s="81">
        <f>IF(ISNUMBER('Blind Scoring Sheet'!J270),'Blind Scoring Sheet'!J270,VALUE(TRIM(LEFT('Blind Scoring Sheet'!J270,FIND("|",'Blind Scoring Sheet'!J270)-1))))</f>
        <v/>
      </c>
      <c r="H270" s="80">
        <f>IF(ISNUMBER(SEARCH("|",'Blind Scoring Sheet'!K270)),TRIM(LEFT('Blind Scoring Sheet'!K270,FIND("|",'Blind Scoring Sheet'!K270)-1)),TRIM('Blind Scoring Sheet'!K270))</f>
        <v/>
      </c>
    </row>
    <row r="271" ht="15" customHeight="1" s="38">
      <c r="A271" s="80">
        <f>'Blind Scoring Sheet'!A271</f>
        <v/>
      </c>
      <c r="B271" s="80">
        <f>MID(INDEX('Anonymization Key'!$B$4:$B$1003,MATCH(A271,'Anonymization Key'!$A$4:$A$1003,0)),3,2)</f>
        <v/>
      </c>
      <c r="C271" s="81">
        <f>IF(ISNUMBER('Blind Scoring Sheet'!B271),'Blind Scoring Sheet'!B271,VALUE(TRIM(LEFT('Blind Scoring Sheet'!B271,FIND("|",'Blind Scoring Sheet'!B271)-1))))</f>
        <v/>
      </c>
      <c r="D271" s="81">
        <f>IF(ISNUMBER('Blind Scoring Sheet'!D271),'Blind Scoring Sheet'!D271,VALUE(TRIM(LEFT('Blind Scoring Sheet'!D271,FIND("|",'Blind Scoring Sheet'!D271)-1))))</f>
        <v/>
      </c>
      <c r="E271" s="81">
        <f>IF(ISNUMBER('Blind Scoring Sheet'!F271),'Blind Scoring Sheet'!F271,VALUE(TRIM(LEFT('Blind Scoring Sheet'!F271,FIND("|",'Blind Scoring Sheet'!F271)-1))))</f>
        <v/>
      </c>
      <c r="F271" s="81">
        <f>IF(ISNUMBER('Blind Scoring Sheet'!H271),'Blind Scoring Sheet'!H271,VALUE(TRIM(LEFT('Blind Scoring Sheet'!H271,FIND("|",'Blind Scoring Sheet'!H271)-1))))</f>
        <v/>
      </c>
      <c r="G271" s="81">
        <f>IF(ISNUMBER('Blind Scoring Sheet'!J271),'Blind Scoring Sheet'!J271,VALUE(TRIM(LEFT('Blind Scoring Sheet'!J271,FIND("|",'Blind Scoring Sheet'!J271)-1))))</f>
        <v/>
      </c>
      <c r="H271" s="80">
        <f>IF(ISNUMBER(SEARCH("|",'Blind Scoring Sheet'!K271)),TRIM(LEFT('Blind Scoring Sheet'!K271,FIND("|",'Blind Scoring Sheet'!K271)-1)),TRIM('Blind Scoring Sheet'!K271))</f>
        <v/>
      </c>
    </row>
    <row r="272" ht="15" customHeight="1" s="38">
      <c r="A272" s="80">
        <f>'Blind Scoring Sheet'!A272</f>
        <v/>
      </c>
      <c r="B272" s="80">
        <f>MID(INDEX('Anonymization Key'!$B$4:$B$1003,MATCH(A272,'Anonymization Key'!$A$4:$A$1003,0)),3,2)</f>
        <v/>
      </c>
      <c r="C272" s="81">
        <f>IF(ISNUMBER('Blind Scoring Sheet'!B272),'Blind Scoring Sheet'!B272,VALUE(TRIM(LEFT('Blind Scoring Sheet'!B272,FIND("|",'Blind Scoring Sheet'!B272)-1))))</f>
        <v/>
      </c>
      <c r="D272" s="81">
        <f>IF(ISNUMBER('Blind Scoring Sheet'!D272),'Blind Scoring Sheet'!D272,VALUE(TRIM(LEFT('Blind Scoring Sheet'!D272,FIND("|",'Blind Scoring Sheet'!D272)-1))))</f>
        <v/>
      </c>
      <c r="E272" s="81">
        <f>IF(ISNUMBER('Blind Scoring Sheet'!F272),'Blind Scoring Sheet'!F272,VALUE(TRIM(LEFT('Blind Scoring Sheet'!F272,FIND("|",'Blind Scoring Sheet'!F272)-1))))</f>
        <v/>
      </c>
      <c r="F272" s="81">
        <f>IF(ISNUMBER('Blind Scoring Sheet'!H272),'Blind Scoring Sheet'!H272,VALUE(TRIM(LEFT('Blind Scoring Sheet'!H272,FIND("|",'Blind Scoring Sheet'!H272)-1))))</f>
        <v/>
      </c>
      <c r="G272" s="81">
        <f>IF(ISNUMBER('Blind Scoring Sheet'!J272),'Blind Scoring Sheet'!J272,VALUE(TRIM(LEFT('Blind Scoring Sheet'!J272,FIND("|",'Blind Scoring Sheet'!J272)-1))))</f>
        <v/>
      </c>
      <c r="H272" s="80">
        <f>IF(ISNUMBER(SEARCH("|",'Blind Scoring Sheet'!K272)),TRIM(LEFT('Blind Scoring Sheet'!K272,FIND("|",'Blind Scoring Sheet'!K272)-1)),TRIM('Blind Scoring Sheet'!K272))</f>
        <v/>
      </c>
    </row>
    <row r="273" ht="15" customHeight="1" s="38">
      <c r="A273" s="80">
        <f>'Blind Scoring Sheet'!A273</f>
        <v/>
      </c>
      <c r="B273" s="80">
        <f>MID(INDEX('Anonymization Key'!$B$4:$B$1003,MATCH(A273,'Anonymization Key'!$A$4:$A$1003,0)),3,2)</f>
        <v/>
      </c>
      <c r="C273" s="81">
        <f>IF(ISNUMBER('Blind Scoring Sheet'!B273),'Blind Scoring Sheet'!B273,VALUE(TRIM(LEFT('Blind Scoring Sheet'!B273,FIND("|",'Blind Scoring Sheet'!B273)-1))))</f>
        <v/>
      </c>
      <c r="D273" s="81">
        <f>IF(ISNUMBER('Blind Scoring Sheet'!D273),'Blind Scoring Sheet'!D273,VALUE(TRIM(LEFT('Blind Scoring Sheet'!D273,FIND("|",'Blind Scoring Sheet'!D273)-1))))</f>
        <v/>
      </c>
      <c r="E273" s="81">
        <f>IF(ISNUMBER('Blind Scoring Sheet'!F273),'Blind Scoring Sheet'!F273,VALUE(TRIM(LEFT('Blind Scoring Sheet'!F273,FIND("|",'Blind Scoring Sheet'!F273)-1))))</f>
        <v/>
      </c>
      <c r="F273" s="81">
        <f>IF(ISNUMBER('Blind Scoring Sheet'!H273),'Blind Scoring Sheet'!H273,VALUE(TRIM(LEFT('Blind Scoring Sheet'!H273,FIND("|",'Blind Scoring Sheet'!H273)-1))))</f>
        <v/>
      </c>
      <c r="G273" s="81">
        <f>IF(ISNUMBER('Blind Scoring Sheet'!J273),'Blind Scoring Sheet'!J273,VALUE(TRIM(LEFT('Blind Scoring Sheet'!J273,FIND("|",'Blind Scoring Sheet'!J273)-1))))</f>
        <v/>
      </c>
      <c r="H273" s="80">
        <f>IF(ISNUMBER(SEARCH("|",'Blind Scoring Sheet'!K273)),TRIM(LEFT('Blind Scoring Sheet'!K273,FIND("|",'Blind Scoring Sheet'!K273)-1)),TRIM('Blind Scoring Sheet'!K273))</f>
        <v/>
      </c>
    </row>
    <row r="274" ht="15" customHeight="1" s="38">
      <c r="A274" s="80">
        <f>'Blind Scoring Sheet'!A274</f>
        <v/>
      </c>
      <c r="B274" s="80">
        <f>MID(INDEX('Anonymization Key'!$B$4:$B$1003,MATCH(A274,'Anonymization Key'!$A$4:$A$1003,0)),3,2)</f>
        <v/>
      </c>
      <c r="C274" s="81">
        <f>IF(ISNUMBER('Blind Scoring Sheet'!B274),'Blind Scoring Sheet'!B274,VALUE(TRIM(LEFT('Blind Scoring Sheet'!B274,FIND("|",'Blind Scoring Sheet'!B274)-1))))</f>
        <v/>
      </c>
      <c r="D274" s="81">
        <f>IF(ISNUMBER('Blind Scoring Sheet'!D274),'Blind Scoring Sheet'!D274,VALUE(TRIM(LEFT('Blind Scoring Sheet'!D274,FIND("|",'Blind Scoring Sheet'!D274)-1))))</f>
        <v/>
      </c>
      <c r="E274" s="81">
        <f>IF(ISNUMBER('Blind Scoring Sheet'!F274),'Blind Scoring Sheet'!F274,VALUE(TRIM(LEFT('Blind Scoring Sheet'!F274,FIND("|",'Blind Scoring Sheet'!F274)-1))))</f>
        <v/>
      </c>
      <c r="F274" s="81">
        <f>IF(ISNUMBER('Blind Scoring Sheet'!H274),'Blind Scoring Sheet'!H274,VALUE(TRIM(LEFT('Blind Scoring Sheet'!H274,FIND("|",'Blind Scoring Sheet'!H274)-1))))</f>
        <v/>
      </c>
      <c r="G274" s="81">
        <f>IF(ISNUMBER('Blind Scoring Sheet'!J274),'Blind Scoring Sheet'!J274,VALUE(TRIM(LEFT('Blind Scoring Sheet'!J274,FIND("|",'Blind Scoring Sheet'!J274)-1))))</f>
        <v/>
      </c>
      <c r="H274" s="80">
        <f>IF(ISNUMBER(SEARCH("|",'Blind Scoring Sheet'!K274)),TRIM(LEFT('Blind Scoring Sheet'!K274,FIND("|",'Blind Scoring Sheet'!K274)-1)),TRIM('Blind Scoring Sheet'!K274))</f>
        <v/>
      </c>
    </row>
    <row r="275" ht="15" customHeight="1" s="38">
      <c r="A275" s="80">
        <f>'Blind Scoring Sheet'!A275</f>
        <v/>
      </c>
      <c r="B275" s="80">
        <f>MID(INDEX('Anonymization Key'!$B$4:$B$1003,MATCH(A275,'Anonymization Key'!$A$4:$A$1003,0)),3,2)</f>
        <v/>
      </c>
      <c r="C275" s="81">
        <f>IF(ISNUMBER('Blind Scoring Sheet'!B275),'Blind Scoring Sheet'!B275,VALUE(TRIM(LEFT('Blind Scoring Sheet'!B275,FIND("|",'Blind Scoring Sheet'!B275)-1))))</f>
        <v/>
      </c>
      <c r="D275" s="81">
        <f>IF(ISNUMBER('Blind Scoring Sheet'!D275),'Blind Scoring Sheet'!D275,VALUE(TRIM(LEFT('Blind Scoring Sheet'!D275,FIND("|",'Blind Scoring Sheet'!D275)-1))))</f>
        <v/>
      </c>
      <c r="E275" s="81">
        <f>IF(ISNUMBER('Blind Scoring Sheet'!F275),'Blind Scoring Sheet'!F275,VALUE(TRIM(LEFT('Blind Scoring Sheet'!F275,FIND("|",'Blind Scoring Sheet'!F275)-1))))</f>
        <v/>
      </c>
      <c r="F275" s="81">
        <f>IF(ISNUMBER('Blind Scoring Sheet'!H275),'Blind Scoring Sheet'!H275,VALUE(TRIM(LEFT('Blind Scoring Sheet'!H275,FIND("|",'Blind Scoring Sheet'!H275)-1))))</f>
        <v/>
      </c>
      <c r="G275" s="81">
        <f>IF(ISNUMBER('Blind Scoring Sheet'!J275),'Blind Scoring Sheet'!J275,VALUE(TRIM(LEFT('Blind Scoring Sheet'!J275,FIND("|",'Blind Scoring Sheet'!J275)-1))))</f>
        <v/>
      </c>
      <c r="H275" s="80">
        <f>IF(ISNUMBER(SEARCH("|",'Blind Scoring Sheet'!K275)),TRIM(LEFT('Blind Scoring Sheet'!K275,FIND("|",'Blind Scoring Sheet'!K275)-1)),TRIM('Blind Scoring Sheet'!K275))</f>
        <v/>
      </c>
    </row>
    <row r="276" ht="15" customHeight="1" s="38">
      <c r="A276" s="80">
        <f>'Blind Scoring Sheet'!A276</f>
        <v/>
      </c>
      <c r="B276" s="80">
        <f>MID(INDEX('Anonymization Key'!$B$4:$B$1003,MATCH(A276,'Anonymization Key'!$A$4:$A$1003,0)),3,2)</f>
        <v/>
      </c>
      <c r="C276" s="81">
        <f>IF(ISNUMBER('Blind Scoring Sheet'!B276),'Blind Scoring Sheet'!B276,VALUE(TRIM(LEFT('Blind Scoring Sheet'!B276,FIND("|",'Blind Scoring Sheet'!B276)-1))))</f>
        <v/>
      </c>
      <c r="D276" s="81">
        <f>IF(ISNUMBER('Blind Scoring Sheet'!D276),'Blind Scoring Sheet'!D276,VALUE(TRIM(LEFT('Blind Scoring Sheet'!D276,FIND("|",'Blind Scoring Sheet'!D276)-1))))</f>
        <v/>
      </c>
      <c r="E276" s="81">
        <f>IF(ISNUMBER('Blind Scoring Sheet'!F276),'Blind Scoring Sheet'!F276,VALUE(TRIM(LEFT('Blind Scoring Sheet'!F276,FIND("|",'Blind Scoring Sheet'!F276)-1))))</f>
        <v/>
      </c>
      <c r="F276" s="81">
        <f>IF(ISNUMBER('Blind Scoring Sheet'!H276),'Blind Scoring Sheet'!H276,VALUE(TRIM(LEFT('Blind Scoring Sheet'!H276,FIND("|",'Blind Scoring Sheet'!H276)-1))))</f>
        <v/>
      </c>
      <c r="G276" s="81">
        <f>IF(ISNUMBER('Blind Scoring Sheet'!J276),'Blind Scoring Sheet'!J276,VALUE(TRIM(LEFT('Blind Scoring Sheet'!J276,FIND("|",'Blind Scoring Sheet'!J276)-1))))</f>
        <v/>
      </c>
      <c r="H276" s="80">
        <f>IF(ISNUMBER(SEARCH("|",'Blind Scoring Sheet'!K276)),TRIM(LEFT('Blind Scoring Sheet'!K276,FIND("|",'Blind Scoring Sheet'!K276)-1)),TRIM('Blind Scoring Sheet'!K276))</f>
        <v/>
      </c>
    </row>
    <row r="277" ht="15" customHeight="1" s="38">
      <c r="A277" s="80">
        <f>'Blind Scoring Sheet'!A277</f>
        <v/>
      </c>
      <c r="B277" s="80">
        <f>MID(INDEX('Anonymization Key'!$B$4:$B$1003,MATCH(A277,'Anonymization Key'!$A$4:$A$1003,0)),3,2)</f>
        <v/>
      </c>
      <c r="C277" s="81">
        <f>IF(ISNUMBER('Blind Scoring Sheet'!B277),'Blind Scoring Sheet'!B277,VALUE(TRIM(LEFT('Blind Scoring Sheet'!B277,FIND("|",'Blind Scoring Sheet'!B277)-1))))</f>
        <v/>
      </c>
      <c r="D277" s="81">
        <f>IF(ISNUMBER('Blind Scoring Sheet'!D277),'Blind Scoring Sheet'!D277,VALUE(TRIM(LEFT('Blind Scoring Sheet'!D277,FIND("|",'Blind Scoring Sheet'!D277)-1))))</f>
        <v/>
      </c>
      <c r="E277" s="81">
        <f>IF(ISNUMBER('Blind Scoring Sheet'!F277),'Blind Scoring Sheet'!F277,VALUE(TRIM(LEFT('Blind Scoring Sheet'!F277,FIND("|",'Blind Scoring Sheet'!F277)-1))))</f>
        <v/>
      </c>
      <c r="F277" s="81">
        <f>IF(ISNUMBER('Blind Scoring Sheet'!H277),'Blind Scoring Sheet'!H277,VALUE(TRIM(LEFT('Blind Scoring Sheet'!H277,FIND("|",'Blind Scoring Sheet'!H277)-1))))</f>
        <v/>
      </c>
      <c r="G277" s="81">
        <f>IF(ISNUMBER('Blind Scoring Sheet'!J277),'Blind Scoring Sheet'!J277,VALUE(TRIM(LEFT('Blind Scoring Sheet'!J277,FIND("|",'Blind Scoring Sheet'!J277)-1))))</f>
        <v/>
      </c>
      <c r="H277" s="80">
        <f>IF(ISNUMBER(SEARCH("|",'Blind Scoring Sheet'!K277)),TRIM(LEFT('Blind Scoring Sheet'!K277,FIND("|",'Blind Scoring Sheet'!K277)-1)),TRIM('Blind Scoring Sheet'!K277))</f>
        <v/>
      </c>
    </row>
    <row r="278" ht="15" customHeight="1" s="38">
      <c r="A278" s="80">
        <f>'Blind Scoring Sheet'!A278</f>
        <v/>
      </c>
      <c r="B278" s="80">
        <f>MID(INDEX('Anonymization Key'!$B$4:$B$1003,MATCH(A278,'Anonymization Key'!$A$4:$A$1003,0)),3,2)</f>
        <v/>
      </c>
      <c r="C278" s="81">
        <f>IF(ISNUMBER('Blind Scoring Sheet'!B278),'Blind Scoring Sheet'!B278,VALUE(TRIM(LEFT('Blind Scoring Sheet'!B278,FIND("|",'Blind Scoring Sheet'!B278)-1))))</f>
        <v/>
      </c>
      <c r="D278" s="81">
        <f>IF(ISNUMBER('Blind Scoring Sheet'!D278),'Blind Scoring Sheet'!D278,VALUE(TRIM(LEFT('Blind Scoring Sheet'!D278,FIND("|",'Blind Scoring Sheet'!D278)-1))))</f>
        <v/>
      </c>
      <c r="E278" s="81">
        <f>IF(ISNUMBER('Blind Scoring Sheet'!F278),'Blind Scoring Sheet'!F278,VALUE(TRIM(LEFT('Blind Scoring Sheet'!F278,FIND("|",'Blind Scoring Sheet'!F278)-1))))</f>
        <v/>
      </c>
      <c r="F278" s="81">
        <f>IF(ISNUMBER('Blind Scoring Sheet'!H278),'Blind Scoring Sheet'!H278,VALUE(TRIM(LEFT('Blind Scoring Sheet'!H278,FIND("|",'Blind Scoring Sheet'!H278)-1))))</f>
        <v/>
      </c>
      <c r="G278" s="81">
        <f>IF(ISNUMBER('Blind Scoring Sheet'!J278),'Blind Scoring Sheet'!J278,VALUE(TRIM(LEFT('Blind Scoring Sheet'!J278,FIND("|",'Blind Scoring Sheet'!J278)-1))))</f>
        <v/>
      </c>
      <c r="H278" s="80">
        <f>IF(ISNUMBER(SEARCH("|",'Blind Scoring Sheet'!K278)),TRIM(LEFT('Blind Scoring Sheet'!K278,FIND("|",'Blind Scoring Sheet'!K278)-1)),TRIM('Blind Scoring Sheet'!K278))</f>
        <v/>
      </c>
    </row>
    <row r="279" ht="15" customHeight="1" s="38">
      <c r="A279" s="80">
        <f>'Blind Scoring Sheet'!A279</f>
        <v/>
      </c>
      <c r="B279" s="80">
        <f>MID(INDEX('Anonymization Key'!$B$4:$B$1003,MATCH(A279,'Anonymization Key'!$A$4:$A$1003,0)),3,2)</f>
        <v/>
      </c>
      <c r="C279" s="81">
        <f>IF(ISNUMBER('Blind Scoring Sheet'!B279),'Blind Scoring Sheet'!B279,VALUE(TRIM(LEFT('Blind Scoring Sheet'!B279,FIND("|",'Blind Scoring Sheet'!B279)-1))))</f>
        <v/>
      </c>
      <c r="D279" s="81">
        <f>IF(ISNUMBER('Blind Scoring Sheet'!D279),'Blind Scoring Sheet'!D279,VALUE(TRIM(LEFT('Blind Scoring Sheet'!D279,FIND("|",'Blind Scoring Sheet'!D279)-1))))</f>
        <v/>
      </c>
      <c r="E279" s="81">
        <f>IF(ISNUMBER('Blind Scoring Sheet'!F279),'Blind Scoring Sheet'!F279,VALUE(TRIM(LEFT('Blind Scoring Sheet'!F279,FIND("|",'Blind Scoring Sheet'!F279)-1))))</f>
        <v/>
      </c>
      <c r="F279" s="81">
        <f>IF(ISNUMBER('Blind Scoring Sheet'!H279),'Blind Scoring Sheet'!H279,VALUE(TRIM(LEFT('Blind Scoring Sheet'!H279,FIND("|",'Blind Scoring Sheet'!H279)-1))))</f>
        <v/>
      </c>
      <c r="G279" s="81">
        <f>IF(ISNUMBER('Blind Scoring Sheet'!J279),'Blind Scoring Sheet'!J279,VALUE(TRIM(LEFT('Blind Scoring Sheet'!J279,FIND("|",'Blind Scoring Sheet'!J279)-1))))</f>
        <v/>
      </c>
      <c r="H279" s="80">
        <f>IF(ISNUMBER(SEARCH("|",'Blind Scoring Sheet'!K279)),TRIM(LEFT('Blind Scoring Sheet'!K279,FIND("|",'Blind Scoring Sheet'!K279)-1)),TRIM('Blind Scoring Sheet'!K279))</f>
        <v/>
      </c>
    </row>
    <row r="280" ht="15" customHeight="1" s="38">
      <c r="A280" s="80">
        <f>'Blind Scoring Sheet'!A280</f>
        <v/>
      </c>
      <c r="B280" s="80">
        <f>MID(INDEX('Anonymization Key'!$B$4:$B$1003,MATCH(A280,'Anonymization Key'!$A$4:$A$1003,0)),3,2)</f>
        <v/>
      </c>
      <c r="C280" s="81">
        <f>IF(ISNUMBER('Blind Scoring Sheet'!B280),'Blind Scoring Sheet'!B280,VALUE(TRIM(LEFT('Blind Scoring Sheet'!B280,FIND("|",'Blind Scoring Sheet'!B280)-1))))</f>
        <v/>
      </c>
      <c r="D280" s="81">
        <f>IF(ISNUMBER('Blind Scoring Sheet'!D280),'Blind Scoring Sheet'!D280,VALUE(TRIM(LEFT('Blind Scoring Sheet'!D280,FIND("|",'Blind Scoring Sheet'!D280)-1))))</f>
        <v/>
      </c>
      <c r="E280" s="81">
        <f>IF(ISNUMBER('Blind Scoring Sheet'!F280),'Blind Scoring Sheet'!F280,VALUE(TRIM(LEFT('Blind Scoring Sheet'!F280,FIND("|",'Blind Scoring Sheet'!F280)-1))))</f>
        <v/>
      </c>
      <c r="F280" s="81">
        <f>IF(ISNUMBER('Blind Scoring Sheet'!H280),'Blind Scoring Sheet'!H280,VALUE(TRIM(LEFT('Blind Scoring Sheet'!H280,FIND("|",'Blind Scoring Sheet'!H280)-1))))</f>
        <v/>
      </c>
      <c r="G280" s="81">
        <f>IF(ISNUMBER('Blind Scoring Sheet'!J280),'Blind Scoring Sheet'!J280,VALUE(TRIM(LEFT('Blind Scoring Sheet'!J280,FIND("|",'Blind Scoring Sheet'!J280)-1))))</f>
        <v/>
      </c>
      <c r="H280" s="80">
        <f>IF(ISNUMBER(SEARCH("|",'Blind Scoring Sheet'!K280)),TRIM(LEFT('Blind Scoring Sheet'!K280,FIND("|",'Blind Scoring Sheet'!K280)-1)),TRIM('Blind Scoring Sheet'!K280))</f>
        <v/>
      </c>
    </row>
    <row r="281" ht="15" customHeight="1" s="38">
      <c r="A281" s="80">
        <f>'Blind Scoring Sheet'!A281</f>
        <v/>
      </c>
      <c r="B281" s="80">
        <f>MID(INDEX('Anonymization Key'!$B$4:$B$1003,MATCH(A281,'Anonymization Key'!$A$4:$A$1003,0)),3,2)</f>
        <v/>
      </c>
      <c r="C281" s="81">
        <f>IF(ISNUMBER('Blind Scoring Sheet'!B281),'Blind Scoring Sheet'!B281,VALUE(TRIM(LEFT('Blind Scoring Sheet'!B281,FIND("|",'Blind Scoring Sheet'!B281)-1))))</f>
        <v/>
      </c>
      <c r="D281" s="81">
        <f>IF(ISNUMBER('Blind Scoring Sheet'!D281),'Blind Scoring Sheet'!D281,VALUE(TRIM(LEFT('Blind Scoring Sheet'!D281,FIND("|",'Blind Scoring Sheet'!D281)-1))))</f>
        <v/>
      </c>
      <c r="E281" s="81">
        <f>IF(ISNUMBER('Blind Scoring Sheet'!F281),'Blind Scoring Sheet'!F281,VALUE(TRIM(LEFT('Blind Scoring Sheet'!F281,FIND("|",'Blind Scoring Sheet'!F281)-1))))</f>
        <v/>
      </c>
      <c r="F281" s="81">
        <f>IF(ISNUMBER('Blind Scoring Sheet'!H281),'Blind Scoring Sheet'!H281,VALUE(TRIM(LEFT('Blind Scoring Sheet'!H281,FIND("|",'Blind Scoring Sheet'!H281)-1))))</f>
        <v/>
      </c>
      <c r="G281" s="81">
        <f>IF(ISNUMBER('Blind Scoring Sheet'!J281),'Blind Scoring Sheet'!J281,VALUE(TRIM(LEFT('Blind Scoring Sheet'!J281,FIND("|",'Blind Scoring Sheet'!J281)-1))))</f>
        <v/>
      </c>
      <c r="H281" s="80">
        <f>IF(ISNUMBER(SEARCH("|",'Blind Scoring Sheet'!K281)),TRIM(LEFT('Blind Scoring Sheet'!K281,FIND("|",'Blind Scoring Sheet'!K281)-1)),TRIM('Blind Scoring Sheet'!K281))</f>
        <v/>
      </c>
    </row>
    <row r="282" ht="15" customHeight="1" s="38">
      <c r="A282" s="80">
        <f>'Blind Scoring Sheet'!A282</f>
        <v/>
      </c>
      <c r="B282" s="80">
        <f>MID(INDEX('Anonymization Key'!$B$4:$B$1003,MATCH(A282,'Anonymization Key'!$A$4:$A$1003,0)),3,2)</f>
        <v/>
      </c>
      <c r="C282" s="81">
        <f>IF(ISNUMBER('Blind Scoring Sheet'!B282),'Blind Scoring Sheet'!B282,VALUE(TRIM(LEFT('Blind Scoring Sheet'!B282,FIND("|",'Blind Scoring Sheet'!B282)-1))))</f>
        <v/>
      </c>
      <c r="D282" s="81">
        <f>IF(ISNUMBER('Blind Scoring Sheet'!D282),'Blind Scoring Sheet'!D282,VALUE(TRIM(LEFT('Blind Scoring Sheet'!D282,FIND("|",'Blind Scoring Sheet'!D282)-1))))</f>
        <v/>
      </c>
      <c r="E282" s="81">
        <f>IF(ISNUMBER('Blind Scoring Sheet'!F282),'Blind Scoring Sheet'!F282,VALUE(TRIM(LEFT('Blind Scoring Sheet'!F282,FIND("|",'Blind Scoring Sheet'!F282)-1))))</f>
        <v/>
      </c>
      <c r="F282" s="81">
        <f>IF(ISNUMBER('Blind Scoring Sheet'!H282),'Blind Scoring Sheet'!H282,VALUE(TRIM(LEFT('Blind Scoring Sheet'!H282,FIND("|",'Blind Scoring Sheet'!H282)-1))))</f>
        <v/>
      </c>
      <c r="G282" s="81">
        <f>IF(ISNUMBER('Blind Scoring Sheet'!J282),'Blind Scoring Sheet'!J282,VALUE(TRIM(LEFT('Blind Scoring Sheet'!J282,FIND("|",'Blind Scoring Sheet'!J282)-1))))</f>
        <v/>
      </c>
      <c r="H282" s="80">
        <f>IF(ISNUMBER(SEARCH("|",'Blind Scoring Sheet'!K282)),TRIM(LEFT('Blind Scoring Sheet'!K282,FIND("|",'Blind Scoring Sheet'!K282)-1)),TRIM('Blind Scoring Sheet'!K282))</f>
        <v/>
      </c>
    </row>
    <row r="283" ht="15" customHeight="1" s="38">
      <c r="A283" s="80">
        <f>'Blind Scoring Sheet'!A283</f>
        <v/>
      </c>
      <c r="B283" s="80">
        <f>MID(INDEX('Anonymization Key'!$B$4:$B$1003,MATCH(A283,'Anonymization Key'!$A$4:$A$1003,0)),3,2)</f>
        <v/>
      </c>
      <c r="C283" s="81">
        <f>IF(ISNUMBER('Blind Scoring Sheet'!B283),'Blind Scoring Sheet'!B283,VALUE(TRIM(LEFT('Blind Scoring Sheet'!B283,FIND("|",'Blind Scoring Sheet'!B283)-1))))</f>
        <v/>
      </c>
      <c r="D283" s="81">
        <f>IF(ISNUMBER('Blind Scoring Sheet'!D283),'Blind Scoring Sheet'!D283,VALUE(TRIM(LEFT('Blind Scoring Sheet'!D283,FIND("|",'Blind Scoring Sheet'!D283)-1))))</f>
        <v/>
      </c>
      <c r="E283" s="81">
        <f>IF(ISNUMBER('Blind Scoring Sheet'!F283),'Blind Scoring Sheet'!F283,VALUE(TRIM(LEFT('Blind Scoring Sheet'!F283,FIND("|",'Blind Scoring Sheet'!F283)-1))))</f>
        <v/>
      </c>
      <c r="F283" s="81">
        <f>IF(ISNUMBER('Blind Scoring Sheet'!H283),'Blind Scoring Sheet'!H283,VALUE(TRIM(LEFT('Blind Scoring Sheet'!H283,FIND("|",'Blind Scoring Sheet'!H283)-1))))</f>
        <v/>
      </c>
      <c r="G283" s="81">
        <f>IF(ISNUMBER('Blind Scoring Sheet'!J283),'Blind Scoring Sheet'!J283,VALUE(TRIM(LEFT('Blind Scoring Sheet'!J283,FIND("|",'Blind Scoring Sheet'!J283)-1))))</f>
        <v/>
      </c>
      <c r="H283" s="80">
        <f>IF(ISNUMBER(SEARCH("|",'Blind Scoring Sheet'!K283)),TRIM(LEFT('Blind Scoring Sheet'!K283,FIND("|",'Blind Scoring Sheet'!K283)-1)),TRIM('Blind Scoring Sheet'!K283))</f>
        <v/>
      </c>
    </row>
    <row r="284" ht="15" customHeight="1" s="38">
      <c r="A284" s="80">
        <f>'Blind Scoring Sheet'!A284</f>
        <v/>
      </c>
      <c r="B284" s="80">
        <f>MID(INDEX('Anonymization Key'!$B$4:$B$1003,MATCH(A284,'Anonymization Key'!$A$4:$A$1003,0)),3,2)</f>
        <v/>
      </c>
      <c r="C284" s="81">
        <f>IF(ISNUMBER('Blind Scoring Sheet'!B284),'Blind Scoring Sheet'!B284,VALUE(TRIM(LEFT('Blind Scoring Sheet'!B284,FIND("|",'Blind Scoring Sheet'!B284)-1))))</f>
        <v/>
      </c>
      <c r="D284" s="81">
        <f>IF(ISNUMBER('Blind Scoring Sheet'!D284),'Blind Scoring Sheet'!D284,VALUE(TRIM(LEFT('Blind Scoring Sheet'!D284,FIND("|",'Blind Scoring Sheet'!D284)-1))))</f>
        <v/>
      </c>
      <c r="E284" s="81">
        <f>IF(ISNUMBER('Blind Scoring Sheet'!F284),'Blind Scoring Sheet'!F284,VALUE(TRIM(LEFT('Blind Scoring Sheet'!F284,FIND("|",'Blind Scoring Sheet'!F284)-1))))</f>
        <v/>
      </c>
      <c r="F284" s="81">
        <f>IF(ISNUMBER('Blind Scoring Sheet'!H284),'Blind Scoring Sheet'!H284,VALUE(TRIM(LEFT('Blind Scoring Sheet'!H284,FIND("|",'Blind Scoring Sheet'!H284)-1))))</f>
        <v/>
      </c>
      <c r="G284" s="81">
        <f>IF(ISNUMBER('Blind Scoring Sheet'!J284),'Blind Scoring Sheet'!J284,VALUE(TRIM(LEFT('Blind Scoring Sheet'!J284,FIND("|",'Blind Scoring Sheet'!J284)-1))))</f>
        <v/>
      </c>
      <c r="H284" s="80">
        <f>IF(ISNUMBER(SEARCH("|",'Blind Scoring Sheet'!K284)),TRIM(LEFT('Blind Scoring Sheet'!K284,FIND("|",'Blind Scoring Sheet'!K284)-1)),TRIM('Blind Scoring Sheet'!K284))</f>
        <v/>
      </c>
    </row>
    <row r="285" ht="15" customHeight="1" s="38">
      <c r="A285" s="80">
        <f>'Blind Scoring Sheet'!A285</f>
        <v/>
      </c>
      <c r="B285" s="80">
        <f>MID(INDEX('Anonymization Key'!$B$4:$B$1003,MATCH(A285,'Anonymization Key'!$A$4:$A$1003,0)),3,2)</f>
        <v/>
      </c>
      <c r="C285" s="81">
        <f>IF(ISNUMBER('Blind Scoring Sheet'!B285),'Blind Scoring Sheet'!B285,VALUE(TRIM(LEFT('Blind Scoring Sheet'!B285,FIND("|",'Blind Scoring Sheet'!B285)-1))))</f>
        <v/>
      </c>
      <c r="D285" s="81">
        <f>IF(ISNUMBER('Blind Scoring Sheet'!D285),'Blind Scoring Sheet'!D285,VALUE(TRIM(LEFT('Blind Scoring Sheet'!D285,FIND("|",'Blind Scoring Sheet'!D285)-1))))</f>
        <v/>
      </c>
      <c r="E285" s="81">
        <f>IF(ISNUMBER('Blind Scoring Sheet'!F285),'Blind Scoring Sheet'!F285,VALUE(TRIM(LEFT('Blind Scoring Sheet'!F285,FIND("|",'Blind Scoring Sheet'!F285)-1))))</f>
        <v/>
      </c>
      <c r="F285" s="81">
        <f>IF(ISNUMBER('Blind Scoring Sheet'!H285),'Blind Scoring Sheet'!H285,VALUE(TRIM(LEFT('Blind Scoring Sheet'!H285,FIND("|",'Blind Scoring Sheet'!H285)-1))))</f>
        <v/>
      </c>
      <c r="G285" s="81">
        <f>IF(ISNUMBER('Blind Scoring Sheet'!J285),'Blind Scoring Sheet'!J285,VALUE(TRIM(LEFT('Blind Scoring Sheet'!J285,FIND("|",'Blind Scoring Sheet'!J285)-1))))</f>
        <v/>
      </c>
      <c r="H285" s="80">
        <f>IF(ISNUMBER(SEARCH("|",'Blind Scoring Sheet'!K285)),TRIM(LEFT('Blind Scoring Sheet'!K285,FIND("|",'Blind Scoring Sheet'!K285)-1)),TRIM('Blind Scoring Sheet'!K285))</f>
        <v/>
      </c>
    </row>
    <row r="286" ht="15" customHeight="1" s="38">
      <c r="A286" s="80">
        <f>'Blind Scoring Sheet'!A286</f>
        <v/>
      </c>
      <c r="B286" s="80">
        <f>MID(INDEX('Anonymization Key'!$B$4:$B$1003,MATCH(A286,'Anonymization Key'!$A$4:$A$1003,0)),3,2)</f>
        <v/>
      </c>
      <c r="C286" s="81">
        <f>IF(ISNUMBER('Blind Scoring Sheet'!B286),'Blind Scoring Sheet'!B286,VALUE(TRIM(LEFT('Blind Scoring Sheet'!B286,FIND("|",'Blind Scoring Sheet'!B286)-1))))</f>
        <v/>
      </c>
      <c r="D286" s="81">
        <f>IF(ISNUMBER('Blind Scoring Sheet'!D286),'Blind Scoring Sheet'!D286,VALUE(TRIM(LEFT('Blind Scoring Sheet'!D286,FIND("|",'Blind Scoring Sheet'!D286)-1))))</f>
        <v/>
      </c>
      <c r="E286" s="81">
        <f>IF(ISNUMBER('Blind Scoring Sheet'!F286),'Blind Scoring Sheet'!F286,VALUE(TRIM(LEFT('Blind Scoring Sheet'!F286,FIND("|",'Blind Scoring Sheet'!F286)-1))))</f>
        <v/>
      </c>
      <c r="F286" s="81">
        <f>IF(ISNUMBER('Blind Scoring Sheet'!H286),'Blind Scoring Sheet'!H286,VALUE(TRIM(LEFT('Blind Scoring Sheet'!H286,FIND("|",'Blind Scoring Sheet'!H286)-1))))</f>
        <v/>
      </c>
      <c r="G286" s="81">
        <f>IF(ISNUMBER('Blind Scoring Sheet'!J286),'Blind Scoring Sheet'!J286,VALUE(TRIM(LEFT('Blind Scoring Sheet'!J286,FIND("|",'Blind Scoring Sheet'!J286)-1))))</f>
        <v/>
      </c>
      <c r="H286" s="80">
        <f>IF(ISNUMBER(SEARCH("|",'Blind Scoring Sheet'!K286)),TRIM(LEFT('Blind Scoring Sheet'!K286,FIND("|",'Blind Scoring Sheet'!K286)-1)),TRIM('Blind Scoring Sheet'!K286))</f>
        <v/>
      </c>
    </row>
    <row r="287" ht="15" customHeight="1" s="38">
      <c r="A287" s="80">
        <f>'Blind Scoring Sheet'!A287</f>
        <v/>
      </c>
      <c r="B287" s="80">
        <f>MID(INDEX('Anonymization Key'!$B$4:$B$1003,MATCH(A287,'Anonymization Key'!$A$4:$A$1003,0)),3,2)</f>
        <v/>
      </c>
      <c r="C287" s="81">
        <f>IF(ISNUMBER('Blind Scoring Sheet'!B287),'Blind Scoring Sheet'!B287,VALUE(TRIM(LEFT('Blind Scoring Sheet'!B287,FIND("|",'Blind Scoring Sheet'!B287)-1))))</f>
        <v/>
      </c>
      <c r="D287" s="81">
        <f>IF(ISNUMBER('Blind Scoring Sheet'!D287),'Blind Scoring Sheet'!D287,VALUE(TRIM(LEFT('Blind Scoring Sheet'!D287,FIND("|",'Blind Scoring Sheet'!D287)-1))))</f>
        <v/>
      </c>
      <c r="E287" s="81">
        <f>IF(ISNUMBER('Blind Scoring Sheet'!F287),'Blind Scoring Sheet'!F287,VALUE(TRIM(LEFT('Blind Scoring Sheet'!F287,FIND("|",'Blind Scoring Sheet'!F287)-1))))</f>
        <v/>
      </c>
      <c r="F287" s="81">
        <f>IF(ISNUMBER('Blind Scoring Sheet'!H287),'Blind Scoring Sheet'!H287,VALUE(TRIM(LEFT('Blind Scoring Sheet'!H287,FIND("|",'Blind Scoring Sheet'!H287)-1))))</f>
        <v/>
      </c>
      <c r="G287" s="81">
        <f>IF(ISNUMBER('Blind Scoring Sheet'!J287),'Blind Scoring Sheet'!J287,VALUE(TRIM(LEFT('Blind Scoring Sheet'!J287,FIND("|",'Blind Scoring Sheet'!J287)-1))))</f>
        <v/>
      </c>
      <c r="H287" s="80">
        <f>IF(ISNUMBER(SEARCH("|",'Blind Scoring Sheet'!K287)),TRIM(LEFT('Blind Scoring Sheet'!K287,FIND("|",'Blind Scoring Sheet'!K287)-1)),TRIM('Blind Scoring Sheet'!K287))</f>
        <v/>
      </c>
    </row>
    <row r="288" ht="15" customHeight="1" s="38">
      <c r="A288" s="80">
        <f>'Blind Scoring Sheet'!A288</f>
        <v/>
      </c>
      <c r="B288" s="80">
        <f>MID(INDEX('Anonymization Key'!$B$4:$B$1003,MATCH(A288,'Anonymization Key'!$A$4:$A$1003,0)),3,2)</f>
        <v/>
      </c>
      <c r="C288" s="81">
        <f>IF(ISNUMBER('Blind Scoring Sheet'!B288),'Blind Scoring Sheet'!B288,VALUE(TRIM(LEFT('Blind Scoring Sheet'!B288,FIND("|",'Blind Scoring Sheet'!B288)-1))))</f>
        <v/>
      </c>
      <c r="D288" s="81">
        <f>IF(ISNUMBER('Blind Scoring Sheet'!D288),'Blind Scoring Sheet'!D288,VALUE(TRIM(LEFT('Blind Scoring Sheet'!D288,FIND("|",'Blind Scoring Sheet'!D288)-1))))</f>
        <v/>
      </c>
      <c r="E288" s="81">
        <f>IF(ISNUMBER('Blind Scoring Sheet'!F288),'Blind Scoring Sheet'!F288,VALUE(TRIM(LEFT('Blind Scoring Sheet'!F288,FIND("|",'Blind Scoring Sheet'!F288)-1))))</f>
        <v/>
      </c>
      <c r="F288" s="81">
        <f>IF(ISNUMBER('Blind Scoring Sheet'!H288),'Blind Scoring Sheet'!H288,VALUE(TRIM(LEFT('Blind Scoring Sheet'!H288,FIND("|",'Blind Scoring Sheet'!H288)-1))))</f>
        <v/>
      </c>
      <c r="G288" s="81">
        <f>IF(ISNUMBER('Blind Scoring Sheet'!J288),'Blind Scoring Sheet'!J288,VALUE(TRIM(LEFT('Blind Scoring Sheet'!J288,FIND("|",'Blind Scoring Sheet'!J288)-1))))</f>
        <v/>
      </c>
      <c r="H288" s="80">
        <f>IF(ISNUMBER(SEARCH("|",'Blind Scoring Sheet'!K288)),TRIM(LEFT('Blind Scoring Sheet'!K288,FIND("|",'Blind Scoring Sheet'!K288)-1)),TRIM('Blind Scoring Sheet'!K288))</f>
        <v/>
      </c>
    </row>
    <row r="289" ht="15" customHeight="1" s="38">
      <c r="A289" s="80">
        <f>'Blind Scoring Sheet'!A289</f>
        <v/>
      </c>
      <c r="B289" s="80">
        <f>MID(INDEX('Anonymization Key'!$B$4:$B$1003,MATCH(A289,'Anonymization Key'!$A$4:$A$1003,0)),3,2)</f>
        <v/>
      </c>
      <c r="C289" s="81">
        <f>IF(ISNUMBER('Blind Scoring Sheet'!B289),'Blind Scoring Sheet'!B289,VALUE(TRIM(LEFT('Blind Scoring Sheet'!B289,FIND("|",'Blind Scoring Sheet'!B289)-1))))</f>
        <v/>
      </c>
      <c r="D289" s="81">
        <f>IF(ISNUMBER('Blind Scoring Sheet'!D289),'Blind Scoring Sheet'!D289,VALUE(TRIM(LEFT('Blind Scoring Sheet'!D289,FIND("|",'Blind Scoring Sheet'!D289)-1))))</f>
        <v/>
      </c>
      <c r="E289" s="81">
        <f>IF(ISNUMBER('Blind Scoring Sheet'!F289),'Blind Scoring Sheet'!F289,VALUE(TRIM(LEFT('Blind Scoring Sheet'!F289,FIND("|",'Blind Scoring Sheet'!F289)-1))))</f>
        <v/>
      </c>
      <c r="F289" s="81">
        <f>IF(ISNUMBER('Blind Scoring Sheet'!H289),'Blind Scoring Sheet'!H289,VALUE(TRIM(LEFT('Blind Scoring Sheet'!H289,FIND("|",'Blind Scoring Sheet'!H289)-1))))</f>
        <v/>
      </c>
      <c r="G289" s="81">
        <f>IF(ISNUMBER('Blind Scoring Sheet'!J289),'Blind Scoring Sheet'!J289,VALUE(TRIM(LEFT('Blind Scoring Sheet'!J289,FIND("|",'Blind Scoring Sheet'!J289)-1))))</f>
        <v/>
      </c>
      <c r="H289" s="80">
        <f>IF(ISNUMBER(SEARCH("|",'Blind Scoring Sheet'!K289)),TRIM(LEFT('Blind Scoring Sheet'!K289,FIND("|",'Blind Scoring Sheet'!K289)-1)),TRIM('Blind Scoring Sheet'!K289))</f>
        <v/>
      </c>
    </row>
    <row r="290" ht="15" customHeight="1" s="38">
      <c r="A290" s="80">
        <f>'Blind Scoring Sheet'!A290</f>
        <v/>
      </c>
      <c r="B290" s="80">
        <f>MID(INDEX('Anonymization Key'!$B$4:$B$1003,MATCH(A290,'Anonymization Key'!$A$4:$A$1003,0)),3,2)</f>
        <v/>
      </c>
      <c r="C290" s="81">
        <f>IF(ISNUMBER('Blind Scoring Sheet'!B290),'Blind Scoring Sheet'!B290,VALUE(TRIM(LEFT('Blind Scoring Sheet'!B290,FIND("|",'Blind Scoring Sheet'!B290)-1))))</f>
        <v/>
      </c>
      <c r="D290" s="81">
        <f>IF(ISNUMBER('Blind Scoring Sheet'!D290),'Blind Scoring Sheet'!D290,VALUE(TRIM(LEFT('Blind Scoring Sheet'!D290,FIND("|",'Blind Scoring Sheet'!D290)-1))))</f>
        <v/>
      </c>
      <c r="E290" s="81">
        <f>IF(ISNUMBER('Blind Scoring Sheet'!F290),'Blind Scoring Sheet'!F290,VALUE(TRIM(LEFT('Blind Scoring Sheet'!F290,FIND("|",'Blind Scoring Sheet'!F290)-1))))</f>
        <v/>
      </c>
      <c r="F290" s="81">
        <f>IF(ISNUMBER('Blind Scoring Sheet'!H290),'Blind Scoring Sheet'!H290,VALUE(TRIM(LEFT('Blind Scoring Sheet'!H290,FIND("|",'Blind Scoring Sheet'!H290)-1))))</f>
        <v/>
      </c>
      <c r="G290" s="81">
        <f>IF(ISNUMBER('Blind Scoring Sheet'!J290),'Blind Scoring Sheet'!J290,VALUE(TRIM(LEFT('Blind Scoring Sheet'!J290,FIND("|",'Blind Scoring Sheet'!J290)-1))))</f>
        <v/>
      </c>
      <c r="H290" s="80">
        <f>IF(ISNUMBER(SEARCH("|",'Blind Scoring Sheet'!K290)),TRIM(LEFT('Blind Scoring Sheet'!K290,FIND("|",'Blind Scoring Sheet'!K290)-1)),TRIM('Blind Scoring Sheet'!K290))</f>
        <v/>
      </c>
    </row>
    <row r="291" ht="15" customHeight="1" s="38">
      <c r="A291" s="80">
        <f>'Blind Scoring Sheet'!A291</f>
        <v/>
      </c>
      <c r="B291" s="80">
        <f>MID(INDEX('Anonymization Key'!$B$4:$B$1003,MATCH(A291,'Anonymization Key'!$A$4:$A$1003,0)),3,2)</f>
        <v/>
      </c>
      <c r="C291" s="81">
        <f>IF(ISNUMBER('Blind Scoring Sheet'!B291),'Blind Scoring Sheet'!B291,VALUE(TRIM(LEFT('Blind Scoring Sheet'!B291,FIND("|",'Blind Scoring Sheet'!B291)-1))))</f>
        <v/>
      </c>
      <c r="D291" s="81">
        <f>IF(ISNUMBER('Blind Scoring Sheet'!D291),'Blind Scoring Sheet'!D291,VALUE(TRIM(LEFT('Blind Scoring Sheet'!D291,FIND("|",'Blind Scoring Sheet'!D291)-1))))</f>
        <v/>
      </c>
      <c r="E291" s="81">
        <f>IF(ISNUMBER('Blind Scoring Sheet'!F291),'Blind Scoring Sheet'!F291,VALUE(TRIM(LEFT('Blind Scoring Sheet'!F291,FIND("|",'Blind Scoring Sheet'!F291)-1))))</f>
        <v/>
      </c>
      <c r="F291" s="81">
        <f>IF(ISNUMBER('Blind Scoring Sheet'!H291),'Blind Scoring Sheet'!H291,VALUE(TRIM(LEFT('Blind Scoring Sheet'!H291,FIND("|",'Blind Scoring Sheet'!H291)-1))))</f>
        <v/>
      </c>
      <c r="G291" s="81">
        <f>IF(ISNUMBER('Blind Scoring Sheet'!J291),'Blind Scoring Sheet'!J291,VALUE(TRIM(LEFT('Blind Scoring Sheet'!J291,FIND("|",'Blind Scoring Sheet'!J291)-1))))</f>
        <v/>
      </c>
      <c r="H291" s="80">
        <f>IF(ISNUMBER(SEARCH("|",'Blind Scoring Sheet'!K291)),TRIM(LEFT('Blind Scoring Sheet'!K291,FIND("|",'Blind Scoring Sheet'!K291)-1)),TRIM('Blind Scoring Sheet'!K291))</f>
        <v/>
      </c>
    </row>
    <row r="292" ht="15" customHeight="1" s="38">
      <c r="A292" s="80">
        <f>'Blind Scoring Sheet'!A292</f>
        <v/>
      </c>
      <c r="B292" s="80">
        <f>MID(INDEX('Anonymization Key'!$B$4:$B$1003,MATCH(A292,'Anonymization Key'!$A$4:$A$1003,0)),3,2)</f>
        <v/>
      </c>
      <c r="C292" s="81">
        <f>IF(ISNUMBER('Blind Scoring Sheet'!B292),'Blind Scoring Sheet'!B292,VALUE(TRIM(LEFT('Blind Scoring Sheet'!B292,FIND("|",'Blind Scoring Sheet'!B292)-1))))</f>
        <v/>
      </c>
      <c r="D292" s="81">
        <f>IF(ISNUMBER('Blind Scoring Sheet'!D292),'Blind Scoring Sheet'!D292,VALUE(TRIM(LEFT('Blind Scoring Sheet'!D292,FIND("|",'Blind Scoring Sheet'!D292)-1))))</f>
        <v/>
      </c>
      <c r="E292" s="81">
        <f>IF(ISNUMBER('Blind Scoring Sheet'!F292),'Blind Scoring Sheet'!F292,VALUE(TRIM(LEFT('Blind Scoring Sheet'!F292,FIND("|",'Blind Scoring Sheet'!F292)-1))))</f>
        <v/>
      </c>
      <c r="F292" s="81">
        <f>IF(ISNUMBER('Blind Scoring Sheet'!H292),'Blind Scoring Sheet'!H292,VALUE(TRIM(LEFT('Blind Scoring Sheet'!H292,FIND("|",'Blind Scoring Sheet'!H292)-1))))</f>
        <v/>
      </c>
      <c r="G292" s="81">
        <f>IF(ISNUMBER('Blind Scoring Sheet'!J292),'Blind Scoring Sheet'!J292,VALUE(TRIM(LEFT('Blind Scoring Sheet'!J292,FIND("|",'Blind Scoring Sheet'!J292)-1))))</f>
        <v/>
      </c>
      <c r="H292" s="80">
        <f>IF(ISNUMBER(SEARCH("|",'Blind Scoring Sheet'!K292)),TRIM(LEFT('Blind Scoring Sheet'!K292,FIND("|",'Blind Scoring Sheet'!K292)-1)),TRIM('Blind Scoring Sheet'!K292))</f>
        <v/>
      </c>
    </row>
    <row r="293" ht="15" customHeight="1" s="38">
      <c r="A293" s="80">
        <f>'Blind Scoring Sheet'!A293</f>
        <v/>
      </c>
      <c r="B293" s="80">
        <f>MID(INDEX('Anonymization Key'!$B$4:$B$1003,MATCH(A293,'Anonymization Key'!$A$4:$A$1003,0)),3,2)</f>
        <v/>
      </c>
      <c r="C293" s="81">
        <f>IF(ISNUMBER('Blind Scoring Sheet'!B293),'Blind Scoring Sheet'!B293,VALUE(TRIM(LEFT('Blind Scoring Sheet'!B293,FIND("|",'Blind Scoring Sheet'!B293)-1))))</f>
        <v/>
      </c>
      <c r="D293" s="81">
        <f>IF(ISNUMBER('Blind Scoring Sheet'!D293),'Blind Scoring Sheet'!D293,VALUE(TRIM(LEFT('Blind Scoring Sheet'!D293,FIND("|",'Blind Scoring Sheet'!D293)-1))))</f>
        <v/>
      </c>
      <c r="E293" s="81">
        <f>IF(ISNUMBER('Blind Scoring Sheet'!F293),'Blind Scoring Sheet'!F293,VALUE(TRIM(LEFT('Blind Scoring Sheet'!F293,FIND("|",'Blind Scoring Sheet'!F293)-1))))</f>
        <v/>
      </c>
      <c r="F293" s="81">
        <f>IF(ISNUMBER('Blind Scoring Sheet'!H293),'Blind Scoring Sheet'!H293,VALUE(TRIM(LEFT('Blind Scoring Sheet'!H293,FIND("|",'Blind Scoring Sheet'!H293)-1))))</f>
        <v/>
      </c>
      <c r="G293" s="81">
        <f>IF(ISNUMBER('Blind Scoring Sheet'!J293),'Blind Scoring Sheet'!J293,VALUE(TRIM(LEFT('Blind Scoring Sheet'!J293,FIND("|",'Blind Scoring Sheet'!J293)-1))))</f>
        <v/>
      </c>
      <c r="H293" s="80">
        <f>IF(ISNUMBER(SEARCH("|",'Blind Scoring Sheet'!K293)),TRIM(LEFT('Blind Scoring Sheet'!K293,FIND("|",'Blind Scoring Sheet'!K293)-1)),TRIM('Blind Scoring Sheet'!K293))</f>
        <v/>
      </c>
    </row>
    <row r="294" ht="15" customHeight="1" s="38">
      <c r="A294" s="80">
        <f>'Blind Scoring Sheet'!A294</f>
        <v/>
      </c>
      <c r="B294" s="80">
        <f>MID(INDEX('Anonymization Key'!$B$4:$B$1003,MATCH(A294,'Anonymization Key'!$A$4:$A$1003,0)),3,2)</f>
        <v/>
      </c>
      <c r="C294" s="81">
        <f>IF(ISNUMBER('Blind Scoring Sheet'!B294),'Blind Scoring Sheet'!B294,VALUE(TRIM(LEFT('Blind Scoring Sheet'!B294,FIND("|",'Blind Scoring Sheet'!B294)-1))))</f>
        <v/>
      </c>
      <c r="D294" s="81">
        <f>IF(ISNUMBER('Blind Scoring Sheet'!D294),'Blind Scoring Sheet'!D294,VALUE(TRIM(LEFT('Blind Scoring Sheet'!D294,FIND("|",'Blind Scoring Sheet'!D294)-1))))</f>
        <v/>
      </c>
      <c r="E294" s="81">
        <f>IF(ISNUMBER('Blind Scoring Sheet'!F294),'Blind Scoring Sheet'!F294,VALUE(TRIM(LEFT('Blind Scoring Sheet'!F294,FIND("|",'Blind Scoring Sheet'!F294)-1))))</f>
        <v/>
      </c>
      <c r="F294" s="81">
        <f>IF(ISNUMBER('Blind Scoring Sheet'!H294),'Blind Scoring Sheet'!H294,VALUE(TRIM(LEFT('Blind Scoring Sheet'!H294,FIND("|",'Blind Scoring Sheet'!H294)-1))))</f>
        <v/>
      </c>
      <c r="G294" s="81">
        <f>IF(ISNUMBER('Blind Scoring Sheet'!J294),'Blind Scoring Sheet'!J294,VALUE(TRIM(LEFT('Blind Scoring Sheet'!J294,FIND("|",'Blind Scoring Sheet'!J294)-1))))</f>
        <v/>
      </c>
      <c r="H294" s="80">
        <f>IF(ISNUMBER(SEARCH("|",'Blind Scoring Sheet'!K294)),TRIM(LEFT('Blind Scoring Sheet'!K294,FIND("|",'Blind Scoring Sheet'!K294)-1)),TRIM('Blind Scoring Sheet'!K294))</f>
        <v/>
      </c>
    </row>
    <row r="295" ht="15" customHeight="1" s="38">
      <c r="A295" s="80">
        <f>'Blind Scoring Sheet'!A295</f>
        <v/>
      </c>
      <c r="B295" s="80">
        <f>MID(INDEX('Anonymization Key'!$B$4:$B$1003,MATCH(A295,'Anonymization Key'!$A$4:$A$1003,0)),3,2)</f>
        <v/>
      </c>
      <c r="C295" s="81">
        <f>IF(ISNUMBER('Blind Scoring Sheet'!B295),'Blind Scoring Sheet'!B295,VALUE(TRIM(LEFT('Blind Scoring Sheet'!B295,FIND("|",'Blind Scoring Sheet'!B295)-1))))</f>
        <v/>
      </c>
      <c r="D295" s="81">
        <f>IF(ISNUMBER('Blind Scoring Sheet'!D295),'Blind Scoring Sheet'!D295,VALUE(TRIM(LEFT('Blind Scoring Sheet'!D295,FIND("|",'Blind Scoring Sheet'!D295)-1))))</f>
        <v/>
      </c>
      <c r="E295" s="81">
        <f>IF(ISNUMBER('Blind Scoring Sheet'!F295),'Blind Scoring Sheet'!F295,VALUE(TRIM(LEFT('Blind Scoring Sheet'!F295,FIND("|",'Blind Scoring Sheet'!F295)-1))))</f>
        <v/>
      </c>
      <c r="F295" s="81">
        <f>IF(ISNUMBER('Blind Scoring Sheet'!H295),'Blind Scoring Sheet'!H295,VALUE(TRIM(LEFT('Blind Scoring Sheet'!H295,FIND("|",'Blind Scoring Sheet'!H295)-1))))</f>
        <v/>
      </c>
      <c r="G295" s="81">
        <f>IF(ISNUMBER('Blind Scoring Sheet'!J295),'Blind Scoring Sheet'!J295,VALUE(TRIM(LEFT('Blind Scoring Sheet'!J295,FIND("|",'Blind Scoring Sheet'!J295)-1))))</f>
        <v/>
      </c>
      <c r="H295" s="80">
        <f>IF(ISNUMBER(SEARCH("|",'Blind Scoring Sheet'!K295)),TRIM(LEFT('Blind Scoring Sheet'!K295,FIND("|",'Blind Scoring Sheet'!K295)-1)),TRIM('Blind Scoring Sheet'!K295))</f>
        <v/>
      </c>
    </row>
    <row r="296" ht="15" customHeight="1" s="38">
      <c r="A296" s="80">
        <f>'Blind Scoring Sheet'!A296</f>
        <v/>
      </c>
      <c r="B296" s="80">
        <f>MID(INDEX('Anonymization Key'!$B$4:$B$1003,MATCH(A296,'Anonymization Key'!$A$4:$A$1003,0)),3,2)</f>
        <v/>
      </c>
      <c r="C296" s="81">
        <f>IF(ISNUMBER('Blind Scoring Sheet'!B296),'Blind Scoring Sheet'!B296,VALUE(TRIM(LEFT('Blind Scoring Sheet'!B296,FIND("|",'Blind Scoring Sheet'!B296)-1))))</f>
        <v/>
      </c>
      <c r="D296" s="81">
        <f>IF(ISNUMBER('Blind Scoring Sheet'!D296),'Blind Scoring Sheet'!D296,VALUE(TRIM(LEFT('Blind Scoring Sheet'!D296,FIND("|",'Blind Scoring Sheet'!D296)-1))))</f>
        <v/>
      </c>
      <c r="E296" s="81">
        <f>IF(ISNUMBER('Blind Scoring Sheet'!F296),'Blind Scoring Sheet'!F296,VALUE(TRIM(LEFT('Blind Scoring Sheet'!F296,FIND("|",'Blind Scoring Sheet'!F296)-1))))</f>
        <v/>
      </c>
      <c r="F296" s="81">
        <f>IF(ISNUMBER('Blind Scoring Sheet'!H296),'Blind Scoring Sheet'!H296,VALUE(TRIM(LEFT('Blind Scoring Sheet'!H296,FIND("|",'Blind Scoring Sheet'!H296)-1))))</f>
        <v/>
      </c>
      <c r="G296" s="81">
        <f>IF(ISNUMBER('Blind Scoring Sheet'!J296),'Blind Scoring Sheet'!J296,VALUE(TRIM(LEFT('Blind Scoring Sheet'!J296,FIND("|",'Blind Scoring Sheet'!J296)-1))))</f>
        <v/>
      </c>
      <c r="H296" s="80">
        <f>IF(ISNUMBER(SEARCH("|",'Blind Scoring Sheet'!K296)),TRIM(LEFT('Blind Scoring Sheet'!K296,FIND("|",'Blind Scoring Sheet'!K296)-1)),TRIM('Blind Scoring Sheet'!K296))</f>
        <v/>
      </c>
    </row>
    <row r="297" ht="15" customHeight="1" s="38">
      <c r="A297" s="80">
        <f>'Blind Scoring Sheet'!A297</f>
        <v/>
      </c>
      <c r="B297" s="80">
        <f>MID(INDEX('Anonymization Key'!$B$4:$B$1003,MATCH(A297,'Anonymization Key'!$A$4:$A$1003,0)),3,2)</f>
        <v/>
      </c>
      <c r="C297" s="81">
        <f>IF(ISNUMBER('Blind Scoring Sheet'!B297),'Blind Scoring Sheet'!B297,VALUE(TRIM(LEFT('Blind Scoring Sheet'!B297,FIND("|",'Blind Scoring Sheet'!B297)-1))))</f>
        <v/>
      </c>
      <c r="D297" s="81">
        <f>IF(ISNUMBER('Blind Scoring Sheet'!D297),'Blind Scoring Sheet'!D297,VALUE(TRIM(LEFT('Blind Scoring Sheet'!D297,FIND("|",'Blind Scoring Sheet'!D297)-1))))</f>
        <v/>
      </c>
      <c r="E297" s="81">
        <f>IF(ISNUMBER('Blind Scoring Sheet'!F297),'Blind Scoring Sheet'!F297,VALUE(TRIM(LEFT('Blind Scoring Sheet'!F297,FIND("|",'Blind Scoring Sheet'!F297)-1))))</f>
        <v/>
      </c>
      <c r="F297" s="81">
        <f>IF(ISNUMBER('Blind Scoring Sheet'!H297),'Blind Scoring Sheet'!H297,VALUE(TRIM(LEFT('Blind Scoring Sheet'!H297,FIND("|",'Blind Scoring Sheet'!H297)-1))))</f>
        <v/>
      </c>
      <c r="G297" s="81">
        <f>IF(ISNUMBER('Blind Scoring Sheet'!J297),'Blind Scoring Sheet'!J297,VALUE(TRIM(LEFT('Blind Scoring Sheet'!J297,FIND("|",'Blind Scoring Sheet'!J297)-1))))</f>
        <v/>
      </c>
      <c r="H297" s="80">
        <f>IF(ISNUMBER(SEARCH("|",'Blind Scoring Sheet'!K297)),TRIM(LEFT('Blind Scoring Sheet'!K297,FIND("|",'Blind Scoring Sheet'!K297)-1)),TRIM('Blind Scoring Sheet'!K297))</f>
        <v/>
      </c>
    </row>
    <row r="298" ht="15" customHeight="1" s="38">
      <c r="A298" s="80">
        <f>'Blind Scoring Sheet'!A298</f>
        <v/>
      </c>
      <c r="B298" s="80">
        <f>MID(INDEX('Anonymization Key'!$B$4:$B$1003,MATCH(A298,'Anonymization Key'!$A$4:$A$1003,0)),3,2)</f>
        <v/>
      </c>
      <c r="C298" s="81">
        <f>IF(ISNUMBER('Blind Scoring Sheet'!B298),'Blind Scoring Sheet'!B298,VALUE(TRIM(LEFT('Blind Scoring Sheet'!B298,FIND("|",'Blind Scoring Sheet'!B298)-1))))</f>
        <v/>
      </c>
      <c r="D298" s="81">
        <f>IF(ISNUMBER('Blind Scoring Sheet'!D298),'Blind Scoring Sheet'!D298,VALUE(TRIM(LEFT('Blind Scoring Sheet'!D298,FIND("|",'Blind Scoring Sheet'!D298)-1))))</f>
        <v/>
      </c>
      <c r="E298" s="81">
        <f>IF(ISNUMBER('Blind Scoring Sheet'!F298),'Blind Scoring Sheet'!F298,VALUE(TRIM(LEFT('Blind Scoring Sheet'!F298,FIND("|",'Blind Scoring Sheet'!F298)-1))))</f>
        <v/>
      </c>
      <c r="F298" s="81">
        <f>IF(ISNUMBER('Blind Scoring Sheet'!H298),'Blind Scoring Sheet'!H298,VALUE(TRIM(LEFT('Blind Scoring Sheet'!H298,FIND("|",'Blind Scoring Sheet'!H298)-1))))</f>
        <v/>
      </c>
      <c r="G298" s="81">
        <f>IF(ISNUMBER('Blind Scoring Sheet'!J298),'Blind Scoring Sheet'!J298,VALUE(TRIM(LEFT('Blind Scoring Sheet'!J298,FIND("|",'Blind Scoring Sheet'!J298)-1))))</f>
        <v/>
      </c>
      <c r="H298" s="80">
        <f>IF(ISNUMBER(SEARCH("|",'Blind Scoring Sheet'!K298)),TRIM(LEFT('Blind Scoring Sheet'!K298,FIND("|",'Blind Scoring Sheet'!K298)-1)),TRIM('Blind Scoring Sheet'!K298))</f>
        <v/>
      </c>
    </row>
    <row r="299" ht="15" customHeight="1" s="38">
      <c r="A299" s="80">
        <f>'Blind Scoring Sheet'!A299</f>
        <v/>
      </c>
      <c r="B299" s="80">
        <f>MID(INDEX('Anonymization Key'!$B$4:$B$1003,MATCH(A299,'Anonymization Key'!$A$4:$A$1003,0)),3,2)</f>
        <v/>
      </c>
      <c r="C299" s="81">
        <f>IF(ISNUMBER('Blind Scoring Sheet'!B299),'Blind Scoring Sheet'!B299,VALUE(TRIM(LEFT('Blind Scoring Sheet'!B299,FIND("|",'Blind Scoring Sheet'!B299)-1))))</f>
        <v/>
      </c>
      <c r="D299" s="81">
        <f>IF(ISNUMBER('Blind Scoring Sheet'!D299),'Blind Scoring Sheet'!D299,VALUE(TRIM(LEFT('Blind Scoring Sheet'!D299,FIND("|",'Blind Scoring Sheet'!D299)-1))))</f>
        <v/>
      </c>
      <c r="E299" s="81">
        <f>IF(ISNUMBER('Blind Scoring Sheet'!F299),'Blind Scoring Sheet'!F299,VALUE(TRIM(LEFT('Blind Scoring Sheet'!F299,FIND("|",'Blind Scoring Sheet'!F299)-1))))</f>
        <v/>
      </c>
      <c r="F299" s="81">
        <f>IF(ISNUMBER('Blind Scoring Sheet'!H299),'Blind Scoring Sheet'!H299,VALUE(TRIM(LEFT('Blind Scoring Sheet'!H299,FIND("|",'Blind Scoring Sheet'!H299)-1))))</f>
        <v/>
      </c>
      <c r="G299" s="81">
        <f>IF(ISNUMBER('Blind Scoring Sheet'!J299),'Blind Scoring Sheet'!J299,VALUE(TRIM(LEFT('Blind Scoring Sheet'!J299,FIND("|",'Blind Scoring Sheet'!J299)-1))))</f>
        <v/>
      </c>
      <c r="H299" s="80">
        <f>IF(ISNUMBER(SEARCH("|",'Blind Scoring Sheet'!K299)),TRIM(LEFT('Blind Scoring Sheet'!K299,FIND("|",'Blind Scoring Sheet'!K299)-1)),TRIM('Blind Scoring Sheet'!K299))</f>
        <v/>
      </c>
    </row>
    <row r="300" ht="15" customHeight="1" s="38">
      <c r="A300" s="80">
        <f>'Blind Scoring Sheet'!A300</f>
        <v/>
      </c>
      <c r="B300" s="80">
        <f>MID(INDEX('Anonymization Key'!$B$4:$B$1003,MATCH(A300,'Anonymization Key'!$A$4:$A$1003,0)),3,2)</f>
        <v/>
      </c>
      <c r="C300" s="81">
        <f>IF(ISNUMBER('Blind Scoring Sheet'!B300),'Blind Scoring Sheet'!B300,VALUE(TRIM(LEFT('Blind Scoring Sheet'!B300,FIND("|",'Blind Scoring Sheet'!B300)-1))))</f>
        <v/>
      </c>
      <c r="D300" s="81">
        <f>IF(ISNUMBER('Blind Scoring Sheet'!D300),'Blind Scoring Sheet'!D300,VALUE(TRIM(LEFT('Blind Scoring Sheet'!D300,FIND("|",'Blind Scoring Sheet'!D300)-1))))</f>
        <v/>
      </c>
      <c r="E300" s="81">
        <f>IF(ISNUMBER('Blind Scoring Sheet'!F300),'Blind Scoring Sheet'!F300,VALUE(TRIM(LEFT('Blind Scoring Sheet'!F300,FIND("|",'Blind Scoring Sheet'!F300)-1))))</f>
        <v/>
      </c>
      <c r="F300" s="81">
        <f>IF(ISNUMBER('Blind Scoring Sheet'!H300),'Blind Scoring Sheet'!H300,VALUE(TRIM(LEFT('Blind Scoring Sheet'!H300,FIND("|",'Blind Scoring Sheet'!H300)-1))))</f>
        <v/>
      </c>
      <c r="G300" s="81">
        <f>IF(ISNUMBER('Blind Scoring Sheet'!J300),'Blind Scoring Sheet'!J300,VALUE(TRIM(LEFT('Blind Scoring Sheet'!J300,FIND("|",'Blind Scoring Sheet'!J300)-1))))</f>
        <v/>
      </c>
      <c r="H300" s="80">
        <f>IF(ISNUMBER(SEARCH("|",'Blind Scoring Sheet'!K300)),TRIM(LEFT('Blind Scoring Sheet'!K300,FIND("|",'Blind Scoring Sheet'!K300)-1)),TRIM('Blind Scoring Sheet'!K300))</f>
        <v/>
      </c>
    </row>
    <row r="301" ht="15" customHeight="1" s="38">
      <c r="A301" s="80">
        <f>'Blind Scoring Sheet'!A301</f>
        <v/>
      </c>
      <c r="B301" s="80">
        <f>MID(INDEX('Anonymization Key'!$B$4:$B$1003,MATCH(A301,'Anonymization Key'!$A$4:$A$1003,0)),3,2)</f>
        <v/>
      </c>
      <c r="C301" s="81">
        <f>IF(ISNUMBER('Blind Scoring Sheet'!B301),'Blind Scoring Sheet'!B301,VALUE(TRIM(LEFT('Blind Scoring Sheet'!B301,FIND("|",'Blind Scoring Sheet'!B301)-1))))</f>
        <v/>
      </c>
      <c r="D301" s="81">
        <f>IF(ISNUMBER('Blind Scoring Sheet'!D301),'Blind Scoring Sheet'!D301,VALUE(TRIM(LEFT('Blind Scoring Sheet'!D301,FIND("|",'Blind Scoring Sheet'!D301)-1))))</f>
        <v/>
      </c>
      <c r="E301" s="81">
        <f>IF(ISNUMBER('Blind Scoring Sheet'!F301),'Blind Scoring Sheet'!F301,VALUE(TRIM(LEFT('Blind Scoring Sheet'!F301,FIND("|",'Blind Scoring Sheet'!F301)-1))))</f>
        <v/>
      </c>
      <c r="F301" s="81">
        <f>IF(ISNUMBER('Blind Scoring Sheet'!H301),'Blind Scoring Sheet'!H301,VALUE(TRIM(LEFT('Blind Scoring Sheet'!H301,FIND("|",'Blind Scoring Sheet'!H301)-1))))</f>
        <v/>
      </c>
      <c r="G301" s="81">
        <f>IF(ISNUMBER('Blind Scoring Sheet'!J301),'Blind Scoring Sheet'!J301,VALUE(TRIM(LEFT('Blind Scoring Sheet'!J301,FIND("|",'Blind Scoring Sheet'!J301)-1))))</f>
        <v/>
      </c>
      <c r="H301" s="80">
        <f>IF(ISNUMBER(SEARCH("|",'Blind Scoring Sheet'!K301)),TRIM(LEFT('Blind Scoring Sheet'!K301,FIND("|",'Blind Scoring Sheet'!K301)-1)),TRIM('Blind Scoring Sheet'!K301))</f>
        <v/>
      </c>
    </row>
    <row r="302" ht="15" customHeight="1" s="38">
      <c r="A302" s="80">
        <f>'Blind Scoring Sheet'!A302</f>
        <v/>
      </c>
      <c r="B302" s="80">
        <f>MID(INDEX('Anonymization Key'!$B$4:$B$1003,MATCH(A302,'Anonymization Key'!$A$4:$A$1003,0)),3,2)</f>
        <v/>
      </c>
      <c r="C302" s="81">
        <f>IF(ISNUMBER('Blind Scoring Sheet'!B302),'Blind Scoring Sheet'!B302,VALUE(TRIM(LEFT('Blind Scoring Sheet'!B302,FIND("|",'Blind Scoring Sheet'!B302)-1))))</f>
        <v/>
      </c>
      <c r="D302" s="81">
        <f>IF(ISNUMBER('Blind Scoring Sheet'!D302),'Blind Scoring Sheet'!D302,VALUE(TRIM(LEFT('Blind Scoring Sheet'!D302,FIND("|",'Blind Scoring Sheet'!D302)-1))))</f>
        <v/>
      </c>
      <c r="E302" s="81">
        <f>IF(ISNUMBER('Blind Scoring Sheet'!F302),'Blind Scoring Sheet'!F302,VALUE(TRIM(LEFT('Blind Scoring Sheet'!F302,FIND("|",'Blind Scoring Sheet'!F302)-1))))</f>
        <v/>
      </c>
      <c r="F302" s="81">
        <f>IF(ISNUMBER('Blind Scoring Sheet'!H302),'Blind Scoring Sheet'!H302,VALUE(TRIM(LEFT('Blind Scoring Sheet'!H302,FIND("|",'Blind Scoring Sheet'!H302)-1))))</f>
        <v/>
      </c>
      <c r="G302" s="81">
        <f>IF(ISNUMBER('Blind Scoring Sheet'!J302),'Blind Scoring Sheet'!J302,VALUE(TRIM(LEFT('Blind Scoring Sheet'!J302,FIND("|",'Blind Scoring Sheet'!J302)-1))))</f>
        <v/>
      </c>
      <c r="H302" s="80">
        <f>IF(ISNUMBER(SEARCH("|",'Blind Scoring Sheet'!K302)),TRIM(LEFT('Blind Scoring Sheet'!K302,FIND("|",'Blind Scoring Sheet'!K302)-1)),TRIM('Blind Scoring Sheet'!K302))</f>
        <v/>
      </c>
    </row>
    <row r="303" ht="15" customHeight="1" s="38">
      <c r="A303" s="80">
        <f>'Blind Scoring Sheet'!A303</f>
        <v/>
      </c>
      <c r="B303" s="80">
        <f>MID(INDEX('Anonymization Key'!$B$4:$B$1003,MATCH(A303,'Anonymization Key'!$A$4:$A$1003,0)),3,2)</f>
        <v/>
      </c>
      <c r="C303" s="81">
        <f>IF(ISNUMBER('Blind Scoring Sheet'!B303),'Blind Scoring Sheet'!B303,VALUE(TRIM(LEFT('Blind Scoring Sheet'!B303,FIND("|",'Blind Scoring Sheet'!B303)-1))))</f>
        <v/>
      </c>
      <c r="D303" s="81">
        <f>IF(ISNUMBER('Blind Scoring Sheet'!D303),'Blind Scoring Sheet'!D303,VALUE(TRIM(LEFT('Blind Scoring Sheet'!D303,FIND("|",'Blind Scoring Sheet'!D303)-1))))</f>
        <v/>
      </c>
      <c r="E303" s="81">
        <f>IF(ISNUMBER('Blind Scoring Sheet'!F303),'Blind Scoring Sheet'!F303,VALUE(TRIM(LEFT('Blind Scoring Sheet'!F303,FIND("|",'Blind Scoring Sheet'!F303)-1))))</f>
        <v/>
      </c>
      <c r="F303" s="81">
        <f>IF(ISNUMBER('Blind Scoring Sheet'!H303),'Blind Scoring Sheet'!H303,VALUE(TRIM(LEFT('Blind Scoring Sheet'!H303,FIND("|",'Blind Scoring Sheet'!H303)-1))))</f>
        <v/>
      </c>
      <c r="G303" s="81">
        <f>IF(ISNUMBER('Blind Scoring Sheet'!J303),'Blind Scoring Sheet'!J303,VALUE(TRIM(LEFT('Blind Scoring Sheet'!J303,FIND("|",'Blind Scoring Sheet'!J303)-1))))</f>
        <v/>
      </c>
      <c r="H303" s="80">
        <f>IF(ISNUMBER(SEARCH("|",'Blind Scoring Sheet'!K303)),TRIM(LEFT('Blind Scoring Sheet'!K303,FIND("|",'Blind Scoring Sheet'!K303)-1)),TRIM('Blind Scoring Sheet'!K303))</f>
        <v/>
      </c>
    </row>
    <row r="304" ht="15" customHeight="1" s="38">
      <c r="A304" s="80">
        <f>'Blind Scoring Sheet'!A304</f>
        <v/>
      </c>
      <c r="B304" s="80">
        <f>MID(INDEX('Anonymization Key'!$B$4:$B$1003,MATCH(A304,'Anonymization Key'!$A$4:$A$1003,0)),3,2)</f>
        <v/>
      </c>
      <c r="C304" s="81">
        <f>IF(ISNUMBER('Blind Scoring Sheet'!B304),'Blind Scoring Sheet'!B304,VALUE(TRIM(LEFT('Blind Scoring Sheet'!B304,FIND("|",'Blind Scoring Sheet'!B304)-1))))</f>
        <v/>
      </c>
      <c r="D304" s="81">
        <f>IF(ISNUMBER('Blind Scoring Sheet'!D304),'Blind Scoring Sheet'!D304,VALUE(TRIM(LEFT('Blind Scoring Sheet'!D304,FIND("|",'Blind Scoring Sheet'!D304)-1))))</f>
        <v/>
      </c>
      <c r="E304" s="81">
        <f>IF(ISNUMBER('Blind Scoring Sheet'!F304),'Blind Scoring Sheet'!F304,VALUE(TRIM(LEFT('Blind Scoring Sheet'!F304,FIND("|",'Blind Scoring Sheet'!F304)-1))))</f>
        <v/>
      </c>
      <c r="F304" s="81">
        <f>IF(ISNUMBER('Blind Scoring Sheet'!H304),'Blind Scoring Sheet'!H304,VALUE(TRIM(LEFT('Blind Scoring Sheet'!H304,FIND("|",'Blind Scoring Sheet'!H304)-1))))</f>
        <v/>
      </c>
      <c r="G304" s="81">
        <f>IF(ISNUMBER('Blind Scoring Sheet'!J304),'Blind Scoring Sheet'!J304,VALUE(TRIM(LEFT('Blind Scoring Sheet'!J304,FIND("|",'Blind Scoring Sheet'!J304)-1))))</f>
        <v/>
      </c>
      <c r="H304" s="80">
        <f>IF(ISNUMBER(SEARCH("|",'Blind Scoring Sheet'!K304)),TRIM(LEFT('Blind Scoring Sheet'!K304,FIND("|",'Blind Scoring Sheet'!K304)-1)),TRIM('Blind Scoring Sheet'!K304))</f>
        <v/>
      </c>
    </row>
    <row r="305" ht="15" customHeight="1" s="38">
      <c r="A305" s="80">
        <f>'Blind Scoring Sheet'!A305</f>
        <v/>
      </c>
      <c r="B305" s="80">
        <f>MID(INDEX('Anonymization Key'!$B$4:$B$1003,MATCH(A305,'Anonymization Key'!$A$4:$A$1003,0)),3,2)</f>
        <v/>
      </c>
      <c r="C305" s="81">
        <f>IF(ISNUMBER('Blind Scoring Sheet'!B305),'Blind Scoring Sheet'!B305,VALUE(TRIM(LEFT('Blind Scoring Sheet'!B305,FIND("|",'Blind Scoring Sheet'!B305)-1))))</f>
        <v/>
      </c>
      <c r="D305" s="81">
        <f>IF(ISNUMBER('Blind Scoring Sheet'!D305),'Blind Scoring Sheet'!D305,VALUE(TRIM(LEFT('Blind Scoring Sheet'!D305,FIND("|",'Blind Scoring Sheet'!D305)-1))))</f>
        <v/>
      </c>
      <c r="E305" s="81">
        <f>IF(ISNUMBER('Blind Scoring Sheet'!F305),'Blind Scoring Sheet'!F305,VALUE(TRIM(LEFT('Blind Scoring Sheet'!F305,FIND("|",'Blind Scoring Sheet'!F305)-1))))</f>
        <v/>
      </c>
      <c r="F305" s="81">
        <f>IF(ISNUMBER('Blind Scoring Sheet'!H305),'Blind Scoring Sheet'!H305,VALUE(TRIM(LEFT('Blind Scoring Sheet'!H305,FIND("|",'Blind Scoring Sheet'!H305)-1))))</f>
        <v/>
      </c>
      <c r="G305" s="81">
        <f>IF(ISNUMBER('Blind Scoring Sheet'!J305),'Blind Scoring Sheet'!J305,VALUE(TRIM(LEFT('Blind Scoring Sheet'!J305,FIND("|",'Blind Scoring Sheet'!J305)-1))))</f>
        <v/>
      </c>
      <c r="H305" s="80">
        <f>IF(ISNUMBER(SEARCH("|",'Blind Scoring Sheet'!K305)),TRIM(LEFT('Blind Scoring Sheet'!K305,FIND("|",'Blind Scoring Sheet'!K305)-1)),TRIM('Blind Scoring Sheet'!K305))</f>
        <v/>
      </c>
    </row>
    <row r="306" ht="15" customHeight="1" s="38">
      <c r="A306" s="80">
        <f>'Blind Scoring Sheet'!A306</f>
        <v/>
      </c>
      <c r="B306" s="80">
        <f>MID(INDEX('Anonymization Key'!$B$4:$B$1003,MATCH(A306,'Anonymization Key'!$A$4:$A$1003,0)),3,2)</f>
        <v/>
      </c>
      <c r="C306" s="81">
        <f>IF(ISNUMBER('Blind Scoring Sheet'!B306),'Blind Scoring Sheet'!B306,VALUE(TRIM(LEFT('Blind Scoring Sheet'!B306,FIND("|",'Blind Scoring Sheet'!B306)-1))))</f>
        <v/>
      </c>
      <c r="D306" s="81">
        <f>IF(ISNUMBER('Blind Scoring Sheet'!D306),'Blind Scoring Sheet'!D306,VALUE(TRIM(LEFT('Blind Scoring Sheet'!D306,FIND("|",'Blind Scoring Sheet'!D306)-1))))</f>
        <v/>
      </c>
      <c r="E306" s="81">
        <f>IF(ISNUMBER('Blind Scoring Sheet'!F306),'Blind Scoring Sheet'!F306,VALUE(TRIM(LEFT('Blind Scoring Sheet'!F306,FIND("|",'Blind Scoring Sheet'!F306)-1))))</f>
        <v/>
      </c>
      <c r="F306" s="81">
        <f>IF(ISNUMBER('Blind Scoring Sheet'!H306),'Blind Scoring Sheet'!H306,VALUE(TRIM(LEFT('Blind Scoring Sheet'!H306,FIND("|",'Blind Scoring Sheet'!H306)-1))))</f>
        <v/>
      </c>
      <c r="G306" s="81">
        <f>IF(ISNUMBER('Blind Scoring Sheet'!J306),'Blind Scoring Sheet'!J306,VALUE(TRIM(LEFT('Blind Scoring Sheet'!J306,FIND("|",'Blind Scoring Sheet'!J306)-1))))</f>
        <v/>
      </c>
      <c r="H306" s="80">
        <f>IF(ISNUMBER(SEARCH("|",'Blind Scoring Sheet'!K306)),TRIM(LEFT('Blind Scoring Sheet'!K306,FIND("|",'Blind Scoring Sheet'!K306)-1)),TRIM('Blind Scoring Sheet'!K306))</f>
        <v/>
      </c>
    </row>
    <row r="307" ht="15" customHeight="1" s="38">
      <c r="A307" s="80">
        <f>'Blind Scoring Sheet'!A307</f>
        <v/>
      </c>
      <c r="B307" s="80">
        <f>MID(INDEX('Anonymization Key'!$B$4:$B$1003,MATCH(A307,'Anonymization Key'!$A$4:$A$1003,0)),3,2)</f>
        <v/>
      </c>
      <c r="C307" s="81">
        <f>IF(ISNUMBER('Blind Scoring Sheet'!B307),'Blind Scoring Sheet'!B307,VALUE(TRIM(LEFT('Blind Scoring Sheet'!B307,FIND("|",'Blind Scoring Sheet'!B307)-1))))</f>
        <v/>
      </c>
      <c r="D307" s="81">
        <f>IF(ISNUMBER('Blind Scoring Sheet'!D307),'Blind Scoring Sheet'!D307,VALUE(TRIM(LEFT('Blind Scoring Sheet'!D307,FIND("|",'Blind Scoring Sheet'!D307)-1))))</f>
        <v/>
      </c>
      <c r="E307" s="81">
        <f>IF(ISNUMBER('Blind Scoring Sheet'!F307),'Blind Scoring Sheet'!F307,VALUE(TRIM(LEFT('Blind Scoring Sheet'!F307,FIND("|",'Blind Scoring Sheet'!F307)-1))))</f>
        <v/>
      </c>
      <c r="F307" s="81">
        <f>IF(ISNUMBER('Blind Scoring Sheet'!H307),'Blind Scoring Sheet'!H307,VALUE(TRIM(LEFT('Blind Scoring Sheet'!H307,FIND("|",'Blind Scoring Sheet'!H307)-1))))</f>
        <v/>
      </c>
      <c r="G307" s="81">
        <f>IF(ISNUMBER('Blind Scoring Sheet'!J307),'Blind Scoring Sheet'!J307,VALUE(TRIM(LEFT('Blind Scoring Sheet'!J307,FIND("|",'Blind Scoring Sheet'!J307)-1))))</f>
        <v/>
      </c>
      <c r="H307" s="80">
        <f>IF(ISNUMBER(SEARCH("|",'Blind Scoring Sheet'!K307)),TRIM(LEFT('Blind Scoring Sheet'!K307,FIND("|",'Blind Scoring Sheet'!K307)-1)),TRIM('Blind Scoring Sheet'!K307))</f>
        <v/>
      </c>
    </row>
    <row r="308" ht="15" customHeight="1" s="38">
      <c r="A308" s="80">
        <f>'Blind Scoring Sheet'!A308</f>
        <v/>
      </c>
      <c r="B308" s="80">
        <f>MID(INDEX('Anonymization Key'!$B$4:$B$1003,MATCH(A308,'Anonymization Key'!$A$4:$A$1003,0)),3,2)</f>
        <v/>
      </c>
      <c r="C308" s="81">
        <f>IF(ISNUMBER('Blind Scoring Sheet'!B308),'Blind Scoring Sheet'!B308,VALUE(TRIM(LEFT('Blind Scoring Sheet'!B308,FIND("|",'Blind Scoring Sheet'!B308)-1))))</f>
        <v/>
      </c>
      <c r="D308" s="81">
        <f>IF(ISNUMBER('Blind Scoring Sheet'!D308),'Blind Scoring Sheet'!D308,VALUE(TRIM(LEFT('Blind Scoring Sheet'!D308,FIND("|",'Blind Scoring Sheet'!D308)-1))))</f>
        <v/>
      </c>
      <c r="E308" s="81">
        <f>IF(ISNUMBER('Blind Scoring Sheet'!F308),'Blind Scoring Sheet'!F308,VALUE(TRIM(LEFT('Blind Scoring Sheet'!F308,FIND("|",'Blind Scoring Sheet'!F308)-1))))</f>
        <v/>
      </c>
      <c r="F308" s="81">
        <f>IF(ISNUMBER('Blind Scoring Sheet'!H308),'Blind Scoring Sheet'!H308,VALUE(TRIM(LEFT('Blind Scoring Sheet'!H308,FIND("|",'Blind Scoring Sheet'!H308)-1))))</f>
        <v/>
      </c>
      <c r="G308" s="81">
        <f>IF(ISNUMBER('Blind Scoring Sheet'!J308),'Blind Scoring Sheet'!J308,VALUE(TRIM(LEFT('Blind Scoring Sheet'!J308,FIND("|",'Blind Scoring Sheet'!J308)-1))))</f>
        <v/>
      </c>
      <c r="H308" s="80">
        <f>IF(ISNUMBER(SEARCH("|",'Blind Scoring Sheet'!K308)),TRIM(LEFT('Blind Scoring Sheet'!K308,FIND("|",'Blind Scoring Sheet'!K308)-1)),TRIM('Blind Scoring Sheet'!K308))</f>
        <v/>
      </c>
    </row>
    <row r="309" ht="15" customHeight="1" s="38">
      <c r="A309" s="80">
        <f>'Blind Scoring Sheet'!A309</f>
        <v/>
      </c>
      <c r="B309" s="80">
        <f>MID(INDEX('Anonymization Key'!$B$4:$B$1003,MATCH(A309,'Anonymization Key'!$A$4:$A$1003,0)),3,2)</f>
        <v/>
      </c>
      <c r="C309" s="81">
        <f>IF(ISNUMBER('Blind Scoring Sheet'!B309),'Blind Scoring Sheet'!B309,VALUE(TRIM(LEFT('Blind Scoring Sheet'!B309,FIND("|",'Blind Scoring Sheet'!B309)-1))))</f>
        <v/>
      </c>
      <c r="D309" s="81">
        <f>IF(ISNUMBER('Blind Scoring Sheet'!D309),'Blind Scoring Sheet'!D309,VALUE(TRIM(LEFT('Blind Scoring Sheet'!D309,FIND("|",'Blind Scoring Sheet'!D309)-1))))</f>
        <v/>
      </c>
      <c r="E309" s="81">
        <f>IF(ISNUMBER('Blind Scoring Sheet'!F309),'Blind Scoring Sheet'!F309,VALUE(TRIM(LEFT('Blind Scoring Sheet'!F309,FIND("|",'Blind Scoring Sheet'!F309)-1))))</f>
        <v/>
      </c>
      <c r="F309" s="81">
        <f>IF(ISNUMBER('Blind Scoring Sheet'!H309),'Blind Scoring Sheet'!H309,VALUE(TRIM(LEFT('Blind Scoring Sheet'!H309,FIND("|",'Blind Scoring Sheet'!H309)-1))))</f>
        <v/>
      </c>
      <c r="G309" s="81">
        <f>IF(ISNUMBER('Blind Scoring Sheet'!J309),'Blind Scoring Sheet'!J309,VALUE(TRIM(LEFT('Blind Scoring Sheet'!J309,FIND("|",'Blind Scoring Sheet'!J309)-1))))</f>
        <v/>
      </c>
      <c r="H309" s="80">
        <f>IF(ISNUMBER(SEARCH("|",'Blind Scoring Sheet'!K309)),TRIM(LEFT('Blind Scoring Sheet'!K309,FIND("|",'Blind Scoring Sheet'!K309)-1)),TRIM('Blind Scoring Sheet'!K309))</f>
        <v/>
      </c>
    </row>
    <row r="310" ht="15" customHeight="1" s="38">
      <c r="A310" s="80">
        <f>'Blind Scoring Sheet'!A310</f>
        <v/>
      </c>
      <c r="B310" s="80">
        <f>MID(INDEX('Anonymization Key'!$B$4:$B$1003,MATCH(A310,'Anonymization Key'!$A$4:$A$1003,0)),3,2)</f>
        <v/>
      </c>
      <c r="C310" s="81">
        <f>IF(ISNUMBER('Blind Scoring Sheet'!B310),'Blind Scoring Sheet'!B310,VALUE(TRIM(LEFT('Blind Scoring Sheet'!B310,FIND("|",'Blind Scoring Sheet'!B310)-1))))</f>
        <v/>
      </c>
      <c r="D310" s="81">
        <f>IF(ISNUMBER('Blind Scoring Sheet'!D310),'Blind Scoring Sheet'!D310,VALUE(TRIM(LEFT('Blind Scoring Sheet'!D310,FIND("|",'Blind Scoring Sheet'!D310)-1))))</f>
        <v/>
      </c>
      <c r="E310" s="81">
        <f>IF(ISNUMBER('Blind Scoring Sheet'!F310),'Blind Scoring Sheet'!F310,VALUE(TRIM(LEFT('Blind Scoring Sheet'!F310,FIND("|",'Blind Scoring Sheet'!F310)-1))))</f>
        <v/>
      </c>
      <c r="F310" s="81">
        <f>IF(ISNUMBER('Blind Scoring Sheet'!H310),'Blind Scoring Sheet'!H310,VALUE(TRIM(LEFT('Blind Scoring Sheet'!H310,FIND("|",'Blind Scoring Sheet'!H310)-1))))</f>
        <v/>
      </c>
      <c r="G310" s="81">
        <f>IF(ISNUMBER('Blind Scoring Sheet'!J310),'Blind Scoring Sheet'!J310,VALUE(TRIM(LEFT('Blind Scoring Sheet'!J310,FIND("|",'Blind Scoring Sheet'!J310)-1))))</f>
        <v/>
      </c>
      <c r="H310" s="80">
        <f>IF(ISNUMBER(SEARCH("|",'Blind Scoring Sheet'!K310)),TRIM(LEFT('Blind Scoring Sheet'!K310,FIND("|",'Blind Scoring Sheet'!K310)-1)),TRIM('Blind Scoring Sheet'!K310))</f>
        <v/>
      </c>
    </row>
    <row r="311" ht="15" customHeight="1" s="38">
      <c r="A311" s="80">
        <f>'Blind Scoring Sheet'!A311</f>
        <v/>
      </c>
      <c r="B311" s="80">
        <f>MID(INDEX('Anonymization Key'!$B$4:$B$1003,MATCH(A311,'Anonymization Key'!$A$4:$A$1003,0)),3,2)</f>
        <v/>
      </c>
      <c r="C311" s="81">
        <f>IF(ISNUMBER('Blind Scoring Sheet'!B311),'Blind Scoring Sheet'!B311,VALUE(TRIM(LEFT('Blind Scoring Sheet'!B311,FIND("|",'Blind Scoring Sheet'!B311)-1))))</f>
        <v/>
      </c>
      <c r="D311" s="81">
        <f>IF(ISNUMBER('Blind Scoring Sheet'!D311),'Blind Scoring Sheet'!D311,VALUE(TRIM(LEFT('Blind Scoring Sheet'!D311,FIND("|",'Blind Scoring Sheet'!D311)-1))))</f>
        <v/>
      </c>
      <c r="E311" s="81">
        <f>IF(ISNUMBER('Blind Scoring Sheet'!F311),'Blind Scoring Sheet'!F311,VALUE(TRIM(LEFT('Blind Scoring Sheet'!F311,FIND("|",'Blind Scoring Sheet'!F311)-1))))</f>
        <v/>
      </c>
      <c r="F311" s="81">
        <f>IF(ISNUMBER('Blind Scoring Sheet'!H311),'Blind Scoring Sheet'!H311,VALUE(TRIM(LEFT('Blind Scoring Sheet'!H311,FIND("|",'Blind Scoring Sheet'!H311)-1))))</f>
        <v/>
      </c>
      <c r="G311" s="81">
        <f>IF(ISNUMBER('Blind Scoring Sheet'!J311),'Blind Scoring Sheet'!J311,VALUE(TRIM(LEFT('Blind Scoring Sheet'!J311,FIND("|",'Blind Scoring Sheet'!J311)-1))))</f>
        <v/>
      </c>
      <c r="H311" s="80">
        <f>IF(ISNUMBER(SEARCH("|",'Blind Scoring Sheet'!K311)),TRIM(LEFT('Blind Scoring Sheet'!K311,FIND("|",'Blind Scoring Sheet'!K311)-1)),TRIM('Blind Scoring Sheet'!K311))</f>
        <v/>
      </c>
    </row>
    <row r="312" ht="15" customHeight="1" s="38">
      <c r="A312" s="80">
        <f>'Blind Scoring Sheet'!A312</f>
        <v/>
      </c>
      <c r="B312" s="80">
        <f>MID(INDEX('Anonymization Key'!$B$4:$B$1003,MATCH(A312,'Anonymization Key'!$A$4:$A$1003,0)),3,2)</f>
        <v/>
      </c>
      <c r="C312" s="81">
        <f>IF(ISNUMBER('Blind Scoring Sheet'!B312),'Blind Scoring Sheet'!B312,VALUE(TRIM(LEFT('Blind Scoring Sheet'!B312,FIND("|",'Blind Scoring Sheet'!B312)-1))))</f>
        <v/>
      </c>
      <c r="D312" s="81">
        <f>IF(ISNUMBER('Blind Scoring Sheet'!D312),'Blind Scoring Sheet'!D312,VALUE(TRIM(LEFT('Blind Scoring Sheet'!D312,FIND("|",'Blind Scoring Sheet'!D312)-1))))</f>
        <v/>
      </c>
      <c r="E312" s="81">
        <f>IF(ISNUMBER('Blind Scoring Sheet'!F312),'Blind Scoring Sheet'!F312,VALUE(TRIM(LEFT('Blind Scoring Sheet'!F312,FIND("|",'Blind Scoring Sheet'!F312)-1))))</f>
        <v/>
      </c>
      <c r="F312" s="81">
        <f>IF(ISNUMBER('Blind Scoring Sheet'!H312),'Blind Scoring Sheet'!H312,VALUE(TRIM(LEFT('Blind Scoring Sheet'!H312,FIND("|",'Blind Scoring Sheet'!H312)-1))))</f>
        <v/>
      </c>
      <c r="G312" s="81">
        <f>IF(ISNUMBER('Blind Scoring Sheet'!J312),'Blind Scoring Sheet'!J312,VALUE(TRIM(LEFT('Blind Scoring Sheet'!J312,FIND("|",'Blind Scoring Sheet'!J312)-1))))</f>
        <v/>
      </c>
      <c r="H312" s="80">
        <f>IF(ISNUMBER(SEARCH("|",'Blind Scoring Sheet'!K312)),TRIM(LEFT('Blind Scoring Sheet'!K312,FIND("|",'Blind Scoring Sheet'!K312)-1)),TRIM('Blind Scoring Sheet'!K312))</f>
        <v/>
      </c>
    </row>
    <row r="313" ht="15" customHeight="1" s="38">
      <c r="A313" s="80">
        <f>'Blind Scoring Sheet'!A313</f>
        <v/>
      </c>
      <c r="B313" s="80">
        <f>MID(INDEX('Anonymization Key'!$B$4:$B$1003,MATCH(A313,'Anonymization Key'!$A$4:$A$1003,0)),3,2)</f>
        <v/>
      </c>
      <c r="C313" s="81">
        <f>IF(ISNUMBER('Blind Scoring Sheet'!B313),'Blind Scoring Sheet'!B313,VALUE(TRIM(LEFT('Blind Scoring Sheet'!B313,FIND("|",'Blind Scoring Sheet'!B313)-1))))</f>
        <v/>
      </c>
      <c r="D313" s="81">
        <f>IF(ISNUMBER('Blind Scoring Sheet'!D313),'Blind Scoring Sheet'!D313,VALUE(TRIM(LEFT('Blind Scoring Sheet'!D313,FIND("|",'Blind Scoring Sheet'!D313)-1))))</f>
        <v/>
      </c>
      <c r="E313" s="81">
        <f>IF(ISNUMBER('Blind Scoring Sheet'!F313),'Blind Scoring Sheet'!F313,VALUE(TRIM(LEFT('Blind Scoring Sheet'!F313,FIND("|",'Blind Scoring Sheet'!F313)-1))))</f>
        <v/>
      </c>
      <c r="F313" s="81">
        <f>IF(ISNUMBER('Blind Scoring Sheet'!H313),'Blind Scoring Sheet'!H313,VALUE(TRIM(LEFT('Blind Scoring Sheet'!H313,FIND("|",'Blind Scoring Sheet'!H313)-1))))</f>
        <v/>
      </c>
      <c r="G313" s="81">
        <f>IF(ISNUMBER('Blind Scoring Sheet'!J313),'Blind Scoring Sheet'!J313,VALUE(TRIM(LEFT('Blind Scoring Sheet'!J313,FIND("|",'Blind Scoring Sheet'!J313)-1))))</f>
        <v/>
      </c>
      <c r="H313" s="80">
        <f>IF(ISNUMBER(SEARCH("|",'Blind Scoring Sheet'!K313)),TRIM(LEFT('Blind Scoring Sheet'!K313,FIND("|",'Blind Scoring Sheet'!K313)-1)),TRIM('Blind Scoring Sheet'!K313))</f>
        <v/>
      </c>
    </row>
    <row r="314" ht="15" customHeight="1" s="38">
      <c r="A314" s="80">
        <f>'Blind Scoring Sheet'!A314</f>
        <v/>
      </c>
      <c r="B314" s="80">
        <f>MID(INDEX('Anonymization Key'!$B$4:$B$1003,MATCH(A314,'Anonymization Key'!$A$4:$A$1003,0)),3,2)</f>
        <v/>
      </c>
      <c r="C314" s="81">
        <f>IF(ISNUMBER('Blind Scoring Sheet'!B314),'Blind Scoring Sheet'!B314,VALUE(TRIM(LEFT('Blind Scoring Sheet'!B314,FIND("|",'Blind Scoring Sheet'!B314)-1))))</f>
        <v/>
      </c>
      <c r="D314" s="81">
        <f>IF(ISNUMBER('Blind Scoring Sheet'!D314),'Blind Scoring Sheet'!D314,VALUE(TRIM(LEFT('Blind Scoring Sheet'!D314,FIND("|",'Blind Scoring Sheet'!D314)-1))))</f>
        <v/>
      </c>
      <c r="E314" s="81">
        <f>IF(ISNUMBER('Blind Scoring Sheet'!F314),'Blind Scoring Sheet'!F314,VALUE(TRIM(LEFT('Blind Scoring Sheet'!F314,FIND("|",'Blind Scoring Sheet'!F314)-1))))</f>
        <v/>
      </c>
      <c r="F314" s="81">
        <f>IF(ISNUMBER('Blind Scoring Sheet'!H314),'Blind Scoring Sheet'!H314,VALUE(TRIM(LEFT('Blind Scoring Sheet'!H314,FIND("|",'Blind Scoring Sheet'!H314)-1))))</f>
        <v/>
      </c>
      <c r="G314" s="81">
        <f>IF(ISNUMBER('Blind Scoring Sheet'!J314),'Blind Scoring Sheet'!J314,VALUE(TRIM(LEFT('Blind Scoring Sheet'!J314,FIND("|",'Blind Scoring Sheet'!J314)-1))))</f>
        <v/>
      </c>
      <c r="H314" s="80">
        <f>IF(ISNUMBER(SEARCH("|",'Blind Scoring Sheet'!K314)),TRIM(LEFT('Blind Scoring Sheet'!K314,FIND("|",'Blind Scoring Sheet'!K314)-1)),TRIM('Blind Scoring Sheet'!K314))</f>
        <v/>
      </c>
    </row>
    <row r="315" ht="15" customHeight="1" s="38">
      <c r="A315" s="80">
        <f>'Blind Scoring Sheet'!A315</f>
        <v/>
      </c>
      <c r="B315" s="80">
        <f>MID(INDEX('Anonymization Key'!$B$4:$B$1003,MATCH(A315,'Anonymization Key'!$A$4:$A$1003,0)),3,2)</f>
        <v/>
      </c>
      <c r="C315" s="81">
        <f>IF(ISNUMBER('Blind Scoring Sheet'!B315),'Blind Scoring Sheet'!B315,VALUE(TRIM(LEFT('Blind Scoring Sheet'!B315,FIND("|",'Blind Scoring Sheet'!B315)-1))))</f>
        <v/>
      </c>
      <c r="D315" s="81">
        <f>IF(ISNUMBER('Blind Scoring Sheet'!D315),'Blind Scoring Sheet'!D315,VALUE(TRIM(LEFT('Blind Scoring Sheet'!D315,FIND("|",'Blind Scoring Sheet'!D315)-1))))</f>
        <v/>
      </c>
      <c r="E315" s="81">
        <f>IF(ISNUMBER('Blind Scoring Sheet'!F315),'Blind Scoring Sheet'!F315,VALUE(TRIM(LEFT('Blind Scoring Sheet'!F315,FIND("|",'Blind Scoring Sheet'!F315)-1))))</f>
        <v/>
      </c>
      <c r="F315" s="81">
        <f>IF(ISNUMBER('Blind Scoring Sheet'!H315),'Blind Scoring Sheet'!H315,VALUE(TRIM(LEFT('Blind Scoring Sheet'!H315,FIND("|",'Blind Scoring Sheet'!H315)-1))))</f>
        <v/>
      </c>
      <c r="G315" s="81">
        <f>IF(ISNUMBER('Blind Scoring Sheet'!J315),'Blind Scoring Sheet'!J315,VALUE(TRIM(LEFT('Blind Scoring Sheet'!J315,FIND("|",'Blind Scoring Sheet'!J315)-1))))</f>
        <v/>
      </c>
      <c r="H315" s="80">
        <f>IF(ISNUMBER(SEARCH("|",'Blind Scoring Sheet'!K315)),TRIM(LEFT('Blind Scoring Sheet'!K315,FIND("|",'Blind Scoring Sheet'!K315)-1)),TRIM('Blind Scoring Sheet'!K315))</f>
        <v/>
      </c>
    </row>
    <row r="316" ht="15" customHeight="1" s="38">
      <c r="A316" s="80">
        <f>'Blind Scoring Sheet'!A316</f>
        <v/>
      </c>
      <c r="B316" s="80">
        <f>MID(INDEX('Anonymization Key'!$B$4:$B$1003,MATCH(A316,'Anonymization Key'!$A$4:$A$1003,0)),3,2)</f>
        <v/>
      </c>
      <c r="C316" s="81">
        <f>IF(ISNUMBER('Blind Scoring Sheet'!B316),'Blind Scoring Sheet'!B316,VALUE(TRIM(LEFT('Blind Scoring Sheet'!B316,FIND("|",'Blind Scoring Sheet'!B316)-1))))</f>
        <v/>
      </c>
      <c r="D316" s="81">
        <f>IF(ISNUMBER('Blind Scoring Sheet'!D316),'Blind Scoring Sheet'!D316,VALUE(TRIM(LEFT('Blind Scoring Sheet'!D316,FIND("|",'Blind Scoring Sheet'!D316)-1))))</f>
        <v/>
      </c>
      <c r="E316" s="81">
        <f>IF(ISNUMBER('Blind Scoring Sheet'!F316),'Blind Scoring Sheet'!F316,VALUE(TRIM(LEFT('Blind Scoring Sheet'!F316,FIND("|",'Blind Scoring Sheet'!F316)-1))))</f>
        <v/>
      </c>
      <c r="F316" s="81">
        <f>IF(ISNUMBER('Blind Scoring Sheet'!H316),'Blind Scoring Sheet'!H316,VALUE(TRIM(LEFT('Blind Scoring Sheet'!H316,FIND("|",'Blind Scoring Sheet'!H316)-1))))</f>
        <v/>
      </c>
      <c r="G316" s="81">
        <f>IF(ISNUMBER('Blind Scoring Sheet'!J316),'Blind Scoring Sheet'!J316,VALUE(TRIM(LEFT('Blind Scoring Sheet'!J316,FIND("|",'Blind Scoring Sheet'!J316)-1))))</f>
        <v/>
      </c>
      <c r="H316" s="80">
        <f>IF(ISNUMBER(SEARCH("|",'Blind Scoring Sheet'!K316)),TRIM(LEFT('Blind Scoring Sheet'!K316,FIND("|",'Blind Scoring Sheet'!K316)-1)),TRIM('Blind Scoring Sheet'!K316))</f>
        <v/>
      </c>
    </row>
    <row r="317" ht="15" customHeight="1" s="38">
      <c r="A317" s="80">
        <f>'Blind Scoring Sheet'!A317</f>
        <v/>
      </c>
      <c r="B317" s="80">
        <f>MID(INDEX('Anonymization Key'!$B$4:$B$1003,MATCH(A317,'Anonymization Key'!$A$4:$A$1003,0)),3,2)</f>
        <v/>
      </c>
      <c r="C317" s="81">
        <f>IF(ISNUMBER('Blind Scoring Sheet'!B317),'Blind Scoring Sheet'!B317,VALUE(TRIM(LEFT('Blind Scoring Sheet'!B317,FIND("|",'Blind Scoring Sheet'!B317)-1))))</f>
        <v/>
      </c>
      <c r="D317" s="81">
        <f>IF(ISNUMBER('Blind Scoring Sheet'!D317),'Blind Scoring Sheet'!D317,VALUE(TRIM(LEFT('Blind Scoring Sheet'!D317,FIND("|",'Blind Scoring Sheet'!D317)-1))))</f>
        <v/>
      </c>
      <c r="E317" s="81">
        <f>IF(ISNUMBER('Blind Scoring Sheet'!F317),'Blind Scoring Sheet'!F317,VALUE(TRIM(LEFT('Blind Scoring Sheet'!F317,FIND("|",'Blind Scoring Sheet'!F317)-1))))</f>
        <v/>
      </c>
      <c r="F317" s="81">
        <f>IF(ISNUMBER('Blind Scoring Sheet'!H317),'Blind Scoring Sheet'!H317,VALUE(TRIM(LEFT('Blind Scoring Sheet'!H317,FIND("|",'Blind Scoring Sheet'!H317)-1))))</f>
        <v/>
      </c>
      <c r="G317" s="81">
        <f>IF(ISNUMBER('Blind Scoring Sheet'!J317),'Blind Scoring Sheet'!J317,VALUE(TRIM(LEFT('Blind Scoring Sheet'!J317,FIND("|",'Blind Scoring Sheet'!J317)-1))))</f>
        <v/>
      </c>
      <c r="H317" s="80">
        <f>IF(ISNUMBER(SEARCH("|",'Blind Scoring Sheet'!K317)),TRIM(LEFT('Blind Scoring Sheet'!K317,FIND("|",'Blind Scoring Sheet'!K317)-1)),TRIM('Blind Scoring Sheet'!K317))</f>
        <v/>
      </c>
    </row>
    <row r="318" ht="15" customHeight="1" s="38">
      <c r="A318" s="80">
        <f>'Blind Scoring Sheet'!A318</f>
        <v/>
      </c>
      <c r="B318" s="80">
        <f>MID(INDEX('Anonymization Key'!$B$4:$B$1003,MATCH(A318,'Anonymization Key'!$A$4:$A$1003,0)),3,2)</f>
        <v/>
      </c>
      <c r="C318" s="81">
        <f>IF(ISNUMBER('Blind Scoring Sheet'!B318),'Blind Scoring Sheet'!B318,VALUE(TRIM(LEFT('Blind Scoring Sheet'!B318,FIND("|",'Blind Scoring Sheet'!B318)-1))))</f>
        <v/>
      </c>
      <c r="D318" s="81">
        <f>IF(ISNUMBER('Blind Scoring Sheet'!D318),'Blind Scoring Sheet'!D318,VALUE(TRIM(LEFT('Blind Scoring Sheet'!D318,FIND("|",'Blind Scoring Sheet'!D318)-1))))</f>
        <v/>
      </c>
      <c r="E318" s="81">
        <f>IF(ISNUMBER('Blind Scoring Sheet'!F318),'Blind Scoring Sheet'!F318,VALUE(TRIM(LEFT('Blind Scoring Sheet'!F318,FIND("|",'Blind Scoring Sheet'!F318)-1))))</f>
        <v/>
      </c>
      <c r="F318" s="81">
        <f>IF(ISNUMBER('Blind Scoring Sheet'!H318),'Blind Scoring Sheet'!H318,VALUE(TRIM(LEFT('Blind Scoring Sheet'!H318,FIND("|",'Blind Scoring Sheet'!H318)-1))))</f>
        <v/>
      </c>
      <c r="G318" s="81">
        <f>IF(ISNUMBER('Blind Scoring Sheet'!J318),'Blind Scoring Sheet'!J318,VALUE(TRIM(LEFT('Blind Scoring Sheet'!J318,FIND("|",'Blind Scoring Sheet'!J318)-1))))</f>
        <v/>
      </c>
      <c r="H318" s="80">
        <f>IF(ISNUMBER(SEARCH("|",'Blind Scoring Sheet'!K318)),TRIM(LEFT('Blind Scoring Sheet'!K318,FIND("|",'Blind Scoring Sheet'!K318)-1)),TRIM('Blind Scoring Sheet'!K318))</f>
        <v/>
      </c>
    </row>
    <row r="319" ht="15" customHeight="1" s="38">
      <c r="A319" s="80">
        <f>'Blind Scoring Sheet'!A319</f>
        <v/>
      </c>
      <c r="B319" s="80">
        <f>MID(INDEX('Anonymization Key'!$B$4:$B$1003,MATCH(A319,'Anonymization Key'!$A$4:$A$1003,0)),3,2)</f>
        <v/>
      </c>
      <c r="C319" s="81">
        <f>IF(ISNUMBER('Blind Scoring Sheet'!B319),'Blind Scoring Sheet'!B319,VALUE(TRIM(LEFT('Blind Scoring Sheet'!B319,FIND("|",'Blind Scoring Sheet'!B319)-1))))</f>
        <v/>
      </c>
      <c r="D319" s="81">
        <f>IF(ISNUMBER('Blind Scoring Sheet'!D319),'Blind Scoring Sheet'!D319,VALUE(TRIM(LEFT('Blind Scoring Sheet'!D319,FIND("|",'Blind Scoring Sheet'!D319)-1))))</f>
        <v/>
      </c>
      <c r="E319" s="81">
        <f>IF(ISNUMBER('Blind Scoring Sheet'!F319),'Blind Scoring Sheet'!F319,VALUE(TRIM(LEFT('Blind Scoring Sheet'!F319,FIND("|",'Blind Scoring Sheet'!F319)-1))))</f>
        <v/>
      </c>
      <c r="F319" s="81">
        <f>IF(ISNUMBER('Blind Scoring Sheet'!H319),'Blind Scoring Sheet'!H319,VALUE(TRIM(LEFT('Blind Scoring Sheet'!H319,FIND("|",'Blind Scoring Sheet'!H319)-1))))</f>
        <v/>
      </c>
      <c r="G319" s="81">
        <f>IF(ISNUMBER('Blind Scoring Sheet'!J319),'Blind Scoring Sheet'!J319,VALUE(TRIM(LEFT('Blind Scoring Sheet'!J319,FIND("|",'Blind Scoring Sheet'!J319)-1))))</f>
        <v/>
      </c>
      <c r="H319" s="80">
        <f>IF(ISNUMBER(SEARCH("|",'Blind Scoring Sheet'!K319)),TRIM(LEFT('Blind Scoring Sheet'!K319,FIND("|",'Blind Scoring Sheet'!K319)-1)),TRIM('Blind Scoring Sheet'!K319))</f>
        <v/>
      </c>
    </row>
    <row r="320" ht="15" customHeight="1" s="38">
      <c r="A320" s="80">
        <f>'Blind Scoring Sheet'!A320</f>
        <v/>
      </c>
      <c r="B320" s="80">
        <f>MID(INDEX('Anonymization Key'!$B$4:$B$1003,MATCH(A320,'Anonymization Key'!$A$4:$A$1003,0)),3,2)</f>
        <v/>
      </c>
      <c r="C320" s="81">
        <f>IF(ISNUMBER('Blind Scoring Sheet'!B320),'Blind Scoring Sheet'!B320,VALUE(TRIM(LEFT('Blind Scoring Sheet'!B320,FIND("|",'Blind Scoring Sheet'!B320)-1))))</f>
        <v/>
      </c>
      <c r="D320" s="81">
        <f>IF(ISNUMBER('Blind Scoring Sheet'!D320),'Blind Scoring Sheet'!D320,VALUE(TRIM(LEFT('Blind Scoring Sheet'!D320,FIND("|",'Blind Scoring Sheet'!D320)-1))))</f>
        <v/>
      </c>
      <c r="E320" s="81">
        <f>IF(ISNUMBER('Blind Scoring Sheet'!F320),'Blind Scoring Sheet'!F320,VALUE(TRIM(LEFT('Blind Scoring Sheet'!F320,FIND("|",'Blind Scoring Sheet'!F320)-1))))</f>
        <v/>
      </c>
      <c r="F320" s="81">
        <f>IF(ISNUMBER('Blind Scoring Sheet'!H320),'Blind Scoring Sheet'!H320,VALUE(TRIM(LEFT('Blind Scoring Sheet'!H320,FIND("|",'Blind Scoring Sheet'!H320)-1))))</f>
        <v/>
      </c>
      <c r="G320" s="81">
        <f>IF(ISNUMBER('Blind Scoring Sheet'!J320),'Blind Scoring Sheet'!J320,VALUE(TRIM(LEFT('Blind Scoring Sheet'!J320,FIND("|",'Blind Scoring Sheet'!J320)-1))))</f>
        <v/>
      </c>
      <c r="H320" s="80">
        <f>IF(ISNUMBER(SEARCH("|",'Blind Scoring Sheet'!K320)),TRIM(LEFT('Blind Scoring Sheet'!K320,FIND("|",'Blind Scoring Sheet'!K320)-1)),TRIM('Blind Scoring Sheet'!K320))</f>
        <v/>
      </c>
    </row>
    <row r="321" ht="15" customHeight="1" s="38">
      <c r="A321" s="80">
        <f>'Blind Scoring Sheet'!A321</f>
        <v/>
      </c>
      <c r="B321" s="80">
        <f>MID(INDEX('Anonymization Key'!$B$4:$B$1003,MATCH(A321,'Anonymization Key'!$A$4:$A$1003,0)),3,2)</f>
        <v/>
      </c>
      <c r="C321" s="81">
        <f>IF(ISNUMBER('Blind Scoring Sheet'!B321),'Blind Scoring Sheet'!B321,VALUE(TRIM(LEFT('Blind Scoring Sheet'!B321,FIND("|",'Blind Scoring Sheet'!B321)-1))))</f>
        <v/>
      </c>
      <c r="D321" s="81">
        <f>IF(ISNUMBER('Blind Scoring Sheet'!D321),'Blind Scoring Sheet'!D321,VALUE(TRIM(LEFT('Blind Scoring Sheet'!D321,FIND("|",'Blind Scoring Sheet'!D321)-1))))</f>
        <v/>
      </c>
      <c r="E321" s="81">
        <f>IF(ISNUMBER('Blind Scoring Sheet'!F321),'Blind Scoring Sheet'!F321,VALUE(TRIM(LEFT('Blind Scoring Sheet'!F321,FIND("|",'Blind Scoring Sheet'!F321)-1))))</f>
        <v/>
      </c>
      <c r="F321" s="81">
        <f>IF(ISNUMBER('Blind Scoring Sheet'!H321),'Blind Scoring Sheet'!H321,VALUE(TRIM(LEFT('Blind Scoring Sheet'!H321,FIND("|",'Blind Scoring Sheet'!H321)-1))))</f>
        <v/>
      </c>
      <c r="G321" s="81">
        <f>IF(ISNUMBER('Blind Scoring Sheet'!J321),'Blind Scoring Sheet'!J321,VALUE(TRIM(LEFT('Blind Scoring Sheet'!J321,FIND("|",'Blind Scoring Sheet'!J321)-1))))</f>
        <v/>
      </c>
      <c r="H321" s="80">
        <f>IF(ISNUMBER(SEARCH("|",'Blind Scoring Sheet'!K321)),TRIM(LEFT('Blind Scoring Sheet'!K321,FIND("|",'Blind Scoring Sheet'!K321)-1)),TRIM('Blind Scoring Sheet'!K321))</f>
        <v/>
      </c>
    </row>
    <row r="322" ht="15" customHeight="1" s="38">
      <c r="A322" s="80">
        <f>'Blind Scoring Sheet'!A322</f>
        <v/>
      </c>
      <c r="B322" s="80">
        <f>MID(INDEX('Anonymization Key'!$B$4:$B$1003,MATCH(A322,'Anonymization Key'!$A$4:$A$1003,0)),3,2)</f>
        <v/>
      </c>
      <c r="C322" s="81">
        <f>IF(ISNUMBER('Blind Scoring Sheet'!B322),'Blind Scoring Sheet'!B322,VALUE(TRIM(LEFT('Blind Scoring Sheet'!B322,FIND("|",'Blind Scoring Sheet'!B322)-1))))</f>
        <v/>
      </c>
      <c r="D322" s="81">
        <f>IF(ISNUMBER('Blind Scoring Sheet'!D322),'Blind Scoring Sheet'!D322,VALUE(TRIM(LEFT('Blind Scoring Sheet'!D322,FIND("|",'Blind Scoring Sheet'!D322)-1))))</f>
        <v/>
      </c>
      <c r="E322" s="81">
        <f>IF(ISNUMBER('Blind Scoring Sheet'!F322),'Blind Scoring Sheet'!F322,VALUE(TRIM(LEFT('Blind Scoring Sheet'!F322,FIND("|",'Blind Scoring Sheet'!F322)-1))))</f>
        <v/>
      </c>
      <c r="F322" s="81">
        <f>IF(ISNUMBER('Blind Scoring Sheet'!H322),'Blind Scoring Sheet'!H322,VALUE(TRIM(LEFT('Blind Scoring Sheet'!H322,FIND("|",'Blind Scoring Sheet'!H322)-1))))</f>
        <v/>
      </c>
      <c r="G322" s="81">
        <f>IF(ISNUMBER('Blind Scoring Sheet'!J322),'Blind Scoring Sheet'!J322,VALUE(TRIM(LEFT('Blind Scoring Sheet'!J322,FIND("|",'Blind Scoring Sheet'!J322)-1))))</f>
        <v/>
      </c>
      <c r="H322" s="80">
        <f>IF(ISNUMBER(SEARCH("|",'Blind Scoring Sheet'!K322)),TRIM(LEFT('Blind Scoring Sheet'!K322,FIND("|",'Blind Scoring Sheet'!K322)-1)),TRIM('Blind Scoring Sheet'!K322))</f>
        <v/>
      </c>
    </row>
    <row r="323" ht="15" customHeight="1" s="38">
      <c r="A323" s="80">
        <f>'Blind Scoring Sheet'!A323</f>
        <v/>
      </c>
      <c r="B323" s="80">
        <f>MID(INDEX('Anonymization Key'!$B$4:$B$1003,MATCH(A323,'Anonymization Key'!$A$4:$A$1003,0)),3,2)</f>
        <v/>
      </c>
      <c r="C323" s="81">
        <f>IF(ISNUMBER('Blind Scoring Sheet'!B323),'Blind Scoring Sheet'!B323,VALUE(TRIM(LEFT('Blind Scoring Sheet'!B323,FIND("|",'Blind Scoring Sheet'!B323)-1))))</f>
        <v/>
      </c>
      <c r="D323" s="81">
        <f>IF(ISNUMBER('Blind Scoring Sheet'!D323),'Blind Scoring Sheet'!D323,VALUE(TRIM(LEFT('Blind Scoring Sheet'!D323,FIND("|",'Blind Scoring Sheet'!D323)-1))))</f>
        <v/>
      </c>
      <c r="E323" s="81">
        <f>IF(ISNUMBER('Blind Scoring Sheet'!F323),'Blind Scoring Sheet'!F323,VALUE(TRIM(LEFT('Blind Scoring Sheet'!F323,FIND("|",'Blind Scoring Sheet'!F323)-1))))</f>
        <v/>
      </c>
      <c r="F323" s="81">
        <f>IF(ISNUMBER('Blind Scoring Sheet'!H323),'Blind Scoring Sheet'!H323,VALUE(TRIM(LEFT('Blind Scoring Sheet'!H323,FIND("|",'Blind Scoring Sheet'!H323)-1))))</f>
        <v/>
      </c>
      <c r="G323" s="81">
        <f>IF(ISNUMBER('Blind Scoring Sheet'!J323),'Blind Scoring Sheet'!J323,VALUE(TRIM(LEFT('Blind Scoring Sheet'!J323,FIND("|",'Blind Scoring Sheet'!J323)-1))))</f>
        <v/>
      </c>
      <c r="H323" s="80">
        <f>IF(ISNUMBER(SEARCH("|",'Blind Scoring Sheet'!K323)),TRIM(LEFT('Blind Scoring Sheet'!K323,FIND("|",'Blind Scoring Sheet'!K323)-1)),TRIM('Blind Scoring Sheet'!K323))</f>
        <v/>
      </c>
    </row>
    <row r="324" ht="15" customHeight="1" s="38">
      <c r="A324" s="80">
        <f>'Blind Scoring Sheet'!A324</f>
        <v/>
      </c>
      <c r="B324" s="80">
        <f>MID(INDEX('Anonymization Key'!$B$4:$B$1003,MATCH(A324,'Anonymization Key'!$A$4:$A$1003,0)),3,2)</f>
        <v/>
      </c>
      <c r="C324" s="81">
        <f>IF(ISNUMBER('Blind Scoring Sheet'!B324),'Blind Scoring Sheet'!B324,VALUE(TRIM(LEFT('Blind Scoring Sheet'!B324,FIND("|",'Blind Scoring Sheet'!B324)-1))))</f>
        <v/>
      </c>
      <c r="D324" s="81">
        <f>IF(ISNUMBER('Blind Scoring Sheet'!D324),'Blind Scoring Sheet'!D324,VALUE(TRIM(LEFT('Blind Scoring Sheet'!D324,FIND("|",'Blind Scoring Sheet'!D324)-1))))</f>
        <v/>
      </c>
      <c r="E324" s="81">
        <f>IF(ISNUMBER('Blind Scoring Sheet'!F324),'Blind Scoring Sheet'!F324,VALUE(TRIM(LEFT('Blind Scoring Sheet'!F324,FIND("|",'Blind Scoring Sheet'!F324)-1))))</f>
        <v/>
      </c>
      <c r="F324" s="81">
        <f>IF(ISNUMBER('Blind Scoring Sheet'!H324),'Blind Scoring Sheet'!H324,VALUE(TRIM(LEFT('Blind Scoring Sheet'!H324,FIND("|",'Blind Scoring Sheet'!H324)-1))))</f>
        <v/>
      </c>
      <c r="G324" s="81">
        <f>IF(ISNUMBER('Blind Scoring Sheet'!J324),'Blind Scoring Sheet'!J324,VALUE(TRIM(LEFT('Blind Scoring Sheet'!J324,FIND("|",'Blind Scoring Sheet'!J324)-1))))</f>
        <v/>
      </c>
      <c r="H324" s="80">
        <f>IF(ISNUMBER(SEARCH("|",'Blind Scoring Sheet'!K324)),TRIM(LEFT('Blind Scoring Sheet'!K324,FIND("|",'Blind Scoring Sheet'!K324)-1)),TRIM('Blind Scoring Sheet'!K324))</f>
        <v/>
      </c>
    </row>
    <row r="325" ht="15" customHeight="1" s="38">
      <c r="A325" s="80">
        <f>'Blind Scoring Sheet'!A325</f>
        <v/>
      </c>
      <c r="B325" s="80">
        <f>MID(INDEX('Anonymization Key'!$B$4:$B$1003,MATCH(A325,'Anonymization Key'!$A$4:$A$1003,0)),3,2)</f>
        <v/>
      </c>
      <c r="C325" s="81">
        <f>IF(ISNUMBER('Blind Scoring Sheet'!B325),'Blind Scoring Sheet'!B325,VALUE(TRIM(LEFT('Blind Scoring Sheet'!B325,FIND("|",'Blind Scoring Sheet'!B325)-1))))</f>
        <v/>
      </c>
      <c r="D325" s="81">
        <f>IF(ISNUMBER('Blind Scoring Sheet'!D325),'Blind Scoring Sheet'!D325,VALUE(TRIM(LEFT('Blind Scoring Sheet'!D325,FIND("|",'Blind Scoring Sheet'!D325)-1))))</f>
        <v/>
      </c>
      <c r="E325" s="81">
        <f>IF(ISNUMBER('Blind Scoring Sheet'!F325),'Blind Scoring Sheet'!F325,VALUE(TRIM(LEFT('Blind Scoring Sheet'!F325,FIND("|",'Blind Scoring Sheet'!F325)-1))))</f>
        <v/>
      </c>
      <c r="F325" s="81">
        <f>IF(ISNUMBER('Blind Scoring Sheet'!H325),'Blind Scoring Sheet'!H325,VALUE(TRIM(LEFT('Blind Scoring Sheet'!H325,FIND("|",'Blind Scoring Sheet'!H325)-1))))</f>
        <v/>
      </c>
      <c r="G325" s="81">
        <f>IF(ISNUMBER('Blind Scoring Sheet'!J325),'Blind Scoring Sheet'!J325,VALUE(TRIM(LEFT('Blind Scoring Sheet'!J325,FIND("|",'Blind Scoring Sheet'!J325)-1))))</f>
        <v/>
      </c>
      <c r="H325" s="80">
        <f>IF(ISNUMBER(SEARCH("|",'Blind Scoring Sheet'!K325)),TRIM(LEFT('Blind Scoring Sheet'!K325,FIND("|",'Blind Scoring Sheet'!K325)-1)),TRIM('Blind Scoring Sheet'!K325))</f>
        <v/>
      </c>
    </row>
    <row r="326" ht="15" customHeight="1" s="38">
      <c r="A326" s="80">
        <f>'Blind Scoring Sheet'!A326</f>
        <v/>
      </c>
      <c r="B326" s="80">
        <f>MID(INDEX('Anonymization Key'!$B$4:$B$1003,MATCH(A326,'Anonymization Key'!$A$4:$A$1003,0)),3,2)</f>
        <v/>
      </c>
      <c r="C326" s="81">
        <f>IF(ISNUMBER('Blind Scoring Sheet'!B326),'Blind Scoring Sheet'!B326,VALUE(TRIM(LEFT('Blind Scoring Sheet'!B326,FIND("|",'Blind Scoring Sheet'!B326)-1))))</f>
        <v/>
      </c>
      <c r="D326" s="81">
        <f>IF(ISNUMBER('Blind Scoring Sheet'!D326),'Blind Scoring Sheet'!D326,VALUE(TRIM(LEFT('Blind Scoring Sheet'!D326,FIND("|",'Blind Scoring Sheet'!D326)-1))))</f>
        <v/>
      </c>
      <c r="E326" s="81">
        <f>IF(ISNUMBER('Blind Scoring Sheet'!F326),'Blind Scoring Sheet'!F326,VALUE(TRIM(LEFT('Blind Scoring Sheet'!F326,FIND("|",'Blind Scoring Sheet'!F326)-1))))</f>
        <v/>
      </c>
      <c r="F326" s="81">
        <f>IF(ISNUMBER('Blind Scoring Sheet'!H326),'Blind Scoring Sheet'!H326,VALUE(TRIM(LEFT('Blind Scoring Sheet'!H326,FIND("|",'Blind Scoring Sheet'!H326)-1))))</f>
        <v/>
      </c>
      <c r="G326" s="81">
        <f>IF(ISNUMBER('Blind Scoring Sheet'!J326),'Blind Scoring Sheet'!J326,VALUE(TRIM(LEFT('Blind Scoring Sheet'!J326,FIND("|",'Blind Scoring Sheet'!J326)-1))))</f>
        <v/>
      </c>
      <c r="H326" s="80">
        <f>IF(ISNUMBER(SEARCH("|",'Blind Scoring Sheet'!K326)),TRIM(LEFT('Blind Scoring Sheet'!K326,FIND("|",'Blind Scoring Sheet'!K326)-1)),TRIM('Blind Scoring Sheet'!K326))</f>
        <v/>
      </c>
    </row>
    <row r="327" ht="15" customHeight="1" s="38">
      <c r="A327" s="80">
        <f>'Blind Scoring Sheet'!A327</f>
        <v/>
      </c>
      <c r="B327" s="80">
        <f>MID(INDEX('Anonymization Key'!$B$4:$B$1003,MATCH(A327,'Anonymization Key'!$A$4:$A$1003,0)),3,2)</f>
        <v/>
      </c>
      <c r="C327" s="81">
        <f>IF(ISNUMBER('Blind Scoring Sheet'!B327),'Blind Scoring Sheet'!B327,VALUE(TRIM(LEFT('Blind Scoring Sheet'!B327,FIND("|",'Blind Scoring Sheet'!B327)-1))))</f>
        <v/>
      </c>
      <c r="D327" s="81">
        <f>IF(ISNUMBER('Blind Scoring Sheet'!D327),'Blind Scoring Sheet'!D327,VALUE(TRIM(LEFT('Blind Scoring Sheet'!D327,FIND("|",'Blind Scoring Sheet'!D327)-1))))</f>
        <v/>
      </c>
      <c r="E327" s="81">
        <f>IF(ISNUMBER('Blind Scoring Sheet'!F327),'Blind Scoring Sheet'!F327,VALUE(TRIM(LEFT('Blind Scoring Sheet'!F327,FIND("|",'Blind Scoring Sheet'!F327)-1))))</f>
        <v/>
      </c>
      <c r="F327" s="81">
        <f>IF(ISNUMBER('Blind Scoring Sheet'!H327),'Blind Scoring Sheet'!H327,VALUE(TRIM(LEFT('Blind Scoring Sheet'!H327,FIND("|",'Blind Scoring Sheet'!H327)-1))))</f>
        <v/>
      </c>
      <c r="G327" s="81">
        <f>IF(ISNUMBER('Blind Scoring Sheet'!J327),'Blind Scoring Sheet'!J327,VALUE(TRIM(LEFT('Blind Scoring Sheet'!J327,FIND("|",'Blind Scoring Sheet'!J327)-1))))</f>
        <v/>
      </c>
      <c r="H327" s="80">
        <f>IF(ISNUMBER(SEARCH("|",'Blind Scoring Sheet'!K327)),TRIM(LEFT('Blind Scoring Sheet'!K327,FIND("|",'Blind Scoring Sheet'!K327)-1)),TRIM('Blind Scoring Sheet'!K327))</f>
        <v/>
      </c>
    </row>
    <row r="328" ht="15" customHeight="1" s="38">
      <c r="A328" s="80">
        <f>'Blind Scoring Sheet'!A328</f>
        <v/>
      </c>
      <c r="B328" s="80">
        <f>MID(INDEX('Anonymization Key'!$B$4:$B$1003,MATCH(A328,'Anonymization Key'!$A$4:$A$1003,0)),3,2)</f>
        <v/>
      </c>
      <c r="C328" s="81">
        <f>IF(ISNUMBER('Blind Scoring Sheet'!B328),'Blind Scoring Sheet'!B328,VALUE(TRIM(LEFT('Blind Scoring Sheet'!B328,FIND("|",'Blind Scoring Sheet'!B328)-1))))</f>
        <v/>
      </c>
      <c r="D328" s="81">
        <f>IF(ISNUMBER('Blind Scoring Sheet'!D328),'Blind Scoring Sheet'!D328,VALUE(TRIM(LEFT('Blind Scoring Sheet'!D328,FIND("|",'Blind Scoring Sheet'!D328)-1))))</f>
        <v/>
      </c>
      <c r="E328" s="81">
        <f>IF(ISNUMBER('Blind Scoring Sheet'!F328),'Blind Scoring Sheet'!F328,VALUE(TRIM(LEFT('Blind Scoring Sheet'!F328,FIND("|",'Blind Scoring Sheet'!F328)-1))))</f>
        <v/>
      </c>
      <c r="F328" s="81">
        <f>IF(ISNUMBER('Blind Scoring Sheet'!H328),'Blind Scoring Sheet'!H328,VALUE(TRIM(LEFT('Blind Scoring Sheet'!H328,FIND("|",'Blind Scoring Sheet'!H328)-1))))</f>
        <v/>
      </c>
      <c r="G328" s="81">
        <f>IF(ISNUMBER('Blind Scoring Sheet'!J328),'Blind Scoring Sheet'!J328,VALUE(TRIM(LEFT('Blind Scoring Sheet'!J328,FIND("|",'Blind Scoring Sheet'!J328)-1))))</f>
        <v/>
      </c>
      <c r="H328" s="80">
        <f>IF(ISNUMBER(SEARCH("|",'Blind Scoring Sheet'!K328)),TRIM(LEFT('Blind Scoring Sheet'!K328,FIND("|",'Blind Scoring Sheet'!K328)-1)),TRIM('Blind Scoring Sheet'!K328))</f>
        <v/>
      </c>
    </row>
    <row r="329" ht="15" customHeight="1" s="38">
      <c r="A329" s="80">
        <f>'Blind Scoring Sheet'!A329</f>
        <v/>
      </c>
      <c r="B329" s="80">
        <f>MID(INDEX('Anonymization Key'!$B$4:$B$1003,MATCH(A329,'Anonymization Key'!$A$4:$A$1003,0)),3,2)</f>
        <v/>
      </c>
      <c r="C329" s="81">
        <f>IF(ISNUMBER('Blind Scoring Sheet'!B329),'Blind Scoring Sheet'!B329,VALUE(TRIM(LEFT('Blind Scoring Sheet'!B329,FIND("|",'Blind Scoring Sheet'!B329)-1))))</f>
        <v/>
      </c>
      <c r="D329" s="81">
        <f>IF(ISNUMBER('Blind Scoring Sheet'!D329),'Blind Scoring Sheet'!D329,VALUE(TRIM(LEFT('Blind Scoring Sheet'!D329,FIND("|",'Blind Scoring Sheet'!D329)-1))))</f>
        <v/>
      </c>
      <c r="E329" s="81">
        <f>IF(ISNUMBER('Blind Scoring Sheet'!F329),'Blind Scoring Sheet'!F329,VALUE(TRIM(LEFT('Blind Scoring Sheet'!F329,FIND("|",'Blind Scoring Sheet'!F329)-1))))</f>
        <v/>
      </c>
      <c r="F329" s="81">
        <f>IF(ISNUMBER('Blind Scoring Sheet'!H329),'Blind Scoring Sheet'!H329,VALUE(TRIM(LEFT('Blind Scoring Sheet'!H329,FIND("|",'Blind Scoring Sheet'!H329)-1))))</f>
        <v/>
      </c>
      <c r="G329" s="81">
        <f>IF(ISNUMBER('Blind Scoring Sheet'!J329),'Blind Scoring Sheet'!J329,VALUE(TRIM(LEFT('Blind Scoring Sheet'!J329,FIND("|",'Blind Scoring Sheet'!J329)-1))))</f>
        <v/>
      </c>
      <c r="H329" s="80">
        <f>IF(ISNUMBER(SEARCH("|",'Blind Scoring Sheet'!K329)),TRIM(LEFT('Blind Scoring Sheet'!K329,FIND("|",'Blind Scoring Sheet'!K329)-1)),TRIM('Blind Scoring Sheet'!K329))</f>
        <v/>
      </c>
    </row>
    <row r="330" ht="15" customHeight="1" s="38">
      <c r="A330" s="80">
        <f>'Blind Scoring Sheet'!A330</f>
        <v/>
      </c>
      <c r="B330" s="80">
        <f>MID(INDEX('Anonymization Key'!$B$4:$B$1003,MATCH(A330,'Anonymization Key'!$A$4:$A$1003,0)),3,2)</f>
        <v/>
      </c>
      <c r="C330" s="81">
        <f>IF(ISNUMBER('Blind Scoring Sheet'!B330),'Blind Scoring Sheet'!B330,VALUE(TRIM(LEFT('Blind Scoring Sheet'!B330,FIND("|",'Blind Scoring Sheet'!B330)-1))))</f>
        <v/>
      </c>
      <c r="D330" s="81">
        <f>IF(ISNUMBER('Blind Scoring Sheet'!D330),'Blind Scoring Sheet'!D330,VALUE(TRIM(LEFT('Blind Scoring Sheet'!D330,FIND("|",'Blind Scoring Sheet'!D330)-1))))</f>
        <v/>
      </c>
      <c r="E330" s="81">
        <f>IF(ISNUMBER('Blind Scoring Sheet'!F330),'Blind Scoring Sheet'!F330,VALUE(TRIM(LEFT('Blind Scoring Sheet'!F330,FIND("|",'Blind Scoring Sheet'!F330)-1))))</f>
        <v/>
      </c>
      <c r="F330" s="81">
        <f>IF(ISNUMBER('Blind Scoring Sheet'!H330),'Blind Scoring Sheet'!H330,VALUE(TRIM(LEFT('Blind Scoring Sheet'!H330,FIND("|",'Blind Scoring Sheet'!H330)-1))))</f>
        <v/>
      </c>
      <c r="G330" s="81">
        <f>IF(ISNUMBER('Blind Scoring Sheet'!J330),'Blind Scoring Sheet'!J330,VALUE(TRIM(LEFT('Blind Scoring Sheet'!J330,FIND("|",'Blind Scoring Sheet'!J330)-1))))</f>
        <v/>
      </c>
      <c r="H330" s="80">
        <f>IF(ISNUMBER(SEARCH("|",'Blind Scoring Sheet'!K330)),TRIM(LEFT('Blind Scoring Sheet'!K330,FIND("|",'Blind Scoring Sheet'!K330)-1)),TRIM('Blind Scoring Sheet'!K330))</f>
        <v/>
      </c>
    </row>
    <row r="331" ht="15" customHeight="1" s="38">
      <c r="A331" s="80">
        <f>'Blind Scoring Sheet'!A331</f>
        <v/>
      </c>
      <c r="B331" s="80">
        <f>MID(INDEX('Anonymization Key'!$B$4:$B$1003,MATCH(A331,'Anonymization Key'!$A$4:$A$1003,0)),3,2)</f>
        <v/>
      </c>
      <c r="C331" s="81">
        <f>IF(ISNUMBER('Blind Scoring Sheet'!B331),'Blind Scoring Sheet'!B331,VALUE(TRIM(LEFT('Blind Scoring Sheet'!B331,FIND("|",'Blind Scoring Sheet'!B331)-1))))</f>
        <v/>
      </c>
      <c r="D331" s="81">
        <f>IF(ISNUMBER('Blind Scoring Sheet'!D331),'Blind Scoring Sheet'!D331,VALUE(TRIM(LEFT('Blind Scoring Sheet'!D331,FIND("|",'Blind Scoring Sheet'!D331)-1))))</f>
        <v/>
      </c>
      <c r="E331" s="81">
        <f>IF(ISNUMBER('Blind Scoring Sheet'!F331),'Blind Scoring Sheet'!F331,VALUE(TRIM(LEFT('Blind Scoring Sheet'!F331,FIND("|",'Blind Scoring Sheet'!F331)-1))))</f>
        <v/>
      </c>
      <c r="F331" s="81">
        <f>IF(ISNUMBER('Blind Scoring Sheet'!H331),'Blind Scoring Sheet'!H331,VALUE(TRIM(LEFT('Blind Scoring Sheet'!H331,FIND("|",'Blind Scoring Sheet'!H331)-1))))</f>
        <v/>
      </c>
      <c r="G331" s="81">
        <f>IF(ISNUMBER('Blind Scoring Sheet'!J331),'Blind Scoring Sheet'!J331,VALUE(TRIM(LEFT('Blind Scoring Sheet'!J331,FIND("|",'Blind Scoring Sheet'!J331)-1))))</f>
        <v/>
      </c>
      <c r="H331" s="80">
        <f>IF(ISNUMBER(SEARCH("|",'Blind Scoring Sheet'!K331)),TRIM(LEFT('Blind Scoring Sheet'!K331,FIND("|",'Blind Scoring Sheet'!K331)-1)),TRIM('Blind Scoring Sheet'!K331))</f>
        <v/>
      </c>
    </row>
    <row r="332" ht="15" customHeight="1" s="38">
      <c r="A332" s="80">
        <f>'Blind Scoring Sheet'!A332</f>
        <v/>
      </c>
      <c r="B332" s="80">
        <f>MID(INDEX('Anonymization Key'!$B$4:$B$1003,MATCH(A332,'Anonymization Key'!$A$4:$A$1003,0)),3,2)</f>
        <v/>
      </c>
      <c r="C332" s="81">
        <f>IF(ISNUMBER('Blind Scoring Sheet'!B332),'Blind Scoring Sheet'!B332,VALUE(TRIM(LEFT('Blind Scoring Sheet'!B332,FIND("|",'Blind Scoring Sheet'!B332)-1))))</f>
        <v/>
      </c>
      <c r="D332" s="81">
        <f>IF(ISNUMBER('Blind Scoring Sheet'!D332),'Blind Scoring Sheet'!D332,VALUE(TRIM(LEFT('Blind Scoring Sheet'!D332,FIND("|",'Blind Scoring Sheet'!D332)-1))))</f>
        <v/>
      </c>
      <c r="E332" s="81">
        <f>IF(ISNUMBER('Blind Scoring Sheet'!F332),'Blind Scoring Sheet'!F332,VALUE(TRIM(LEFT('Blind Scoring Sheet'!F332,FIND("|",'Blind Scoring Sheet'!F332)-1))))</f>
        <v/>
      </c>
      <c r="F332" s="81">
        <f>IF(ISNUMBER('Blind Scoring Sheet'!H332),'Blind Scoring Sheet'!H332,VALUE(TRIM(LEFT('Blind Scoring Sheet'!H332,FIND("|",'Blind Scoring Sheet'!H332)-1))))</f>
        <v/>
      </c>
      <c r="G332" s="81">
        <f>IF(ISNUMBER('Blind Scoring Sheet'!J332),'Blind Scoring Sheet'!J332,VALUE(TRIM(LEFT('Blind Scoring Sheet'!J332,FIND("|",'Blind Scoring Sheet'!J332)-1))))</f>
        <v/>
      </c>
      <c r="H332" s="80">
        <f>IF(ISNUMBER(SEARCH("|",'Blind Scoring Sheet'!K332)),TRIM(LEFT('Blind Scoring Sheet'!K332,FIND("|",'Blind Scoring Sheet'!K332)-1)),TRIM('Blind Scoring Sheet'!K332))</f>
        <v/>
      </c>
    </row>
    <row r="333" ht="15" customHeight="1" s="38">
      <c r="A333" s="80">
        <f>'Blind Scoring Sheet'!A333</f>
        <v/>
      </c>
      <c r="B333" s="80">
        <f>MID(INDEX('Anonymization Key'!$B$4:$B$1003,MATCH(A333,'Anonymization Key'!$A$4:$A$1003,0)),3,2)</f>
        <v/>
      </c>
      <c r="C333" s="81">
        <f>IF(ISNUMBER('Blind Scoring Sheet'!B333),'Blind Scoring Sheet'!B333,VALUE(TRIM(LEFT('Blind Scoring Sheet'!B333,FIND("|",'Blind Scoring Sheet'!B333)-1))))</f>
        <v/>
      </c>
      <c r="D333" s="81">
        <f>IF(ISNUMBER('Blind Scoring Sheet'!D333),'Blind Scoring Sheet'!D333,VALUE(TRIM(LEFT('Blind Scoring Sheet'!D333,FIND("|",'Blind Scoring Sheet'!D333)-1))))</f>
        <v/>
      </c>
      <c r="E333" s="81">
        <f>IF(ISNUMBER('Blind Scoring Sheet'!F333),'Blind Scoring Sheet'!F333,VALUE(TRIM(LEFT('Blind Scoring Sheet'!F333,FIND("|",'Blind Scoring Sheet'!F333)-1))))</f>
        <v/>
      </c>
      <c r="F333" s="81">
        <f>IF(ISNUMBER('Blind Scoring Sheet'!H333),'Blind Scoring Sheet'!H333,VALUE(TRIM(LEFT('Blind Scoring Sheet'!H333,FIND("|",'Blind Scoring Sheet'!H333)-1))))</f>
        <v/>
      </c>
      <c r="G333" s="81">
        <f>IF(ISNUMBER('Blind Scoring Sheet'!J333),'Blind Scoring Sheet'!J333,VALUE(TRIM(LEFT('Blind Scoring Sheet'!J333,FIND("|",'Blind Scoring Sheet'!J333)-1))))</f>
        <v/>
      </c>
      <c r="H333" s="80">
        <f>IF(ISNUMBER(SEARCH("|",'Blind Scoring Sheet'!K333)),TRIM(LEFT('Blind Scoring Sheet'!K333,FIND("|",'Blind Scoring Sheet'!K333)-1)),TRIM('Blind Scoring Sheet'!K333))</f>
        <v/>
      </c>
    </row>
    <row r="334" ht="15" customHeight="1" s="38">
      <c r="A334" s="80">
        <f>'Blind Scoring Sheet'!A334</f>
        <v/>
      </c>
      <c r="B334" s="80">
        <f>MID(INDEX('Anonymization Key'!$B$4:$B$1003,MATCH(A334,'Anonymization Key'!$A$4:$A$1003,0)),3,2)</f>
        <v/>
      </c>
      <c r="C334" s="81">
        <f>IF(ISNUMBER('Blind Scoring Sheet'!B334),'Blind Scoring Sheet'!B334,VALUE(TRIM(LEFT('Blind Scoring Sheet'!B334,FIND("|",'Blind Scoring Sheet'!B334)-1))))</f>
        <v/>
      </c>
      <c r="D334" s="81">
        <f>IF(ISNUMBER('Blind Scoring Sheet'!D334),'Blind Scoring Sheet'!D334,VALUE(TRIM(LEFT('Blind Scoring Sheet'!D334,FIND("|",'Blind Scoring Sheet'!D334)-1))))</f>
        <v/>
      </c>
      <c r="E334" s="81">
        <f>IF(ISNUMBER('Blind Scoring Sheet'!F334),'Blind Scoring Sheet'!F334,VALUE(TRIM(LEFT('Blind Scoring Sheet'!F334,FIND("|",'Blind Scoring Sheet'!F334)-1))))</f>
        <v/>
      </c>
      <c r="F334" s="81">
        <f>IF(ISNUMBER('Blind Scoring Sheet'!H334),'Blind Scoring Sheet'!H334,VALUE(TRIM(LEFT('Blind Scoring Sheet'!H334,FIND("|",'Blind Scoring Sheet'!H334)-1))))</f>
        <v/>
      </c>
      <c r="G334" s="81">
        <f>IF(ISNUMBER('Blind Scoring Sheet'!J334),'Blind Scoring Sheet'!J334,VALUE(TRIM(LEFT('Blind Scoring Sheet'!J334,FIND("|",'Blind Scoring Sheet'!J334)-1))))</f>
        <v/>
      </c>
      <c r="H334" s="80">
        <f>IF(ISNUMBER(SEARCH("|",'Blind Scoring Sheet'!K334)),TRIM(LEFT('Blind Scoring Sheet'!K334,FIND("|",'Blind Scoring Sheet'!K334)-1)),TRIM('Blind Scoring Sheet'!K334))</f>
        <v/>
      </c>
    </row>
    <row r="335" ht="15" customHeight="1" s="38">
      <c r="A335" s="80">
        <f>'Blind Scoring Sheet'!A335</f>
        <v/>
      </c>
      <c r="B335" s="80">
        <f>MID(INDEX('Anonymization Key'!$B$4:$B$1003,MATCH(A335,'Anonymization Key'!$A$4:$A$1003,0)),3,2)</f>
        <v/>
      </c>
      <c r="C335" s="81">
        <f>IF(ISNUMBER('Blind Scoring Sheet'!B335),'Blind Scoring Sheet'!B335,VALUE(TRIM(LEFT('Blind Scoring Sheet'!B335,FIND("|",'Blind Scoring Sheet'!B335)-1))))</f>
        <v/>
      </c>
      <c r="D335" s="81">
        <f>IF(ISNUMBER('Blind Scoring Sheet'!D335),'Blind Scoring Sheet'!D335,VALUE(TRIM(LEFT('Blind Scoring Sheet'!D335,FIND("|",'Blind Scoring Sheet'!D335)-1))))</f>
        <v/>
      </c>
      <c r="E335" s="81">
        <f>IF(ISNUMBER('Blind Scoring Sheet'!F335),'Blind Scoring Sheet'!F335,VALUE(TRIM(LEFT('Blind Scoring Sheet'!F335,FIND("|",'Blind Scoring Sheet'!F335)-1))))</f>
        <v/>
      </c>
      <c r="F335" s="81">
        <f>IF(ISNUMBER('Blind Scoring Sheet'!H335),'Blind Scoring Sheet'!H335,VALUE(TRIM(LEFT('Blind Scoring Sheet'!H335,FIND("|",'Blind Scoring Sheet'!H335)-1))))</f>
        <v/>
      </c>
      <c r="G335" s="81">
        <f>IF(ISNUMBER('Blind Scoring Sheet'!J335),'Blind Scoring Sheet'!J335,VALUE(TRIM(LEFT('Blind Scoring Sheet'!J335,FIND("|",'Blind Scoring Sheet'!J335)-1))))</f>
        <v/>
      </c>
      <c r="H335" s="80">
        <f>IF(ISNUMBER(SEARCH("|",'Blind Scoring Sheet'!K335)),TRIM(LEFT('Blind Scoring Sheet'!K335,FIND("|",'Blind Scoring Sheet'!K335)-1)),TRIM('Blind Scoring Sheet'!K335))</f>
        <v/>
      </c>
    </row>
    <row r="336" ht="15" customHeight="1" s="38">
      <c r="A336" s="80">
        <f>'Blind Scoring Sheet'!A336</f>
        <v/>
      </c>
      <c r="B336" s="80">
        <f>MID(INDEX('Anonymization Key'!$B$4:$B$1003,MATCH(A336,'Anonymization Key'!$A$4:$A$1003,0)),3,2)</f>
        <v/>
      </c>
      <c r="C336" s="81">
        <f>IF(ISNUMBER('Blind Scoring Sheet'!B336),'Blind Scoring Sheet'!B336,VALUE(TRIM(LEFT('Blind Scoring Sheet'!B336,FIND("|",'Blind Scoring Sheet'!B336)-1))))</f>
        <v/>
      </c>
      <c r="D336" s="81">
        <f>IF(ISNUMBER('Blind Scoring Sheet'!D336),'Blind Scoring Sheet'!D336,VALUE(TRIM(LEFT('Blind Scoring Sheet'!D336,FIND("|",'Blind Scoring Sheet'!D336)-1))))</f>
        <v/>
      </c>
      <c r="E336" s="81">
        <f>IF(ISNUMBER('Blind Scoring Sheet'!F336),'Blind Scoring Sheet'!F336,VALUE(TRIM(LEFT('Blind Scoring Sheet'!F336,FIND("|",'Blind Scoring Sheet'!F336)-1))))</f>
        <v/>
      </c>
      <c r="F336" s="81">
        <f>IF(ISNUMBER('Blind Scoring Sheet'!H336),'Blind Scoring Sheet'!H336,VALUE(TRIM(LEFT('Blind Scoring Sheet'!H336,FIND("|",'Blind Scoring Sheet'!H336)-1))))</f>
        <v/>
      </c>
      <c r="G336" s="81">
        <f>IF(ISNUMBER('Blind Scoring Sheet'!J336),'Blind Scoring Sheet'!J336,VALUE(TRIM(LEFT('Blind Scoring Sheet'!J336,FIND("|",'Blind Scoring Sheet'!J336)-1))))</f>
        <v/>
      </c>
      <c r="H336" s="80">
        <f>IF(ISNUMBER(SEARCH("|",'Blind Scoring Sheet'!K336)),TRIM(LEFT('Blind Scoring Sheet'!K336,FIND("|",'Blind Scoring Sheet'!K336)-1)),TRIM('Blind Scoring Sheet'!K336))</f>
        <v/>
      </c>
    </row>
    <row r="337" ht="15" customHeight="1" s="38">
      <c r="A337" s="80">
        <f>'Blind Scoring Sheet'!A337</f>
        <v/>
      </c>
      <c r="B337" s="80">
        <f>MID(INDEX('Anonymization Key'!$B$4:$B$1003,MATCH(A337,'Anonymization Key'!$A$4:$A$1003,0)),3,2)</f>
        <v/>
      </c>
      <c r="C337" s="81">
        <f>IF(ISNUMBER('Blind Scoring Sheet'!B337),'Blind Scoring Sheet'!B337,VALUE(TRIM(LEFT('Blind Scoring Sheet'!B337,FIND("|",'Blind Scoring Sheet'!B337)-1))))</f>
        <v/>
      </c>
      <c r="D337" s="81">
        <f>IF(ISNUMBER('Blind Scoring Sheet'!D337),'Blind Scoring Sheet'!D337,VALUE(TRIM(LEFT('Blind Scoring Sheet'!D337,FIND("|",'Blind Scoring Sheet'!D337)-1))))</f>
        <v/>
      </c>
      <c r="E337" s="81">
        <f>IF(ISNUMBER('Blind Scoring Sheet'!F337),'Blind Scoring Sheet'!F337,VALUE(TRIM(LEFT('Blind Scoring Sheet'!F337,FIND("|",'Blind Scoring Sheet'!F337)-1))))</f>
        <v/>
      </c>
      <c r="F337" s="81">
        <f>IF(ISNUMBER('Blind Scoring Sheet'!H337),'Blind Scoring Sheet'!H337,VALUE(TRIM(LEFT('Blind Scoring Sheet'!H337,FIND("|",'Blind Scoring Sheet'!H337)-1))))</f>
        <v/>
      </c>
      <c r="G337" s="81">
        <f>IF(ISNUMBER('Blind Scoring Sheet'!J337),'Blind Scoring Sheet'!J337,VALUE(TRIM(LEFT('Blind Scoring Sheet'!J337,FIND("|",'Blind Scoring Sheet'!J337)-1))))</f>
        <v/>
      </c>
      <c r="H337" s="80">
        <f>IF(ISNUMBER(SEARCH("|",'Blind Scoring Sheet'!K337)),TRIM(LEFT('Blind Scoring Sheet'!K337,FIND("|",'Blind Scoring Sheet'!K337)-1)),TRIM('Blind Scoring Sheet'!K337))</f>
        <v/>
      </c>
    </row>
    <row r="338" ht="15" customHeight="1" s="38">
      <c r="A338" s="80">
        <f>'Blind Scoring Sheet'!A338</f>
        <v/>
      </c>
      <c r="B338" s="80">
        <f>MID(INDEX('Anonymization Key'!$B$4:$B$1003,MATCH(A338,'Anonymization Key'!$A$4:$A$1003,0)),3,2)</f>
        <v/>
      </c>
      <c r="C338" s="81">
        <f>IF(ISNUMBER('Blind Scoring Sheet'!B338),'Blind Scoring Sheet'!B338,VALUE(TRIM(LEFT('Blind Scoring Sheet'!B338,FIND("|",'Blind Scoring Sheet'!B338)-1))))</f>
        <v/>
      </c>
      <c r="D338" s="81">
        <f>IF(ISNUMBER('Blind Scoring Sheet'!D338),'Blind Scoring Sheet'!D338,VALUE(TRIM(LEFT('Blind Scoring Sheet'!D338,FIND("|",'Blind Scoring Sheet'!D338)-1))))</f>
        <v/>
      </c>
      <c r="E338" s="81">
        <f>IF(ISNUMBER('Blind Scoring Sheet'!F338),'Blind Scoring Sheet'!F338,VALUE(TRIM(LEFT('Blind Scoring Sheet'!F338,FIND("|",'Blind Scoring Sheet'!F338)-1))))</f>
        <v/>
      </c>
      <c r="F338" s="81">
        <f>IF(ISNUMBER('Blind Scoring Sheet'!H338),'Blind Scoring Sheet'!H338,VALUE(TRIM(LEFT('Blind Scoring Sheet'!H338,FIND("|",'Blind Scoring Sheet'!H338)-1))))</f>
        <v/>
      </c>
      <c r="G338" s="81">
        <f>IF(ISNUMBER('Blind Scoring Sheet'!J338),'Blind Scoring Sheet'!J338,VALUE(TRIM(LEFT('Blind Scoring Sheet'!J338,FIND("|",'Blind Scoring Sheet'!J338)-1))))</f>
        <v/>
      </c>
      <c r="H338" s="80">
        <f>IF(ISNUMBER(SEARCH("|",'Blind Scoring Sheet'!K338)),TRIM(LEFT('Blind Scoring Sheet'!K338,FIND("|",'Blind Scoring Sheet'!K338)-1)),TRIM('Blind Scoring Sheet'!K338))</f>
        <v/>
      </c>
    </row>
    <row r="339" ht="15" customHeight="1" s="38">
      <c r="A339" s="80">
        <f>'Blind Scoring Sheet'!A339</f>
        <v/>
      </c>
      <c r="B339" s="80">
        <f>MID(INDEX('Anonymization Key'!$B$4:$B$1003,MATCH(A339,'Anonymization Key'!$A$4:$A$1003,0)),3,2)</f>
        <v/>
      </c>
      <c r="C339" s="81">
        <f>IF(ISNUMBER('Blind Scoring Sheet'!B339),'Blind Scoring Sheet'!B339,VALUE(TRIM(LEFT('Blind Scoring Sheet'!B339,FIND("|",'Blind Scoring Sheet'!B339)-1))))</f>
        <v/>
      </c>
      <c r="D339" s="81">
        <f>IF(ISNUMBER('Blind Scoring Sheet'!D339),'Blind Scoring Sheet'!D339,VALUE(TRIM(LEFT('Blind Scoring Sheet'!D339,FIND("|",'Blind Scoring Sheet'!D339)-1))))</f>
        <v/>
      </c>
      <c r="E339" s="81">
        <f>IF(ISNUMBER('Blind Scoring Sheet'!F339),'Blind Scoring Sheet'!F339,VALUE(TRIM(LEFT('Blind Scoring Sheet'!F339,FIND("|",'Blind Scoring Sheet'!F339)-1))))</f>
        <v/>
      </c>
      <c r="F339" s="81">
        <f>IF(ISNUMBER('Blind Scoring Sheet'!H339),'Blind Scoring Sheet'!H339,VALUE(TRIM(LEFT('Blind Scoring Sheet'!H339,FIND("|",'Blind Scoring Sheet'!H339)-1))))</f>
        <v/>
      </c>
      <c r="G339" s="81">
        <f>IF(ISNUMBER('Blind Scoring Sheet'!J339),'Blind Scoring Sheet'!J339,VALUE(TRIM(LEFT('Blind Scoring Sheet'!J339,FIND("|",'Blind Scoring Sheet'!J339)-1))))</f>
        <v/>
      </c>
      <c r="H339" s="80">
        <f>IF(ISNUMBER(SEARCH("|",'Blind Scoring Sheet'!K339)),TRIM(LEFT('Blind Scoring Sheet'!K339,FIND("|",'Blind Scoring Sheet'!K339)-1)),TRIM('Blind Scoring Sheet'!K339))</f>
        <v/>
      </c>
    </row>
    <row r="340" ht="15" customHeight="1" s="38">
      <c r="A340" s="80">
        <f>'Blind Scoring Sheet'!A340</f>
        <v/>
      </c>
      <c r="B340" s="80">
        <f>MID(INDEX('Anonymization Key'!$B$4:$B$1003,MATCH(A340,'Anonymization Key'!$A$4:$A$1003,0)),3,2)</f>
        <v/>
      </c>
      <c r="C340" s="81">
        <f>IF(ISNUMBER('Blind Scoring Sheet'!B340),'Blind Scoring Sheet'!B340,VALUE(TRIM(LEFT('Blind Scoring Sheet'!B340,FIND("|",'Blind Scoring Sheet'!B340)-1))))</f>
        <v/>
      </c>
      <c r="D340" s="81">
        <f>IF(ISNUMBER('Blind Scoring Sheet'!D340),'Blind Scoring Sheet'!D340,VALUE(TRIM(LEFT('Blind Scoring Sheet'!D340,FIND("|",'Blind Scoring Sheet'!D340)-1))))</f>
        <v/>
      </c>
      <c r="E340" s="81">
        <f>IF(ISNUMBER('Blind Scoring Sheet'!F340),'Blind Scoring Sheet'!F340,VALUE(TRIM(LEFT('Blind Scoring Sheet'!F340,FIND("|",'Blind Scoring Sheet'!F340)-1))))</f>
        <v/>
      </c>
      <c r="F340" s="81">
        <f>IF(ISNUMBER('Blind Scoring Sheet'!H340),'Blind Scoring Sheet'!H340,VALUE(TRIM(LEFT('Blind Scoring Sheet'!H340,FIND("|",'Blind Scoring Sheet'!H340)-1))))</f>
        <v/>
      </c>
      <c r="G340" s="81">
        <f>IF(ISNUMBER('Blind Scoring Sheet'!J340),'Blind Scoring Sheet'!J340,VALUE(TRIM(LEFT('Blind Scoring Sheet'!J340,FIND("|",'Blind Scoring Sheet'!J340)-1))))</f>
        <v/>
      </c>
      <c r="H340" s="80">
        <f>IF(ISNUMBER(SEARCH("|",'Blind Scoring Sheet'!K340)),TRIM(LEFT('Blind Scoring Sheet'!K340,FIND("|",'Blind Scoring Sheet'!K340)-1)),TRIM('Blind Scoring Sheet'!K340))</f>
        <v/>
      </c>
    </row>
    <row r="341" ht="15" customHeight="1" s="38">
      <c r="A341" s="80">
        <f>'Blind Scoring Sheet'!A341</f>
        <v/>
      </c>
      <c r="B341" s="80">
        <f>MID(INDEX('Anonymization Key'!$B$4:$B$1003,MATCH(A341,'Anonymization Key'!$A$4:$A$1003,0)),3,2)</f>
        <v/>
      </c>
      <c r="C341" s="81">
        <f>IF(ISNUMBER('Blind Scoring Sheet'!B341),'Blind Scoring Sheet'!B341,VALUE(TRIM(LEFT('Blind Scoring Sheet'!B341,FIND("|",'Blind Scoring Sheet'!B341)-1))))</f>
        <v/>
      </c>
      <c r="D341" s="81">
        <f>IF(ISNUMBER('Blind Scoring Sheet'!D341),'Blind Scoring Sheet'!D341,VALUE(TRIM(LEFT('Blind Scoring Sheet'!D341,FIND("|",'Blind Scoring Sheet'!D341)-1))))</f>
        <v/>
      </c>
      <c r="E341" s="81">
        <f>IF(ISNUMBER('Blind Scoring Sheet'!F341),'Blind Scoring Sheet'!F341,VALUE(TRIM(LEFT('Blind Scoring Sheet'!F341,FIND("|",'Blind Scoring Sheet'!F341)-1))))</f>
        <v/>
      </c>
      <c r="F341" s="81">
        <f>IF(ISNUMBER('Blind Scoring Sheet'!H341),'Blind Scoring Sheet'!H341,VALUE(TRIM(LEFT('Blind Scoring Sheet'!H341,FIND("|",'Blind Scoring Sheet'!H341)-1))))</f>
        <v/>
      </c>
      <c r="G341" s="81">
        <f>IF(ISNUMBER('Blind Scoring Sheet'!J341),'Blind Scoring Sheet'!J341,VALUE(TRIM(LEFT('Blind Scoring Sheet'!J341,FIND("|",'Blind Scoring Sheet'!J341)-1))))</f>
        <v/>
      </c>
      <c r="H341" s="80">
        <f>IF(ISNUMBER(SEARCH("|",'Blind Scoring Sheet'!K341)),TRIM(LEFT('Blind Scoring Sheet'!K341,FIND("|",'Blind Scoring Sheet'!K341)-1)),TRIM('Blind Scoring Sheet'!K341))</f>
        <v/>
      </c>
    </row>
    <row r="342" ht="15" customHeight="1" s="38">
      <c r="A342" s="80">
        <f>'Blind Scoring Sheet'!A342</f>
        <v/>
      </c>
      <c r="B342" s="80">
        <f>MID(INDEX('Anonymization Key'!$B$4:$B$1003,MATCH(A342,'Anonymization Key'!$A$4:$A$1003,0)),3,2)</f>
        <v/>
      </c>
      <c r="C342" s="81">
        <f>IF(ISNUMBER('Blind Scoring Sheet'!B342),'Blind Scoring Sheet'!B342,VALUE(TRIM(LEFT('Blind Scoring Sheet'!B342,FIND("|",'Blind Scoring Sheet'!B342)-1))))</f>
        <v/>
      </c>
      <c r="D342" s="81">
        <f>IF(ISNUMBER('Blind Scoring Sheet'!D342),'Blind Scoring Sheet'!D342,VALUE(TRIM(LEFT('Blind Scoring Sheet'!D342,FIND("|",'Blind Scoring Sheet'!D342)-1))))</f>
        <v/>
      </c>
      <c r="E342" s="81">
        <f>IF(ISNUMBER('Blind Scoring Sheet'!F342),'Blind Scoring Sheet'!F342,VALUE(TRIM(LEFT('Blind Scoring Sheet'!F342,FIND("|",'Blind Scoring Sheet'!F342)-1))))</f>
        <v/>
      </c>
      <c r="F342" s="81">
        <f>IF(ISNUMBER('Blind Scoring Sheet'!H342),'Blind Scoring Sheet'!H342,VALUE(TRIM(LEFT('Blind Scoring Sheet'!H342,FIND("|",'Blind Scoring Sheet'!H342)-1))))</f>
        <v/>
      </c>
      <c r="G342" s="81">
        <f>IF(ISNUMBER('Blind Scoring Sheet'!J342),'Blind Scoring Sheet'!J342,VALUE(TRIM(LEFT('Blind Scoring Sheet'!J342,FIND("|",'Blind Scoring Sheet'!J342)-1))))</f>
        <v/>
      </c>
      <c r="H342" s="80">
        <f>IF(ISNUMBER(SEARCH("|",'Blind Scoring Sheet'!K342)),TRIM(LEFT('Blind Scoring Sheet'!K342,FIND("|",'Blind Scoring Sheet'!K342)-1)),TRIM('Blind Scoring Sheet'!K342))</f>
        <v/>
      </c>
    </row>
    <row r="343" ht="15" customHeight="1" s="38">
      <c r="A343" s="80">
        <f>'Blind Scoring Sheet'!A343</f>
        <v/>
      </c>
      <c r="B343" s="80">
        <f>MID(INDEX('Anonymization Key'!$B$4:$B$1003,MATCH(A343,'Anonymization Key'!$A$4:$A$1003,0)),3,2)</f>
        <v/>
      </c>
      <c r="C343" s="81">
        <f>IF(ISNUMBER('Blind Scoring Sheet'!B343),'Blind Scoring Sheet'!B343,VALUE(TRIM(LEFT('Blind Scoring Sheet'!B343,FIND("|",'Blind Scoring Sheet'!B343)-1))))</f>
        <v/>
      </c>
      <c r="D343" s="81">
        <f>IF(ISNUMBER('Blind Scoring Sheet'!D343),'Blind Scoring Sheet'!D343,VALUE(TRIM(LEFT('Blind Scoring Sheet'!D343,FIND("|",'Blind Scoring Sheet'!D343)-1))))</f>
        <v/>
      </c>
      <c r="E343" s="81">
        <f>IF(ISNUMBER('Blind Scoring Sheet'!F343),'Blind Scoring Sheet'!F343,VALUE(TRIM(LEFT('Blind Scoring Sheet'!F343,FIND("|",'Blind Scoring Sheet'!F343)-1))))</f>
        <v/>
      </c>
      <c r="F343" s="81">
        <f>IF(ISNUMBER('Blind Scoring Sheet'!H343),'Blind Scoring Sheet'!H343,VALUE(TRIM(LEFT('Blind Scoring Sheet'!H343,FIND("|",'Blind Scoring Sheet'!H343)-1))))</f>
        <v/>
      </c>
      <c r="G343" s="81">
        <f>IF(ISNUMBER('Blind Scoring Sheet'!J343),'Blind Scoring Sheet'!J343,VALUE(TRIM(LEFT('Blind Scoring Sheet'!J343,FIND("|",'Blind Scoring Sheet'!J343)-1))))</f>
        <v/>
      </c>
      <c r="H343" s="80">
        <f>IF(ISNUMBER(SEARCH("|",'Blind Scoring Sheet'!K343)),TRIM(LEFT('Blind Scoring Sheet'!K343,FIND("|",'Blind Scoring Sheet'!K343)-1)),TRIM('Blind Scoring Sheet'!K343))</f>
        <v/>
      </c>
    </row>
    <row r="344" ht="15" customHeight="1" s="38">
      <c r="A344" s="80">
        <f>'Blind Scoring Sheet'!A344</f>
        <v/>
      </c>
      <c r="B344" s="80">
        <f>MID(INDEX('Anonymization Key'!$B$4:$B$1003,MATCH(A344,'Anonymization Key'!$A$4:$A$1003,0)),3,2)</f>
        <v/>
      </c>
      <c r="C344" s="81">
        <f>IF(ISNUMBER('Blind Scoring Sheet'!B344),'Blind Scoring Sheet'!B344,VALUE(TRIM(LEFT('Blind Scoring Sheet'!B344,FIND("|",'Blind Scoring Sheet'!B344)-1))))</f>
        <v/>
      </c>
      <c r="D344" s="81">
        <f>IF(ISNUMBER('Blind Scoring Sheet'!D344),'Blind Scoring Sheet'!D344,VALUE(TRIM(LEFT('Blind Scoring Sheet'!D344,FIND("|",'Blind Scoring Sheet'!D344)-1))))</f>
        <v/>
      </c>
      <c r="E344" s="81">
        <f>IF(ISNUMBER('Blind Scoring Sheet'!F344),'Blind Scoring Sheet'!F344,VALUE(TRIM(LEFT('Blind Scoring Sheet'!F344,FIND("|",'Blind Scoring Sheet'!F344)-1))))</f>
        <v/>
      </c>
      <c r="F344" s="81">
        <f>IF(ISNUMBER('Blind Scoring Sheet'!H344),'Blind Scoring Sheet'!H344,VALUE(TRIM(LEFT('Blind Scoring Sheet'!H344,FIND("|",'Blind Scoring Sheet'!H344)-1))))</f>
        <v/>
      </c>
      <c r="G344" s="81">
        <f>IF(ISNUMBER('Blind Scoring Sheet'!J344),'Blind Scoring Sheet'!J344,VALUE(TRIM(LEFT('Blind Scoring Sheet'!J344,FIND("|",'Blind Scoring Sheet'!J344)-1))))</f>
        <v/>
      </c>
      <c r="H344" s="80">
        <f>IF(ISNUMBER(SEARCH("|",'Blind Scoring Sheet'!K344)),TRIM(LEFT('Blind Scoring Sheet'!K344,FIND("|",'Blind Scoring Sheet'!K344)-1)),TRIM('Blind Scoring Sheet'!K344))</f>
        <v/>
      </c>
    </row>
    <row r="345" ht="15" customHeight="1" s="38">
      <c r="A345" s="80">
        <f>'Blind Scoring Sheet'!A345</f>
        <v/>
      </c>
      <c r="B345" s="80">
        <f>MID(INDEX('Anonymization Key'!$B$4:$B$1003,MATCH(A345,'Anonymization Key'!$A$4:$A$1003,0)),3,2)</f>
        <v/>
      </c>
      <c r="C345" s="81">
        <f>IF(ISNUMBER('Blind Scoring Sheet'!B345),'Blind Scoring Sheet'!B345,VALUE(TRIM(LEFT('Blind Scoring Sheet'!B345,FIND("|",'Blind Scoring Sheet'!B345)-1))))</f>
        <v/>
      </c>
      <c r="D345" s="81">
        <f>IF(ISNUMBER('Blind Scoring Sheet'!D345),'Blind Scoring Sheet'!D345,VALUE(TRIM(LEFT('Blind Scoring Sheet'!D345,FIND("|",'Blind Scoring Sheet'!D345)-1))))</f>
        <v/>
      </c>
      <c r="E345" s="81">
        <f>IF(ISNUMBER('Blind Scoring Sheet'!F345),'Blind Scoring Sheet'!F345,VALUE(TRIM(LEFT('Blind Scoring Sheet'!F345,FIND("|",'Blind Scoring Sheet'!F345)-1))))</f>
        <v/>
      </c>
      <c r="F345" s="81">
        <f>IF(ISNUMBER('Blind Scoring Sheet'!H345),'Blind Scoring Sheet'!H345,VALUE(TRIM(LEFT('Blind Scoring Sheet'!H345,FIND("|",'Blind Scoring Sheet'!H345)-1))))</f>
        <v/>
      </c>
      <c r="G345" s="81">
        <f>IF(ISNUMBER('Blind Scoring Sheet'!J345),'Blind Scoring Sheet'!J345,VALUE(TRIM(LEFT('Blind Scoring Sheet'!J345,FIND("|",'Blind Scoring Sheet'!J345)-1))))</f>
        <v/>
      </c>
      <c r="H345" s="80">
        <f>IF(ISNUMBER(SEARCH("|",'Blind Scoring Sheet'!K345)),TRIM(LEFT('Blind Scoring Sheet'!K345,FIND("|",'Blind Scoring Sheet'!K345)-1)),TRIM('Blind Scoring Sheet'!K345))</f>
        <v/>
      </c>
    </row>
    <row r="346" ht="15" customHeight="1" s="38">
      <c r="A346" s="80">
        <f>'Blind Scoring Sheet'!A346</f>
        <v/>
      </c>
      <c r="B346" s="80">
        <f>MID(INDEX('Anonymization Key'!$B$4:$B$1003,MATCH(A346,'Anonymization Key'!$A$4:$A$1003,0)),3,2)</f>
        <v/>
      </c>
      <c r="C346" s="81">
        <f>IF(ISNUMBER('Blind Scoring Sheet'!B346),'Blind Scoring Sheet'!B346,VALUE(TRIM(LEFT('Blind Scoring Sheet'!B346,FIND("|",'Blind Scoring Sheet'!B346)-1))))</f>
        <v/>
      </c>
      <c r="D346" s="81">
        <f>IF(ISNUMBER('Blind Scoring Sheet'!D346),'Blind Scoring Sheet'!D346,VALUE(TRIM(LEFT('Blind Scoring Sheet'!D346,FIND("|",'Blind Scoring Sheet'!D346)-1))))</f>
        <v/>
      </c>
      <c r="E346" s="81">
        <f>IF(ISNUMBER('Blind Scoring Sheet'!F346),'Blind Scoring Sheet'!F346,VALUE(TRIM(LEFT('Blind Scoring Sheet'!F346,FIND("|",'Blind Scoring Sheet'!F346)-1))))</f>
        <v/>
      </c>
      <c r="F346" s="81">
        <f>IF(ISNUMBER('Blind Scoring Sheet'!H346),'Blind Scoring Sheet'!H346,VALUE(TRIM(LEFT('Blind Scoring Sheet'!H346,FIND("|",'Blind Scoring Sheet'!H346)-1))))</f>
        <v/>
      </c>
      <c r="G346" s="81">
        <f>IF(ISNUMBER('Blind Scoring Sheet'!J346),'Blind Scoring Sheet'!J346,VALUE(TRIM(LEFT('Blind Scoring Sheet'!J346,FIND("|",'Blind Scoring Sheet'!J346)-1))))</f>
        <v/>
      </c>
      <c r="H346" s="80">
        <f>IF(ISNUMBER(SEARCH("|",'Blind Scoring Sheet'!K346)),TRIM(LEFT('Blind Scoring Sheet'!K346,FIND("|",'Blind Scoring Sheet'!K346)-1)),TRIM('Blind Scoring Sheet'!K346))</f>
        <v/>
      </c>
    </row>
    <row r="347" ht="15" customHeight="1" s="38">
      <c r="A347" s="80">
        <f>'Blind Scoring Sheet'!A347</f>
        <v/>
      </c>
      <c r="B347" s="80">
        <f>MID(INDEX('Anonymization Key'!$B$4:$B$1003,MATCH(A347,'Anonymization Key'!$A$4:$A$1003,0)),3,2)</f>
        <v/>
      </c>
      <c r="C347" s="81">
        <f>IF(ISNUMBER('Blind Scoring Sheet'!B347),'Blind Scoring Sheet'!B347,VALUE(TRIM(LEFT('Blind Scoring Sheet'!B347,FIND("|",'Blind Scoring Sheet'!B347)-1))))</f>
        <v/>
      </c>
      <c r="D347" s="81">
        <f>IF(ISNUMBER('Blind Scoring Sheet'!D347),'Blind Scoring Sheet'!D347,VALUE(TRIM(LEFT('Blind Scoring Sheet'!D347,FIND("|",'Blind Scoring Sheet'!D347)-1))))</f>
        <v/>
      </c>
      <c r="E347" s="81">
        <f>IF(ISNUMBER('Blind Scoring Sheet'!F347),'Blind Scoring Sheet'!F347,VALUE(TRIM(LEFT('Blind Scoring Sheet'!F347,FIND("|",'Blind Scoring Sheet'!F347)-1))))</f>
        <v/>
      </c>
      <c r="F347" s="81">
        <f>IF(ISNUMBER('Blind Scoring Sheet'!H347),'Blind Scoring Sheet'!H347,VALUE(TRIM(LEFT('Blind Scoring Sheet'!H347,FIND("|",'Blind Scoring Sheet'!H347)-1))))</f>
        <v/>
      </c>
      <c r="G347" s="81">
        <f>IF(ISNUMBER('Blind Scoring Sheet'!J347),'Blind Scoring Sheet'!J347,VALUE(TRIM(LEFT('Blind Scoring Sheet'!J347,FIND("|",'Blind Scoring Sheet'!J347)-1))))</f>
        <v/>
      </c>
      <c r="H347" s="80">
        <f>IF(ISNUMBER(SEARCH("|",'Blind Scoring Sheet'!K347)),TRIM(LEFT('Blind Scoring Sheet'!K347,FIND("|",'Blind Scoring Sheet'!K347)-1)),TRIM('Blind Scoring Sheet'!K347))</f>
        <v/>
      </c>
    </row>
    <row r="348" ht="15" customHeight="1" s="38">
      <c r="A348" s="80">
        <f>'Blind Scoring Sheet'!A348</f>
        <v/>
      </c>
      <c r="B348" s="80">
        <f>MID(INDEX('Anonymization Key'!$B$4:$B$1003,MATCH(A348,'Anonymization Key'!$A$4:$A$1003,0)),3,2)</f>
        <v/>
      </c>
      <c r="C348" s="81">
        <f>IF(ISNUMBER('Blind Scoring Sheet'!B348),'Blind Scoring Sheet'!B348,VALUE(TRIM(LEFT('Blind Scoring Sheet'!B348,FIND("|",'Blind Scoring Sheet'!B348)-1))))</f>
        <v/>
      </c>
      <c r="D348" s="81">
        <f>IF(ISNUMBER('Blind Scoring Sheet'!D348),'Blind Scoring Sheet'!D348,VALUE(TRIM(LEFT('Blind Scoring Sheet'!D348,FIND("|",'Blind Scoring Sheet'!D348)-1))))</f>
        <v/>
      </c>
      <c r="E348" s="81">
        <f>IF(ISNUMBER('Blind Scoring Sheet'!F348),'Blind Scoring Sheet'!F348,VALUE(TRIM(LEFT('Blind Scoring Sheet'!F348,FIND("|",'Blind Scoring Sheet'!F348)-1))))</f>
        <v/>
      </c>
      <c r="F348" s="81">
        <f>IF(ISNUMBER('Blind Scoring Sheet'!H348),'Blind Scoring Sheet'!H348,VALUE(TRIM(LEFT('Blind Scoring Sheet'!H348,FIND("|",'Blind Scoring Sheet'!H348)-1))))</f>
        <v/>
      </c>
      <c r="G348" s="81">
        <f>IF(ISNUMBER('Blind Scoring Sheet'!J348),'Blind Scoring Sheet'!J348,VALUE(TRIM(LEFT('Blind Scoring Sheet'!J348,FIND("|",'Blind Scoring Sheet'!J348)-1))))</f>
        <v/>
      </c>
      <c r="H348" s="80">
        <f>IF(ISNUMBER(SEARCH("|",'Blind Scoring Sheet'!K348)),TRIM(LEFT('Blind Scoring Sheet'!K348,FIND("|",'Blind Scoring Sheet'!K348)-1)),TRIM('Blind Scoring Sheet'!K348))</f>
        <v/>
      </c>
    </row>
    <row r="349" ht="15" customHeight="1" s="38">
      <c r="A349" s="80">
        <f>'Blind Scoring Sheet'!A349</f>
        <v/>
      </c>
      <c r="B349" s="80">
        <f>MID(INDEX('Anonymization Key'!$B$4:$B$1003,MATCH(A349,'Anonymization Key'!$A$4:$A$1003,0)),3,2)</f>
        <v/>
      </c>
      <c r="C349" s="81">
        <f>IF(ISNUMBER('Blind Scoring Sheet'!B349),'Blind Scoring Sheet'!B349,VALUE(TRIM(LEFT('Blind Scoring Sheet'!B349,FIND("|",'Blind Scoring Sheet'!B349)-1))))</f>
        <v/>
      </c>
      <c r="D349" s="81">
        <f>IF(ISNUMBER('Blind Scoring Sheet'!D349),'Blind Scoring Sheet'!D349,VALUE(TRIM(LEFT('Blind Scoring Sheet'!D349,FIND("|",'Blind Scoring Sheet'!D349)-1))))</f>
        <v/>
      </c>
      <c r="E349" s="81">
        <f>IF(ISNUMBER('Blind Scoring Sheet'!F349),'Blind Scoring Sheet'!F349,VALUE(TRIM(LEFT('Blind Scoring Sheet'!F349,FIND("|",'Blind Scoring Sheet'!F349)-1))))</f>
        <v/>
      </c>
      <c r="F349" s="81">
        <f>IF(ISNUMBER('Blind Scoring Sheet'!H349),'Blind Scoring Sheet'!H349,VALUE(TRIM(LEFT('Blind Scoring Sheet'!H349,FIND("|",'Blind Scoring Sheet'!H349)-1))))</f>
        <v/>
      </c>
      <c r="G349" s="81">
        <f>IF(ISNUMBER('Blind Scoring Sheet'!J349),'Blind Scoring Sheet'!J349,VALUE(TRIM(LEFT('Blind Scoring Sheet'!J349,FIND("|",'Blind Scoring Sheet'!J349)-1))))</f>
        <v/>
      </c>
      <c r="H349" s="80">
        <f>IF(ISNUMBER(SEARCH("|",'Blind Scoring Sheet'!K349)),TRIM(LEFT('Blind Scoring Sheet'!K349,FIND("|",'Blind Scoring Sheet'!K349)-1)),TRIM('Blind Scoring Sheet'!K349))</f>
        <v/>
      </c>
    </row>
    <row r="350" ht="15" customHeight="1" s="38">
      <c r="A350" s="80">
        <f>'Blind Scoring Sheet'!A350</f>
        <v/>
      </c>
      <c r="B350" s="80">
        <f>MID(INDEX('Anonymization Key'!$B$4:$B$1003,MATCH(A350,'Anonymization Key'!$A$4:$A$1003,0)),3,2)</f>
        <v/>
      </c>
      <c r="C350" s="81">
        <f>IF(ISNUMBER('Blind Scoring Sheet'!B350),'Blind Scoring Sheet'!B350,VALUE(TRIM(LEFT('Blind Scoring Sheet'!B350,FIND("|",'Blind Scoring Sheet'!B350)-1))))</f>
        <v/>
      </c>
      <c r="D350" s="81">
        <f>IF(ISNUMBER('Blind Scoring Sheet'!D350),'Blind Scoring Sheet'!D350,VALUE(TRIM(LEFT('Blind Scoring Sheet'!D350,FIND("|",'Blind Scoring Sheet'!D350)-1))))</f>
        <v/>
      </c>
      <c r="E350" s="81">
        <f>IF(ISNUMBER('Blind Scoring Sheet'!F350),'Blind Scoring Sheet'!F350,VALUE(TRIM(LEFT('Blind Scoring Sheet'!F350,FIND("|",'Blind Scoring Sheet'!F350)-1))))</f>
        <v/>
      </c>
      <c r="F350" s="81">
        <f>IF(ISNUMBER('Blind Scoring Sheet'!H350),'Blind Scoring Sheet'!H350,VALUE(TRIM(LEFT('Blind Scoring Sheet'!H350,FIND("|",'Blind Scoring Sheet'!H350)-1))))</f>
        <v/>
      </c>
      <c r="G350" s="81">
        <f>IF(ISNUMBER('Blind Scoring Sheet'!J350),'Blind Scoring Sheet'!J350,VALUE(TRIM(LEFT('Blind Scoring Sheet'!J350,FIND("|",'Blind Scoring Sheet'!J350)-1))))</f>
        <v/>
      </c>
      <c r="H350" s="80">
        <f>IF(ISNUMBER(SEARCH("|",'Blind Scoring Sheet'!K350)),TRIM(LEFT('Blind Scoring Sheet'!K350,FIND("|",'Blind Scoring Sheet'!K350)-1)),TRIM('Blind Scoring Sheet'!K350))</f>
        <v/>
      </c>
    </row>
    <row r="351" ht="15" customHeight="1" s="38">
      <c r="A351" s="80">
        <f>'Blind Scoring Sheet'!A351</f>
        <v/>
      </c>
      <c r="B351" s="80">
        <f>MID(INDEX('Anonymization Key'!$B$4:$B$1003,MATCH(A351,'Anonymization Key'!$A$4:$A$1003,0)),3,2)</f>
        <v/>
      </c>
      <c r="C351" s="81">
        <f>IF(ISNUMBER('Blind Scoring Sheet'!B351),'Blind Scoring Sheet'!B351,VALUE(TRIM(LEFT('Blind Scoring Sheet'!B351,FIND("|",'Blind Scoring Sheet'!B351)-1))))</f>
        <v/>
      </c>
      <c r="D351" s="81">
        <f>IF(ISNUMBER('Blind Scoring Sheet'!D351),'Blind Scoring Sheet'!D351,VALUE(TRIM(LEFT('Blind Scoring Sheet'!D351,FIND("|",'Blind Scoring Sheet'!D351)-1))))</f>
        <v/>
      </c>
      <c r="E351" s="81">
        <f>IF(ISNUMBER('Blind Scoring Sheet'!F351),'Blind Scoring Sheet'!F351,VALUE(TRIM(LEFT('Blind Scoring Sheet'!F351,FIND("|",'Blind Scoring Sheet'!F351)-1))))</f>
        <v/>
      </c>
      <c r="F351" s="81">
        <f>IF(ISNUMBER('Blind Scoring Sheet'!H351),'Blind Scoring Sheet'!H351,VALUE(TRIM(LEFT('Blind Scoring Sheet'!H351,FIND("|",'Blind Scoring Sheet'!H351)-1))))</f>
        <v/>
      </c>
      <c r="G351" s="81">
        <f>IF(ISNUMBER('Blind Scoring Sheet'!J351),'Blind Scoring Sheet'!J351,VALUE(TRIM(LEFT('Blind Scoring Sheet'!J351,FIND("|",'Blind Scoring Sheet'!J351)-1))))</f>
        <v/>
      </c>
      <c r="H351" s="80">
        <f>IF(ISNUMBER(SEARCH("|",'Blind Scoring Sheet'!K351)),TRIM(LEFT('Blind Scoring Sheet'!K351,FIND("|",'Blind Scoring Sheet'!K351)-1)),TRIM('Blind Scoring Sheet'!K351))</f>
        <v/>
      </c>
    </row>
    <row r="352" ht="15" customHeight="1" s="38">
      <c r="A352" s="80">
        <f>'Blind Scoring Sheet'!A352</f>
        <v/>
      </c>
      <c r="B352" s="80">
        <f>MID(INDEX('Anonymization Key'!$B$4:$B$1003,MATCH(A352,'Anonymization Key'!$A$4:$A$1003,0)),3,2)</f>
        <v/>
      </c>
      <c r="C352" s="81">
        <f>IF(ISNUMBER('Blind Scoring Sheet'!B352),'Blind Scoring Sheet'!B352,VALUE(TRIM(LEFT('Blind Scoring Sheet'!B352,FIND("|",'Blind Scoring Sheet'!B352)-1))))</f>
        <v/>
      </c>
      <c r="D352" s="81">
        <f>IF(ISNUMBER('Blind Scoring Sheet'!D352),'Blind Scoring Sheet'!D352,VALUE(TRIM(LEFT('Blind Scoring Sheet'!D352,FIND("|",'Blind Scoring Sheet'!D352)-1))))</f>
        <v/>
      </c>
      <c r="E352" s="81">
        <f>IF(ISNUMBER('Blind Scoring Sheet'!F352),'Blind Scoring Sheet'!F352,VALUE(TRIM(LEFT('Blind Scoring Sheet'!F352,FIND("|",'Blind Scoring Sheet'!F352)-1))))</f>
        <v/>
      </c>
      <c r="F352" s="81">
        <f>IF(ISNUMBER('Blind Scoring Sheet'!H352),'Blind Scoring Sheet'!H352,VALUE(TRIM(LEFT('Blind Scoring Sheet'!H352,FIND("|",'Blind Scoring Sheet'!H352)-1))))</f>
        <v/>
      </c>
      <c r="G352" s="81">
        <f>IF(ISNUMBER('Blind Scoring Sheet'!J352),'Blind Scoring Sheet'!J352,VALUE(TRIM(LEFT('Blind Scoring Sheet'!J352,FIND("|",'Blind Scoring Sheet'!J352)-1))))</f>
        <v/>
      </c>
      <c r="H352" s="80">
        <f>IF(ISNUMBER(SEARCH("|",'Blind Scoring Sheet'!K352)),TRIM(LEFT('Blind Scoring Sheet'!K352,FIND("|",'Blind Scoring Sheet'!K352)-1)),TRIM('Blind Scoring Sheet'!K352))</f>
        <v/>
      </c>
    </row>
    <row r="353" ht="15" customHeight="1" s="38">
      <c r="A353" s="80">
        <f>'Blind Scoring Sheet'!A353</f>
        <v/>
      </c>
      <c r="B353" s="80">
        <f>MID(INDEX('Anonymization Key'!$B$4:$B$1003,MATCH(A353,'Anonymization Key'!$A$4:$A$1003,0)),3,2)</f>
        <v/>
      </c>
      <c r="C353" s="81">
        <f>IF(ISNUMBER('Blind Scoring Sheet'!B353),'Blind Scoring Sheet'!B353,VALUE(TRIM(LEFT('Blind Scoring Sheet'!B353,FIND("|",'Blind Scoring Sheet'!B353)-1))))</f>
        <v/>
      </c>
      <c r="D353" s="81">
        <f>IF(ISNUMBER('Blind Scoring Sheet'!D353),'Blind Scoring Sheet'!D353,VALUE(TRIM(LEFT('Blind Scoring Sheet'!D353,FIND("|",'Blind Scoring Sheet'!D353)-1))))</f>
        <v/>
      </c>
      <c r="E353" s="81">
        <f>IF(ISNUMBER('Blind Scoring Sheet'!F353),'Blind Scoring Sheet'!F353,VALUE(TRIM(LEFT('Blind Scoring Sheet'!F353,FIND("|",'Blind Scoring Sheet'!F353)-1))))</f>
        <v/>
      </c>
      <c r="F353" s="81">
        <f>IF(ISNUMBER('Blind Scoring Sheet'!H353),'Blind Scoring Sheet'!H353,VALUE(TRIM(LEFT('Blind Scoring Sheet'!H353,FIND("|",'Blind Scoring Sheet'!H353)-1))))</f>
        <v/>
      </c>
      <c r="G353" s="81">
        <f>IF(ISNUMBER('Blind Scoring Sheet'!J353),'Blind Scoring Sheet'!J353,VALUE(TRIM(LEFT('Blind Scoring Sheet'!J353,FIND("|",'Blind Scoring Sheet'!J353)-1))))</f>
        <v/>
      </c>
      <c r="H353" s="80">
        <f>IF(ISNUMBER(SEARCH("|",'Blind Scoring Sheet'!K353)),TRIM(LEFT('Blind Scoring Sheet'!K353,FIND("|",'Blind Scoring Sheet'!K353)-1)),TRIM('Blind Scoring Sheet'!K353))</f>
        <v/>
      </c>
    </row>
    <row r="354" ht="15" customHeight="1" s="38">
      <c r="A354" s="80">
        <f>'Blind Scoring Sheet'!A354</f>
        <v/>
      </c>
      <c r="B354" s="80">
        <f>MID(INDEX('Anonymization Key'!$B$4:$B$1003,MATCH(A354,'Anonymization Key'!$A$4:$A$1003,0)),3,2)</f>
        <v/>
      </c>
      <c r="C354" s="81">
        <f>IF(ISNUMBER('Blind Scoring Sheet'!B354),'Blind Scoring Sheet'!B354,VALUE(TRIM(LEFT('Blind Scoring Sheet'!B354,FIND("|",'Blind Scoring Sheet'!B354)-1))))</f>
        <v/>
      </c>
      <c r="D354" s="81">
        <f>IF(ISNUMBER('Blind Scoring Sheet'!D354),'Blind Scoring Sheet'!D354,VALUE(TRIM(LEFT('Blind Scoring Sheet'!D354,FIND("|",'Blind Scoring Sheet'!D354)-1))))</f>
        <v/>
      </c>
      <c r="E354" s="81">
        <f>IF(ISNUMBER('Blind Scoring Sheet'!F354),'Blind Scoring Sheet'!F354,VALUE(TRIM(LEFT('Blind Scoring Sheet'!F354,FIND("|",'Blind Scoring Sheet'!F354)-1))))</f>
        <v/>
      </c>
      <c r="F354" s="81">
        <f>IF(ISNUMBER('Blind Scoring Sheet'!H354),'Blind Scoring Sheet'!H354,VALUE(TRIM(LEFT('Blind Scoring Sheet'!H354,FIND("|",'Blind Scoring Sheet'!H354)-1))))</f>
        <v/>
      </c>
      <c r="G354" s="81">
        <f>IF(ISNUMBER('Blind Scoring Sheet'!J354),'Blind Scoring Sheet'!J354,VALUE(TRIM(LEFT('Blind Scoring Sheet'!J354,FIND("|",'Blind Scoring Sheet'!J354)-1))))</f>
        <v/>
      </c>
      <c r="H354" s="80">
        <f>IF(ISNUMBER(SEARCH("|",'Blind Scoring Sheet'!K354)),TRIM(LEFT('Blind Scoring Sheet'!K354,FIND("|",'Blind Scoring Sheet'!K354)-1)),TRIM('Blind Scoring Sheet'!K354))</f>
        <v/>
      </c>
    </row>
    <row r="355" ht="15" customHeight="1" s="38">
      <c r="A355" s="80">
        <f>'Blind Scoring Sheet'!A355</f>
        <v/>
      </c>
      <c r="B355" s="80">
        <f>MID(INDEX('Anonymization Key'!$B$4:$B$1003,MATCH(A355,'Anonymization Key'!$A$4:$A$1003,0)),3,2)</f>
        <v/>
      </c>
      <c r="C355" s="81">
        <f>IF(ISNUMBER('Blind Scoring Sheet'!B355),'Blind Scoring Sheet'!B355,VALUE(TRIM(LEFT('Blind Scoring Sheet'!B355,FIND("|",'Blind Scoring Sheet'!B355)-1))))</f>
        <v/>
      </c>
      <c r="D355" s="81">
        <f>IF(ISNUMBER('Blind Scoring Sheet'!D355),'Blind Scoring Sheet'!D355,VALUE(TRIM(LEFT('Blind Scoring Sheet'!D355,FIND("|",'Blind Scoring Sheet'!D355)-1))))</f>
        <v/>
      </c>
      <c r="E355" s="81">
        <f>IF(ISNUMBER('Blind Scoring Sheet'!F355),'Blind Scoring Sheet'!F355,VALUE(TRIM(LEFT('Blind Scoring Sheet'!F355,FIND("|",'Blind Scoring Sheet'!F355)-1))))</f>
        <v/>
      </c>
      <c r="F355" s="81">
        <f>IF(ISNUMBER('Blind Scoring Sheet'!H355),'Blind Scoring Sheet'!H355,VALUE(TRIM(LEFT('Blind Scoring Sheet'!H355,FIND("|",'Blind Scoring Sheet'!H355)-1))))</f>
        <v/>
      </c>
      <c r="G355" s="81">
        <f>IF(ISNUMBER('Blind Scoring Sheet'!J355),'Blind Scoring Sheet'!J355,VALUE(TRIM(LEFT('Blind Scoring Sheet'!J355,FIND("|",'Blind Scoring Sheet'!J355)-1))))</f>
        <v/>
      </c>
      <c r="H355" s="80">
        <f>IF(ISNUMBER(SEARCH("|",'Blind Scoring Sheet'!K355)),TRIM(LEFT('Blind Scoring Sheet'!K355,FIND("|",'Blind Scoring Sheet'!K355)-1)),TRIM('Blind Scoring Sheet'!K355))</f>
        <v/>
      </c>
    </row>
    <row r="356" ht="15" customHeight="1" s="38">
      <c r="A356" s="80">
        <f>'Blind Scoring Sheet'!A356</f>
        <v/>
      </c>
      <c r="B356" s="80">
        <f>MID(INDEX('Anonymization Key'!$B$4:$B$1003,MATCH(A356,'Anonymization Key'!$A$4:$A$1003,0)),3,2)</f>
        <v/>
      </c>
      <c r="C356" s="81">
        <f>IF(ISNUMBER('Blind Scoring Sheet'!B356),'Blind Scoring Sheet'!B356,VALUE(TRIM(LEFT('Blind Scoring Sheet'!B356,FIND("|",'Blind Scoring Sheet'!B356)-1))))</f>
        <v/>
      </c>
      <c r="D356" s="81">
        <f>IF(ISNUMBER('Blind Scoring Sheet'!D356),'Blind Scoring Sheet'!D356,VALUE(TRIM(LEFT('Blind Scoring Sheet'!D356,FIND("|",'Blind Scoring Sheet'!D356)-1))))</f>
        <v/>
      </c>
      <c r="E356" s="81">
        <f>IF(ISNUMBER('Blind Scoring Sheet'!F356),'Blind Scoring Sheet'!F356,VALUE(TRIM(LEFT('Blind Scoring Sheet'!F356,FIND("|",'Blind Scoring Sheet'!F356)-1))))</f>
        <v/>
      </c>
      <c r="F356" s="81">
        <f>IF(ISNUMBER('Blind Scoring Sheet'!H356),'Blind Scoring Sheet'!H356,VALUE(TRIM(LEFT('Blind Scoring Sheet'!H356,FIND("|",'Blind Scoring Sheet'!H356)-1))))</f>
        <v/>
      </c>
      <c r="G356" s="81">
        <f>IF(ISNUMBER('Blind Scoring Sheet'!J356),'Blind Scoring Sheet'!J356,VALUE(TRIM(LEFT('Blind Scoring Sheet'!J356,FIND("|",'Blind Scoring Sheet'!J356)-1))))</f>
        <v/>
      </c>
      <c r="H356" s="80">
        <f>IF(ISNUMBER(SEARCH("|",'Blind Scoring Sheet'!K356)),TRIM(LEFT('Blind Scoring Sheet'!K356,FIND("|",'Blind Scoring Sheet'!K356)-1)),TRIM('Blind Scoring Sheet'!K356))</f>
        <v/>
      </c>
    </row>
    <row r="357" ht="15" customHeight="1" s="38">
      <c r="A357" s="80">
        <f>'Blind Scoring Sheet'!A357</f>
        <v/>
      </c>
      <c r="B357" s="80">
        <f>MID(INDEX('Anonymization Key'!$B$4:$B$1003,MATCH(A357,'Anonymization Key'!$A$4:$A$1003,0)),3,2)</f>
        <v/>
      </c>
      <c r="C357" s="81">
        <f>IF(ISNUMBER('Blind Scoring Sheet'!B357),'Blind Scoring Sheet'!B357,VALUE(TRIM(LEFT('Blind Scoring Sheet'!B357,FIND("|",'Blind Scoring Sheet'!B357)-1))))</f>
        <v/>
      </c>
      <c r="D357" s="81">
        <f>IF(ISNUMBER('Blind Scoring Sheet'!D357),'Blind Scoring Sheet'!D357,VALUE(TRIM(LEFT('Blind Scoring Sheet'!D357,FIND("|",'Blind Scoring Sheet'!D357)-1))))</f>
        <v/>
      </c>
      <c r="E357" s="81">
        <f>IF(ISNUMBER('Blind Scoring Sheet'!F357),'Blind Scoring Sheet'!F357,VALUE(TRIM(LEFT('Blind Scoring Sheet'!F357,FIND("|",'Blind Scoring Sheet'!F357)-1))))</f>
        <v/>
      </c>
      <c r="F357" s="81">
        <f>IF(ISNUMBER('Blind Scoring Sheet'!H357),'Blind Scoring Sheet'!H357,VALUE(TRIM(LEFT('Blind Scoring Sheet'!H357,FIND("|",'Blind Scoring Sheet'!H357)-1))))</f>
        <v/>
      </c>
      <c r="G357" s="81">
        <f>IF(ISNUMBER('Blind Scoring Sheet'!J357),'Blind Scoring Sheet'!J357,VALUE(TRIM(LEFT('Blind Scoring Sheet'!J357,FIND("|",'Blind Scoring Sheet'!J357)-1))))</f>
        <v/>
      </c>
      <c r="H357" s="80">
        <f>IF(ISNUMBER(SEARCH("|",'Blind Scoring Sheet'!K357)),TRIM(LEFT('Blind Scoring Sheet'!K357,FIND("|",'Blind Scoring Sheet'!K357)-1)),TRIM('Blind Scoring Sheet'!K357))</f>
        <v/>
      </c>
    </row>
    <row r="358" ht="15" customHeight="1" s="38">
      <c r="A358" s="80">
        <f>'Blind Scoring Sheet'!A358</f>
        <v/>
      </c>
      <c r="B358" s="80">
        <f>MID(INDEX('Anonymization Key'!$B$4:$B$1003,MATCH(A358,'Anonymization Key'!$A$4:$A$1003,0)),3,2)</f>
        <v/>
      </c>
      <c r="C358" s="81">
        <f>IF(ISNUMBER('Blind Scoring Sheet'!B358),'Blind Scoring Sheet'!B358,VALUE(TRIM(LEFT('Blind Scoring Sheet'!B358,FIND("|",'Blind Scoring Sheet'!B358)-1))))</f>
        <v/>
      </c>
      <c r="D358" s="81">
        <f>IF(ISNUMBER('Blind Scoring Sheet'!D358),'Blind Scoring Sheet'!D358,VALUE(TRIM(LEFT('Blind Scoring Sheet'!D358,FIND("|",'Blind Scoring Sheet'!D358)-1))))</f>
        <v/>
      </c>
      <c r="E358" s="81">
        <f>IF(ISNUMBER('Blind Scoring Sheet'!F358),'Blind Scoring Sheet'!F358,VALUE(TRIM(LEFT('Blind Scoring Sheet'!F358,FIND("|",'Blind Scoring Sheet'!F358)-1))))</f>
        <v/>
      </c>
      <c r="F358" s="81">
        <f>IF(ISNUMBER('Blind Scoring Sheet'!H358),'Blind Scoring Sheet'!H358,VALUE(TRIM(LEFT('Blind Scoring Sheet'!H358,FIND("|",'Blind Scoring Sheet'!H358)-1))))</f>
        <v/>
      </c>
      <c r="G358" s="81">
        <f>IF(ISNUMBER('Blind Scoring Sheet'!J358),'Blind Scoring Sheet'!J358,VALUE(TRIM(LEFT('Blind Scoring Sheet'!J358,FIND("|",'Blind Scoring Sheet'!J358)-1))))</f>
        <v/>
      </c>
      <c r="H358" s="80">
        <f>IF(ISNUMBER(SEARCH("|",'Blind Scoring Sheet'!K358)),TRIM(LEFT('Blind Scoring Sheet'!K358,FIND("|",'Blind Scoring Sheet'!K358)-1)),TRIM('Blind Scoring Sheet'!K358))</f>
        <v/>
      </c>
    </row>
    <row r="359" ht="15" customHeight="1" s="38">
      <c r="A359" s="80">
        <f>'Blind Scoring Sheet'!A359</f>
        <v/>
      </c>
      <c r="B359" s="80">
        <f>MID(INDEX('Anonymization Key'!$B$4:$B$1003,MATCH(A359,'Anonymization Key'!$A$4:$A$1003,0)),3,2)</f>
        <v/>
      </c>
      <c r="C359" s="81">
        <f>IF(ISNUMBER('Blind Scoring Sheet'!B359),'Blind Scoring Sheet'!B359,VALUE(TRIM(LEFT('Blind Scoring Sheet'!B359,FIND("|",'Blind Scoring Sheet'!B359)-1))))</f>
        <v/>
      </c>
      <c r="D359" s="81">
        <f>IF(ISNUMBER('Blind Scoring Sheet'!D359),'Blind Scoring Sheet'!D359,VALUE(TRIM(LEFT('Blind Scoring Sheet'!D359,FIND("|",'Blind Scoring Sheet'!D359)-1))))</f>
        <v/>
      </c>
      <c r="E359" s="81">
        <f>IF(ISNUMBER('Blind Scoring Sheet'!F359),'Blind Scoring Sheet'!F359,VALUE(TRIM(LEFT('Blind Scoring Sheet'!F359,FIND("|",'Blind Scoring Sheet'!F359)-1))))</f>
        <v/>
      </c>
      <c r="F359" s="81">
        <f>IF(ISNUMBER('Blind Scoring Sheet'!H359),'Blind Scoring Sheet'!H359,VALUE(TRIM(LEFT('Blind Scoring Sheet'!H359,FIND("|",'Blind Scoring Sheet'!H359)-1))))</f>
        <v/>
      </c>
      <c r="G359" s="81">
        <f>IF(ISNUMBER('Blind Scoring Sheet'!J359),'Blind Scoring Sheet'!J359,VALUE(TRIM(LEFT('Blind Scoring Sheet'!J359,FIND("|",'Blind Scoring Sheet'!J359)-1))))</f>
        <v/>
      </c>
      <c r="H359" s="80">
        <f>IF(ISNUMBER(SEARCH("|",'Blind Scoring Sheet'!K359)),TRIM(LEFT('Blind Scoring Sheet'!K359,FIND("|",'Blind Scoring Sheet'!K359)-1)),TRIM('Blind Scoring Sheet'!K359))</f>
        <v/>
      </c>
    </row>
    <row r="360" ht="15" customHeight="1" s="38">
      <c r="A360" s="80">
        <f>'Blind Scoring Sheet'!A360</f>
        <v/>
      </c>
      <c r="B360" s="80">
        <f>MID(INDEX('Anonymization Key'!$B$4:$B$1003,MATCH(A360,'Anonymization Key'!$A$4:$A$1003,0)),3,2)</f>
        <v/>
      </c>
      <c r="C360" s="81">
        <f>IF(ISNUMBER('Blind Scoring Sheet'!B360),'Blind Scoring Sheet'!B360,VALUE(TRIM(LEFT('Blind Scoring Sheet'!B360,FIND("|",'Blind Scoring Sheet'!B360)-1))))</f>
        <v/>
      </c>
      <c r="D360" s="81">
        <f>IF(ISNUMBER('Blind Scoring Sheet'!D360),'Blind Scoring Sheet'!D360,VALUE(TRIM(LEFT('Blind Scoring Sheet'!D360,FIND("|",'Blind Scoring Sheet'!D360)-1))))</f>
        <v/>
      </c>
      <c r="E360" s="81">
        <f>IF(ISNUMBER('Blind Scoring Sheet'!F360),'Blind Scoring Sheet'!F360,VALUE(TRIM(LEFT('Blind Scoring Sheet'!F360,FIND("|",'Blind Scoring Sheet'!F360)-1))))</f>
        <v/>
      </c>
      <c r="F360" s="81">
        <f>IF(ISNUMBER('Blind Scoring Sheet'!H360),'Blind Scoring Sheet'!H360,VALUE(TRIM(LEFT('Blind Scoring Sheet'!H360,FIND("|",'Blind Scoring Sheet'!H360)-1))))</f>
        <v/>
      </c>
      <c r="G360" s="81">
        <f>IF(ISNUMBER('Blind Scoring Sheet'!J360),'Blind Scoring Sheet'!J360,VALUE(TRIM(LEFT('Blind Scoring Sheet'!J360,FIND("|",'Blind Scoring Sheet'!J360)-1))))</f>
        <v/>
      </c>
      <c r="H360" s="80">
        <f>IF(ISNUMBER(SEARCH("|",'Blind Scoring Sheet'!K360)),TRIM(LEFT('Blind Scoring Sheet'!K360,FIND("|",'Blind Scoring Sheet'!K360)-1)),TRIM('Blind Scoring Sheet'!K360))</f>
        <v/>
      </c>
    </row>
    <row r="361" ht="15" customHeight="1" s="38">
      <c r="A361" s="80">
        <f>'Blind Scoring Sheet'!A361</f>
        <v/>
      </c>
      <c r="B361" s="80">
        <f>MID(INDEX('Anonymization Key'!$B$4:$B$1003,MATCH(A361,'Anonymization Key'!$A$4:$A$1003,0)),3,2)</f>
        <v/>
      </c>
      <c r="C361" s="81">
        <f>IF(ISNUMBER('Blind Scoring Sheet'!B361),'Blind Scoring Sheet'!B361,VALUE(TRIM(LEFT('Blind Scoring Sheet'!B361,FIND("|",'Blind Scoring Sheet'!B361)-1))))</f>
        <v/>
      </c>
      <c r="D361" s="81">
        <f>IF(ISNUMBER('Blind Scoring Sheet'!D361),'Blind Scoring Sheet'!D361,VALUE(TRIM(LEFT('Blind Scoring Sheet'!D361,FIND("|",'Blind Scoring Sheet'!D361)-1))))</f>
        <v/>
      </c>
      <c r="E361" s="81">
        <f>IF(ISNUMBER('Blind Scoring Sheet'!F361),'Blind Scoring Sheet'!F361,VALUE(TRIM(LEFT('Blind Scoring Sheet'!F361,FIND("|",'Blind Scoring Sheet'!F361)-1))))</f>
        <v/>
      </c>
      <c r="F361" s="81">
        <f>IF(ISNUMBER('Blind Scoring Sheet'!H361),'Blind Scoring Sheet'!H361,VALUE(TRIM(LEFT('Blind Scoring Sheet'!H361,FIND("|",'Blind Scoring Sheet'!H361)-1))))</f>
        <v/>
      </c>
      <c r="G361" s="81">
        <f>IF(ISNUMBER('Blind Scoring Sheet'!J361),'Blind Scoring Sheet'!J361,VALUE(TRIM(LEFT('Blind Scoring Sheet'!J361,FIND("|",'Blind Scoring Sheet'!J361)-1))))</f>
        <v/>
      </c>
      <c r="H361" s="80">
        <f>IF(ISNUMBER(SEARCH("|",'Blind Scoring Sheet'!K361)),TRIM(LEFT('Blind Scoring Sheet'!K361,FIND("|",'Blind Scoring Sheet'!K361)-1)),TRIM('Blind Scoring Sheet'!K361))</f>
        <v/>
      </c>
    </row>
    <row r="362" ht="15" customHeight="1" s="38">
      <c r="A362" s="80">
        <f>'Blind Scoring Sheet'!A362</f>
        <v/>
      </c>
      <c r="B362" s="80">
        <f>MID(INDEX('Anonymization Key'!$B$4:$B$1003,MATCH(A362,'Anonymization Key'!$A$4:$A$1003,0)),3,2)</f>
        <v/>
      </c>
      <c r="C362" s="81">
        <f>IF(ISNUMBER('Blind Scoring Sheet'!B362),'Blind Scoring Sheet'!B362,VALUE(TRIM(LEFT('Blind Scoring Sheet'!B362,FIND("|",'Blind Scoring Sheet'!B362)-1))))</f>
        <v/>
      </c>
      <c r="D362" s="81">
        <f>IF(ISNUMBER('Blind Scoring Sheet'!D362),'Blind Scoring Sheet'!D362,VALUE(TRIM(LEFT('Blind Scoring Sheet'!D362,FIND("|",'Blind Scoring Sheet'!D362)-1))))</f>
        <v/>
      </c>
      <c r="E362" s="81">
        <f>IF(ISNUMBER('Blind Scoring Sheet'!F362),'Blind Scoring Sheet'!F362,VALUE(TRIM(LEFT('Blind Scoring Sheet'!F362,FIND("|",'Blind Scoring Sheet'!F362)-1))))</f>
        <v/>
      </c>
      <c r="F362" s="81">
        <f>IF(ISNUMBER('Blind Scoring Sheet'!H362),'Blind Scoring Sheet'!H362,VALUE(TRIM(LEFT('Blind Scoring Sheet'!H362,FIND("|",'Blind Scoring Sheet'!H362)-1))))</f>
        <v/>
      </c>
      <c r="G362" s="81">
        <f>IF(ISNUMBER('Blind Scoring Sheet'!J362),'Blind Scoring Sheet'!J362,VALUE(TRIM(LEFT('Blind Scoring Sheet'!J362,FIND("|",'Blind Scoring Sheet'!J362)-1))))</f>
        <v/>
      </c>
      <c r="H362" s="80">
        <f>IF(ISNUMBER(SEARCH("|",'Blind Scoring Sheet'!K362)),TRIM(LEFT('Blind Scoring Sheet'!K362,FIND("|",'Blind Scoring Sheet'!K362)-1)),TRIM('Blind Scoring Sheet'!K362))</f>
        <v/>
      </c>
    </row>
    <row r="363" ht="15" customHeight="1" s="38">
      <c r="A363" s="80">
        <f>'Blind Scoring Sheet'!A363</f>
        <v/>
      </c>
      <c r="B363" s="80">
        <f>MID(INDEX('Anonymization Key'!$B$4:$B$1003,MATCH(A363,'Anonymization Key'!$A$4:$A$1003,0)),3,2)</f>
        <v/>
      </c>
      <c r="C363" s="81">
        <f>IF(ISNUMBER('Blind Scoring Sheet'!B363),'Blind Scoring Sheet'!B363,VALUE(TRIM(LEFT('Blind Scoring Sheet'!B363,FIND("|",'Blind Scoring Sheet'!B363)-1))))</f>
        <v/>
      </c>
      <c r="D363" s="81">
        <f>IF(ISNUMBER('Blind Scoring Sheet'!D363),'Blind Scoring Sheet'!D363,VALUE(TRIM(LEFT('Blind Scoring Sheet'!D363,FIND("|",'Blind Scoring Sheet'!D363)-1))))</f>
        <v/>
      </c>
      <c r="E363" s="81">
        <f>IF(ISNUMBER('Blind Scoring Sheet'!F363),'Blind Scoring Sheet'!F363,VALUE(TRIM(LEFT('Blind Scoring Sheet'!F363,FIND("|",'Blind Scoring Sheet'!F363)-1))))</f>
        <v/>
      </c>
      <c r="F363" s="81">
        <f>IF(ISNUMBER('Blind Scoring Sheet'!H363),'Blind Scoring Sheet'!H363,VALUE(TRIM(LEFT('Blind Scoring Sheet'!H363,FIND("|",'Blind Scoring Sheet'!H363)-1))))</f>
        <v/>
      </c>
      <c r="G363" s="81">
        <f>IF(ISNUMBER('Blind Scoring Sheet'!J363),'Blind Scoring Sheet'!J363,VALUE(TRIM(LEFT('Blind Scoring Sheet'!J363,FIND("|",'Blind Scoring Sheet'!J363)-1))))</f>
        <v/>
      </c>
      <c r="H363" s="80">
        <f>IF(ISNUMBER(SEARCH("|",'Blind Scoring Sheet'!K363)),TRIM(LEFT('Blind Scoring Sheet'!K363,FIND("|",'Blind Scoring Sheet'!K363)-1)),TRIM('Blind Scoring Sheet'!K363))</f>
        <v/>
      </c>
    </row>
    <row r="364" ht="15" customHeight="1" s="38">
      <c r="A364" s="80">
        <f>'Blind Scoring Sheet'!A364</f>
        <v/>
      </c>
      <c r="B364" s="80">
        <f>MID(INDEX('Anonymization Key'!$B$4:$B$1003,MATCH(A364,'Anonymization Key'!$A$4:$A$1003,0)),3,2)</f>
        <v/>
      </c>
      <c r="C364" s="81">
        <f>IF(ISNUMBER('Blind Scoring Sheet'!B364),'Blind Scoring Sheet'!B364,VALUE(TRIM(LEFT('Blind Scoring Sheet'!B364,FIND("|",'Blind Scoring Sheet'!B364)-1))))</f>
        <v/>
      </c>
      <c r="D364" s="81">
        <f>IF(ISNUMBER('Blind Scoring Sheet'!D364),'Blind Scoring Sheet'!D364,VALUE(TRIM(LEFT('Blind Scoring Sheet'!D364,FIND("|",'Blind Scoring Sheet'!D364)-1))))</f>
        <v/>
      </c>
      <c r="E364" s="81">
        <f>IF(ISNUMBER('Blind Scoring Sheet'!F364),'Blind Scoring Sheet'!F364,VALUE(TRIM(LEFT('Blind Scoring Sheet'!F364,FIND("|",'Blind Scoring Sheet'!F364)-1))))</f>
        <v/>
      </c>
      <c r="F364" s="81">
        <f>IF(ISNUMBER('Blind Scoring Sheet'!H364),'Blind Scoring Sheet'!H364,VALUE(TRIM(LEFT('Blind Scoring Sheet'!H364,FIND("|",'Blind Scoring Sheet'!H364)-1))))</f>
        <v/>
      </c>
      <c r="G364" s="81">
        <f>IF(ISNUMBER('Blind Scoring Sheet'!J364),'Blind Scoring Sheet'!J364,VALUE(TRIM(LEFT('Blind Scoring Sheet'!J364,FIND("|",'Blind Scoring Sheet'!J364)-1))))</f>
        <v/>
      </c>
      <c r="H364" s="80">
        <f>IF(ISNUMBER(SEARCH("|",'Blind Scoring Sheet'!K364)),TRIM(LEFT('Blind Scoring Sheet'!K364,FIND("|",'Blind Scoring Sheet'!K364)-1)),TRIM('Blind Scoring Sheet'!K364))</f>
        <v/>
      </c>
    </row>
    <row r="365" ht="15" customHeight="1" s="38">
      <c r="A365" s="80">
        <f>'Blind Scoring Sheet'!A365</f>
        <v/>
      </c>
      <c r="B365" s="80">
        <f>MID(INDEX('Anonymization Key'!$B$4:$B$1003,MATCH(A365,'Anonymization Key'!$A$4:$A$1003,0)),3,2)</f>
        <v/>
      </c>
      <c r="C365" s="81">
        <f>IF(ISNUMBER('Blind Scoring Sheet'!B365),'Blind Scoring Sheet'!B365,VALUE(TRIM(LEFT('Blind Scoring Sheet'!B365,FIND("|",'Blind Scoring Sheet'!B365)-1))))</f>
        <v/>
      </c>
      <c r="D365" s="81">
        <f>IF(ISNUMBER('Blind Scoring Sheet'!D365),'Blind Scoring Sheet'!D365,VALUE(TRIM(LEFT('Blind Scoring Sheet'!D365,FIND("|",'Blind Scoring Sheet'!D365)-1))))</f>
        <v/>
      </c>
      <c r="E365" s="81">
        <f>IF(ISNUMBER('Blind Scoring Sheet'!F365),'Blind Scoring Sheet'!F365,VALUE(TRIM(LEFT('Blind Scoring Sheet'!F365,FIND("|",'Blind Scoring Sheet'!F365)-1))))</f>
        <v/>
      </c>
      <c r="F365" s="81">
        <f>IF(ISNUMBER('Blind Scoring Sheet'!H365),'Blind Scoring Sheet'!H365,VALUE(TRIM(LEFT('Blind Scoring Sheet'!H365,FIND("|",'Blind Scoring Sheet'!H365)-1))))</f>
        <v/>
      </c>
      <c r="G365" s="81">
        <f>IF(ISNUMBER('Blind Scoring Sheet'!J365),'Blind Scoring Sheet'!J365,VALUE(TRIM(LEFT('Blind Scoring Sheet'!J365,FIND("|",'Blind Scoring Sheet'!J365)-1))))</f>
        <v/>
      </c>
      <c r="H365" s="80">
        <f>IF(ISNUMBER(SEARCH("|",'Blind Scoring Sheet'!K365)),TRIM(LEFT('Blind Scoring Sheet'!K365,FIND("|",'Blind Scoring Sheet'!K365)-1)),TRIM('Blind Scoring Sheet'!K365))</f>
        <v/>
      </c>
    </row>
    <row r="366" ht="15" customHeight="1" s="38">
      <c r="A366" s="80">
        <f>'Blind Scoring Sheet'!A366</f>
        <v/>
      </c>
      <c r="B366" s="80">
        <f>MID(INDEX('Anonymization Key'!$B$4:$B$1003,MATCH(A366,'Anonymization Key'!$A$4:$A$1003,0)),3,2)</f>
        <v/>
      </c>
      <c r="C366" s="81">
        <f>IF(ISNUMBER('Blind Scoring Sheet'!B366),'Blind Scoring Sheet'!B366,VALUE(TRIM(LEFT('Blind Scoring Sheet'!B366,FIND("|",'Blind Scoring Sheet'!B366)-1))))</f>
        <v/>
      </c>
      <c r="D366" s="81">
        <f>IF(ISNUMBER('Blind Scoring Sheet'!D366),'Blind Scoring Sheet'!D366,VALUE(TRIM(LEFT('Blind Scoring Sheet'!D366,FIND("|",'Blind Scoring Sheet'!D366)-1))))</f>
        <v/>
      </c>
      <c r="E366" s="81">
        <f>IF(ISNUMBER('Blind Scoring Sheet'!F366),'Blind Scoring Sheet'!F366,VALUE(TRIM(LEFT('Blind Scoring Sheet'!F366,FIND("|",'Blind Scoring Sheet'!F366)-1))))</f>
        <v/>
      </c>
      <c r="F366" s="81">
        <f>IF(ISNUMBER('Blind Scoring Sheet'!H366),'Blind Scoring Sheet'!H366,VALUE(TRIM(LEFT('Blind Scoring Sheet'!H366,FIND("|",'Blind Scoring Sheet'!H366)-1))))</f>
        <v/>
      </c>
      <c r="G366" s="81">
        <f>IF(ISNUMBER('Blind Scoring Sheet'!J366),'Blind Scoring Sheet'!J366,VALUE(TRIM(LEFT('Blind Scoring Sheet'!J366,FIND("|",'Blind Scoring Sheet'!J366)-1))))</f>
        <v/>
      </c>
      <c r="H366" s="80">
        <f>IF(ISNUMBER(SEARCH("|",'Blind Scoring Sheet'!K366)),TRIM(LEFT('Blind Scoring Sheet'!K366,FIND("|",'Blind Scoring Sheet'!K366)-1)),TRIM('Blind Scoring Sheet'!K366))</f>
        <v/>
      </c>
    </row>
    <row r="367" ht="15" customHeight="1" s="38">
      <c r="A367" s="80">
        <f>'Blind Scoring Sheet'!A367</f>
        <v/>
      </c>
      <c r="B367" s="80">
        <f>MID(INDEX('Anonymization Key'!$B$4:$B$1003,MATCH(A367,'Anonymization Key'!$A$4:$A$1003,0)),3,2)</f>
        <v/>
      </c>
      <c r="C367" s="81">
        <f>IF(ISNUMBER('Blind Scoring Sheet'!B367),'Blind Scoring Sheet'!B367,VALUE(TRIM(LEFT('Blind Scoring Sheet'!B367,FIND("|",'Blind Scoring Sheet'!B367)-1))))</f>
        <v/>
      </c>
      <c r="D367" s="81">
        <f>IF(ISNUMBER('Blind Scoring Sheet'!D367),'Blind Scoring Sheet'!D367,VALUE(TRIM(LEFT('Blind Scoring Sheet'!D367,FIND("|",'Blind Scoring Sheet'!D367)-1))))</f>
        <v/>
      </c>
      <c r="E367" s="81">
        <f>IF(ISNUMBER('Blind Scoring Sheet'!F367),'Blind Scoring Sheet'!F367,VALUE(TRIM(LEFT('Blind Scoring Sheet'!F367,FIND("|",'Blind Scoring Sheet'!F367)-1))))</f>
        <v/>
      </c>
      <c r="F367" s="81">
        <f>IF(ISNUMBER('Blind Scoring Sheet'!H367),'Blind Scoring Sheet'!H367,VALUE(TRIM(LEFT('Blind Scoring Sheet'!H367,FIND("|",'Blind Scoring Sheet'!H367)-1))))</f>
        <v/>
      </c>
      <c r="G367" s="81">
        <f>IF(ISNUMBER('Blind Scoring Sheet'!J367),'Blind Scoring Sheet'!J367,VALUE(TRIM(LEFT('Blind Scoring Sheet'!J367,FIND("|",'Blind Scoring Sheet'!J367)-1))))</f>
        <v/>
      </c>
      <c r="H367" s="80">
        <f>IF(ISNUMBER(SEARCH("|",'Blind Scoring Sheet'!K367)),TRIM(LEFT('Blind Scoring Sheet'!K367,FIND("|",'Blind Scoring Sheet'!K367)-1)),TRIM('Blind Scoring Sheet'!K367))</f>
        <v/>
      </c>
    </row>
    <row r="368" ht="15" customHeight="1" s="38">
      <c r="A368" s="80">
        <f>'Blind Scoring Sheet'!A368</f>
        <v/>
      </c>
      <c r="B368" s="80">
        <f>MID(INDEX('Anonymization Key'!$B$4:$B$1003,MATCH(A368,'Anonymization Key'!$A$4:$A$1003,0)),3,2)</f>
        <v/>
      </c>
      <c r="C368" s="81">
        <f>IF(ISNUMBER('Blind Scoring Sheet'!B368),'Blind Scoring Sheet'!B368,VALUE(TRIM(LEFT('Blind Scoring Sheet'!B368,FIND("|",'Blind Scoring Sheet'!B368)-1))))</f>
        <v/>
      </c>
      <c r="D368" s="81">
        <f>IF(ISNUMBER('Blind Scoring Sheet'!D368),'Blind Scoring Sheet'!D368,VALUE(TRIM(LEFT('Blind Scoring Sheet'!D368,FIND("|",'Blind Scoring Sheet'!D368)-1))))</f>
        <v/>
      </c>
      <c r="E368" s="81">
        <f>IF(ISNUMBER('Blind Scoring Sheet'!F368),'Blind Scoring Sheet'!F368,VALUE(TRIM(LEFT('Blind Scoring Sheet'!F368,FIND("|",'Blind Scoring Sheet'!F368)-1))))</f>
        <v/>
      </c>
      <c r="F368" s="81">
        <f>IF(ISNUMBER('Blind Scoring Sheet'!H368),'Blind Scoring Sheet'!H368,VALUE(TRIM(LEFT('Blind Scoring Sheet'!H368,FIND("|",'Blind Scoring Sheet'!H368)-1))))</f>
        <v/>
      </c>
      <c r="G368" s="81">
        <f>IF(ISNUMBER('Blind Scoring Sheet'!J368),'Blind Scoring Sheet'!J368,VALUE(TRIM(LEFT('Blind Scoring Sheet'!J368,FIND("|",'Blind Scoring Sheet'!J368)-1))))</f>
        <v/>
      </c>
      <c r="H368" s="80">
        <f>IF(ISNUMBER(SEARCH("|",'Blind Scoring Sheet'!K368)),TRIM(LEFT('Blind Scoring Sheet'!K368,FIND("|",'Blind Scoring Sheet'!K368)-1)),TRIM('Blind Scoring Sheet'!K368))</f>
        <v/>
      </c>
    </row>
    <row r="369" ht="15" customHeight="1" s="38">
      <c r="A369" s="80">
        <f>'Blind Scoring Sheet'!A369</f>
        <v/>
      </c>
      <c r="B369" s="80">
        <f>MID(INDEX('Anonymization Key'!$B$4:$B$1003,MATCH(A369,'Anonymization Key'!$A$4:$A$1003,0)),3,2)</f>
        <v/>
      </c>
      <c r="C369" s="81">
        <f>IF(ISNUMBER('Blind Scoring Sheet'!B369),'Blind Scoring Sheet'!B369,VALUE(TRIM(LEFT('Blind Scoring Sheet'!B369,FIND("|",'Blind Scoring Sheet'!B369)-1))))</f>
        <v/>
      </c>
      <c r="D369" s="81">
        <f>IF(ISNUMBER('Blind Scoring Sheet'!D369),'Blind Scoring Sheet'!D369,VALUE(TRIM(LEFT('Blind Scoring Sheet'!D369,FIND("|",'Blind Scoring Sheet'!D369)-1))))</f>
        <v/>
      </c>
      <c r="E369" s="81">
        <f>IF(ISNUMBER('Blind Scoring Sheet'!F369),'Blind Scoring Sheet'!F369,VALUE(TRIM(LEFT('Blind Scoring Sheet'!F369,FIND("|",'Blind Scoring Sheet'!F369)-1))))</f>
        <v/>
      </c>
      <c r="F369" s="81">
        <f>IF(ISNUMBER('Blind Scoring Sheet'!H369),'Blind Scoring Sheet'!H369,VALUE(TRIM(LEFT('Blind Scoring Sheet'!H369,FIND("|",'Blind Scoring Sheet'!H369)-1))))</f>
        <v/>
      </c>
      <c r="G369" s="81">
        <f>IF(ISNUMBER('Blind Scoring Sheet'!J369),'Blind Scoring Sheet'!J369,VALUE(TRIM(LEFT('Blind Scoring Sheet'!J369,FIND("|",'Blind Scoring Sheet'!J369)-1))))</f>
        <v/>
      </c>
      <c r="H369" s="80">
        <f>IF(ISNUMBER(SEARCH("|",'Blind Scoring Sheet'!K369)),TRIM(LEFT('Blind Scoring Sheet'!K369,FIND("|",'Blind Scoring Sheet'!K369)-1)),TRIM('Blind Scoring Sheet'!K369))</f>
        <v/>
      </c>
    </row>
    <row r="370" ht="15" customHeight="1" s="38">
      <c r="A370" s="80">
        <f>'Blind Scoring Sheet'!A370</f>
        <v/>
      </c>
      <c r="B370" s="80">
        <f>MID(INDEX('Anonymization Key'!$B$4:$B$1003,MATCH(A370,'Anonymization Key'!$A$4:$A$1003,0)),3,2)</f>
        <v/>
      </c>
      <c r="C370" s="81">
        <f>IF(ISNUMBER('Blind Scoring Sheet'!B370),'Blind Scoring Sheet'!B370,VALUE(TRIM(LEFT('Blind Scoring Sheet'!B370,FIND("|",'Blind Scoring Sheet'!B370)-1))))</f>
        <v/>
      </c>
      <c r="D370" s="81">
        <f>IF(ISNUMBER('Blind Scoring Sheet'!D370),'Blind Scoring Sheet'!D370,VALUE(TRIM(LEFT('Blind Scoring Sheet'!D370,FIND("|",'Blind Scoring Sheet'!D370)-1))))</f>
        <v/>
      </c>
      <c r="E370" s="81">
        <f>IF(ISNUMBER('Blind Scoring Sheet'!F370),'Blind Scoring Sheet'!F370,VALUE(TRIM(LEFT('Blind Scoring Sheet'!F370,FIND("|",'Blind Scoring Sheet'!F370)-1))))</f>
        <v/>
      </c>
      <c r="F370" s="81">
        <f>IF(ISNUMBER('Blind Scoring Sheet'!H370),'Blind Scoring Sheet'!H370,VALUE(TRIM(LEFT('Blind Scoring Sheet'!H370,FIND("|",'Blind Scoring Sheet'!H370)-1))))</f>
        <v/>
      </c>
      <c r="G370" s="81">
        <f>IF(ISNUMBER('Blind Scoring Sheet'!J370),'Blind Scoring Sheet'!J370,VALUE(TRIM(LEFT('Blind Scoring Sheet'!J370,FIND("|",'Blind Scoring Sheet'!J370)-1))))</f>
        <v/>
      </c>
      <c r="H370" s="80">
        <f>IF(ISNUMBER(SEARCH("|",'Blind Scoring Sheet'!K370)),TRIM(LEFT('Blind Scoring Sheet'!K370,FIND("|",'Blind Scoring Sheet'!K370)-1)),TRIM('Blind Scoring Sheet'!K370))</f>
        <v/>
      </c>
    </row>
    <row r="371" ht="15" customHeight="1" s="38">
      <c r="A371" s="80">
        <f>'Blind Scoring Sheet'!A371</f>
        <v/>
      </c>
      <c r="B371" s="80">
        <f>MID(INDEX('Anonymization Key'!$B$4:$B$1003,MATCH(A371,'Anonymization Key'!$A$4:$A$1003,0)),3,2)</f>
        <v/>
      </c>
      <c r="C371" s="81">
        <f>IF(ISNUMBER('Blind Scoring Sheet'!B371),'Blind Scoring Sheet'!B371,VALUE(TRIM(LEFT('Blind Scoring Sheet'!B371,FIND("|",'Blind Scoring Sheet'!B371)-1))))</f>
        <v/>
      </c>
      <c r="D371" s="81">
        <f>IF(ISNUMBER('Blind Scoring Sheet'!D371),'Blind Scoring Sheet'!D371,VALUE(TRIM(LEFT('Blind Scoring Sheet'!D371,FIND("|",'Blind Scoring Sheet'!D371)-1))))</f>
        <v/>
      </c>
      <c r="E371" s="81">
        <f>IF(ISNUMBER('Blind Scoring Sheet'!F371),'Blind Scoring Sheet'!F371,VALUE(TRIM(LEFT('Blind Scoring Sheet'!F371,FIND("|",'Blind Scoring Sheet'!F371)-1))))</f>
        <v/>
      </c>
      <c r="F371" s="81">
        <f>IF(ISNUMBER('Blind Scoring Sheet'!H371),'Blind Scoring Sheet'!H371,VALUE(TRIM(LEFT('Blind Scoring Sheet'!H371,FIND("|",'Blind Scoring Sheet'!H371)-1))))</f>
        <v/>
      </c>
      <c r="G371" s="81">
        <f>IF(ISNUMBER('Blind Scoring Sheet'!J371),'Blind Scoring Sheet'!J371,VALUE(TRIM(LEFT('Blind Scoring Sheet'!J371,FIND("|",'Blind Scoring Sheet'!J371)-1))))</f>
        <v/>
      </c>
      <c r="H371" s="80">
        <f>IF(ISNUMBER(SEARCH("|",'Blind Scoring Sheet'!K371)),TRIM(LEFT('Blind Scoring Sheet'!K371,FIND("|",'Blind Scoring Sheet'!K371)-1)),TRIM('Blind Scoring Sheet'!K371))</f>
        <v/>
      </c>
    </row>
    <row r="372" ht="15" customHeight="1" s="38">
      <c r="A372" s="80">
        <f>'Blind Scoring Sheet'!A372</f>
        <v/>
      </c>
      <c r="B372" s="80">
        <f>MID(INDEX('Anonymization Key'!$B$4:$B$1003,MATCH(A372,'Anonymization Key'!$A$4:$A$1003,0)),3,2)</f>
        <v/>
      </c>
      <c r="C372" s="81">
        <f>IF(ISNUMBER('Blind Scoring Sheet'!B372),'Blind Scoring Sheet'!B372,VALUE(TRIM(LEFT('Blind Scoring Sheet'!B372,FIND("|",'Blind Scoring Sheet'!B372)-1))))</f>
        <v/>
      </c>
      <c r="D372" s="81">
        <f>IF(ISNUMBER('Blind Scoring Sheet'!D372),'Blind Scoring Sheet'!D372,VALUE(TRIM(LEFT('Blind Scoring Sheet'!D372,FIND("|",'Blind Scoring Sheet'!D372)-1))))</f>
        <v/>
      </c>
      <c r="E372" s="81">
        <f>IF(ISNUMBER('Blind Scoring Sheet'!F372),'Blind Scoring Sheet'!F372,VALUE(TRIM(LEFT('Blind Scoring Sheet'!F372,FIND("|",'Blind Scoring Sheet'!F372)-1))))</f>
        <v/>
      </c>
      <c r="F372" s="81">
        <f>IF(ISNUMBER('Blind Scoring Sheet'!H372),'Blind Scoring Sheet'!H372,VALUE(TRIM(LEFT('Blind Scoring Sheet'!H372,FIND("|",'Blind Scoring Sheet'!H372)-1))))</f>
        <v/>
      </c>
      <c r="G372" s="81">
        <f>IF(ISNUMBER('Blind Scoring Sheet'!J372),'Blind Scoring Sheet'!J372,VALUE(TRIM(LEFT('Blind Scoring Sheet'!J372,FIND("|",'Blind Scoring Sheet'!J372)-1))))</f>
        <v/>
      </c>
      <c r="H372" s="80">
        <f>IF(ISNUMBER(SEARCH("|",'Blind Scoring Sheet'!K372)),TRIM(LEFT('Blind Scoring Sheet'!K372,FIND("|",'Blind Scoring Sheet'!K372)-1)),TRIM('Blind Scoring Sheet'!K372))</f>
        <v/>
      </c>
    </row>
    <row r="373" ht="15" customHeight="1" s="38">
      <c r="A373" s="80">
        <f>'Blind Scoring Sheet'!A373</f>
        <v/>
      </c>
      <c r="B373" s="80">
        <f>MID(INDEX('Anonymization Key'!$B$4:$B$1003,MATCH(A373,'Anonymization Key'!$A$4:$A$1003,0)),3,2)</f>
        <v/>
      </c>
      <c r="C373" s="81">
        <f>IF(ISNUMBER('Blind Scoring Sheet'!B373),'Blind Scoring Sheet'!B373,VALUE(TRIM(LEFT('Blind Scoring Sheet'!B373,FIND("|",'Blind Scoring Sheet'!B373)-1))))</f>
        <v/>
      </c>
      <c r="D373" s="81">
        <f>IF(ISNUMBER('Blind Scoring Sheet'!D373),'Blind Scoring Sheet'!D373,VALUE(TRIM(LEFT('Blind Scoring Sheet'!D373,FIND("|",'Blind Scoring Sheet'!D373)-1))))</f>
        <v/>
      </c>
      <c r="E373" s="81">
        <f>IF(ISNUMBER('Blind Scoring Sheet'!F373),'Blind Scoring Sheet'!F373,VALUE(TRIM(LEFT('Blind Scoring Sheet'!F373,FIND("|",'Blind Scoring Sheet'!F373)-1))))</f>
        <v/>
      </c>
      <c r="F373" s="81">
        <f>IF(ISNUMBER('Blind Scoring Sheet'!H373),'Blind Scoring Sheet'!H373,VALUE(TRIM(LEFT('Blind Scoring Sheet'!H373,FIND("|",'Blind Scoring Sheet'!H373)-1))))</f>
        <v/>
      </c>
      <c r="G373" s="81">
        <f>IF(ISNUMBER('Blind Scoring Sheet'!J373),'Blind Scoring Sheet'!J373,VALUE(TRIM(LEFT('Blind Scoring Sheet'!J373,FIND("|",'Blind Scoring Sheet'!J373)-1))))</f>
        <v/>
      </c>
      <c r="H373" s="80">
        <f>IF(ISNUMBER(SEARCH("|",'Blind Scoring Sheet'!K373)),TRIM(LEFT('Blind Scoring Sheet'!K373,FIND("|",'Blind Scoring Sheet'!K373)-1)),TRIM('Blind Scoring Sheet'!K373))</f>
        <v/>
      </c>
    </row>
    <row r="374" ht="15" customHeight="1" s="38">
      <c r="A374" s="80">
        <f>'Blind Scoring Sheet'!A374</f>
        <v/>
      </c>
      <c r="B374" s="80">
        <f>MID(INDEX('Anonymization Key'!$B$4:$B$1003,MATCH(A374,'Anonymization Key'!$A$4:$A$1003,0)),3,2)</f>
        <v/>
      </c>
      <c r="C374" s="81">
        <f>IF(ISNUMBER('Blind Scoring Sheet'!B374),'Blind Scoring Sheet'!B374,VALUE(TRIM(LEFT('Blind Scoring Sheet'!B374,FIND("|",'Blind Scoring Sheet'!B374)-1))))</f>
        <v/>
      </c>
      <c r="D374" s="81">
        <f>IF(ISNUMBER('Blind Scoring Sheet'!D374),'Blind Scoring Sheet'!D374,VALUE(TRIM(LEFT('Blind Scoring Sheet'!D374,FIND("|",'Blind Scoring Sheet'!D374)-1))))</f>
        <v/>
      </c>
      <c r="E374" s="81">
        <f>IF(ISNUMBER('Blind Scoring Sheet'!F374),'Blind Scoring Sheet'!F374,VALUE(TRIM(LEFT('Blind Scoring Sheet'!F374,FIND("|",'Blind Scoring Sheet'!F374)-1))))</f>
        <v/>
      </c>
      <c r="F374" s="81">
        <f>IF(ISNUMBER('Blind Scoring Sheet'!H374),'Blind Scoring Sheet'!H374,VALUE(TRIM(LEFT('Blind Scoring Sheet'!H374,FIND("|",'Blind Scoring Sheet'!H374)-1))))</f>
        <v/>
      </c>
      <c r="G374" s="81">
        <f>IF(ISNUMBER('Blind Scoring Sheet'!J374),'Blind Scoring Sheet'!J374,VALUE(TRIM(LEFT('Blind Scoring Sheet'!J374,FIND("|",'Blind Scoring Sheet'!J374)-1))))</f>
        <v/>
      </c>
      <c r="H374" s="80">
        <f>IF(ISNUMBER(SEARCH("|",'Blind Scoring Sheet'!K374)),TRIM(LEFT('Blind Scoring Sheet'!K374,FIND("|",'Blind Scoring Sheet'!K374)-1)),TRIM('Blind Scoring Sheet'!K374))</f>
        <v/>
      </c>
    </row>
    <row r="375" ht="15" customHeight="1" s="38">
      <c r="A375" s="80">
        <f>'Blind Scoring Sheet'!A375</f>
        <v/>
      </c>
      <c r="B375" s="80">
        <f>MID(INDEX('Anonymization Key'!$B$4:$B$1003,MATCH(A375,'Anonymization Key'!$A$4:$A$1003,0)),3,2)</f>
        <v/>
      </c>
      <c r="C375" s="81">
        <f>IF(ISNUMBER('Blind Scoring Sheet'!B375),'Blind Scoring Sheet'!B375,VALUE(TRIM(LEFT('Blind Scoring Sheet'!B375,FIND("|",'Blind Scoring Sheet'!B375)-1))))</f>
        <v/>
      </c>
      <c r="D375" s="81">
        <f>IF(ISNUMBER('Blind Scoring Sheet'!D375),'Blind Scoring Sheet'!D375,VALUE(TRIM(LEFT('Blind Scoring Sheet'!D375,FIND("|",'Blind Scoring Sheet'!D375)-1))))</f>
        <v/>
      </c>
      <c r="E375" s="81">
        <f>IF(ISNUMBER('Blind Scoring Sheet'!F375),'Blind Scoring Sheet'!F375,VALUE(TRIM(LEFT('Blind Scoring Sheet'!F375,FIND("|",'Blind Scoring Sheet'!F375)-1))))</f>
        <v/>
      </c>
      <c r="F375" s="81">
        <f>IF(ISNUMBER('Blind Scoring Sheet'!H375),'Blind Scoring Sheet'!H375,VALUE(TRIM(LEFT('Blind Scoring Sheet'!H375,FIND("|",'Blind Scoring Sheet'!H375)-1))))</f>
        <v/>
      </c>
      <c r="G375" s="81">
        <f>IF(ISNUMBER('Blind Scoring Sheet'!J375),'Blind Scoring Sheet'!J375,VALUE(TRIM(LEFT('Blind Scoring Sheet'!J375,FIND("|",'Blind Scoring Sheet'!J375)-1))))</f>
        <v/>
      </c>
      <c r="H375" s="80">
        <f>IF(ISNUMBER(SEARCH("|",'Blind Scoring Sheet'!K375)),TRIM(LEFT('Blind Scoring Sheet'!K375,FIND("|",'Blind Scoring Sheet'!K375)-1)),TRIM('Blind Scoring Sheet'!K375))</f>
        <v/>
      </c>
    </row>
    <row r="376" ht="15" customHeight="1" s="38">
      <c r="A376" s="80">
        <f>'Blind Scoring Sheet'!A376</f>
        <v/>
      </c>
      <c r="B376" s="80">
        <f>MID(INDEX('Anonymization Key'!$B$4:$B$1003,MATCH(A376,'Anonymization Key'!$A$4:$A$1003,0)),3,2)</f>
        <v/>
      </c>
      <c r="C376" s="81">
        <f>IF(ISNUMBER('Blind Scoring Sheet'!B376),'Blind Scoring Sheet'!B376,VALUE(TRIM(LEFT('Blind Scoring Sheet'!B376,FIND("|",'Blind Scoring Sheet'!B376)-1))))</f>
        <v/>
      </c>
      <c r="D376" s="81">
        <f>IF(ISNUMBER('Blind Scoring Sheet'!D376),'Blind Scoring Sheet'!D376,VALUE(TRIM(LEFT('Blind Scoring Sheet'!D376,FIND("|",'Blind Scoring Sheet'!D376)-1))))</f>
        <v/>
      </c>
      <c r="E376" s="81">
        <f>IF(ISNUMBER('Blind Scoring Sheet'!F376),'Blind Scoring Sheet'!F376,VALUE(TRIM(LEFT('Blind Scoring Sheet'!F376,FIND("|",'Blind Scoring Sheet'!F376)-1))))</f>
        <v/>
      </c>
      <c r="F376" s="81">
        <f>IF(ISNUMBER('Blind Scoring Sheet'!H376),'Blind Scoring Sheet'!H376,VALUE(TRIM(LEFT('Blind Scoring Sheet'!H376,FIND("|",'Blind Scoring Sheet'!H376)-1))))</f>
        <v/>
      </c>
      <c r="G376" s="81">
        <f>IF(ISNUMBER('Blind Scoring Sheet'!J376),'Blind Scoring Sheet'!J376,VALUE(TRIM(LEFT('Blind Scoring Sheet'!J376,FIND("|",'Blind Scoring Sheet'!J376)-1))))</f>
        <v/>
      </c>
      <c r="H376" s="80">
        <f>IF(ISNUMBER(SEARCH("|",'Blind Scoring Sheet'!K376)),TRIM(LEFT('Blind Scoring Sheet'!K376,FIND("|",'Blind Scoring Sheet'!K376)-1)),TRIM('Blind Scoring Sheet'!K376))</f>
        <v/>
      </c>
    </row>
    <row r="377" ht="15" customHeight="1" s="38">
      <c r="A377" s="80">
        <f>'Blind Scoring Sheet'!A377</f>
        <v/>
      </c>
      <c r="B377" s="80">
        <f>MID(INDEX('Anonymization Key'!$B$4:$B$1003,MATCH(A377,'Anonymization Key'!$A$4:$A$1003,0)),3,2)</f>
        <v/>
      </c>
      <c r="C377" s="81">
        <f>IF(ISNUMBER('Blind Scoring Sheet'!B377),'Blind Scoring Sheet'!B377,VALUE(TRIM(LEFT('Blind Scoring Sheet'!B377,FIND("|",'Blind Scoring Sheet'!B377)-1))))</f>
        <v/>
      </c>
      <c r="D377" s="81">
        <f>IF(ISNUMBER('Blind Scoring Sheet'!D377),'Blind Scoring Sheet'!D377,VALUE(TRIM(LEFT('Blind Scoring Sheet'!D377,FIND("|",'Blind Scoring Sheet'!D377)-1))))</f>
        <v/>
      </c>
      <c r="E377" s="81">
        <f>IF(ISNUMBER('Blind Scoring Sheet'!F377),'Blind Scoring Sheet'!F377,VALUE(TRIM(LEFT('Blind Scoring Sheet'!F377,FIND("|",'Blind Scoring Sheet'!F377)-1))))</f>
        <v/>
      </c>
      <c r="F377" s="81">
        <f>IF(ISNUMBER('Blind Scoring Sheet'!H377),'Blind Scoring Sheet'!H377,VALUE(TRIM(LEFT('Blind Scoring Sheet'!H377,FIND("|",'Blind Scoring Sheet'!H377)-1))))</f>
        <v/>
      </c>
      <c r="G377" s="81">
        <f>IF(ISNUMBER('Blind Scoring Sheet'!J377),'Blind Scoring Sheet'!J377,VALUE(TRIM(LEFT('Blind Scoring Sheet'!J377,FIND("|",'Blind Scoring Sheet'!J377)-1))))</f>
        <v/>
      </c>
      <c r="H377" s="80">
        <f>IF(ISNUMBER(SEARCH("|",'Blind Scoring Sheet'!K377)),TRIM(LEFT('Blind Scoring Sheet'!K377,FIND("|",'Blind Scoring Sheet'!K377)-1)),TRIM('Blind Scoring Sheet'!K377))</f>
        <v/>
      </c>
    </row>
    <row r="378" ht="15" customHeight="1" s="38">
      <c r="A378" s="80">
        <f>'Blind Scoring Sheet'!A378</f>
        <v/>
      </c>
      <c r="B378" s="80">
        <f>MID(INDEX('Anonymization Key'!$B$4:$B$1003,MATCH(A378,'Anonymization Key'!$A$4:$A$1003,0)),3,2)</f>
        <v/>
      </c>
      <c r="C378" s="81">
        <f>IF(ISNUMBER('Blind Scoring Sheet'!B378),'Blind Scoring Sheet'!B378,VALUE(TRIM(LEFT('Blind Scoring Sheet'!B378,FIND("|",'Blind Scoring Sheet'!B378)-1))))</f>
        <v/>
      </c>
      <c r="D378" s="81">
        <f>IF(ISNUMBER('Blind Scoring Sheet'!D378),'Blind Scoring Sheet'!D378,VALUE(TRIM(LEFT('Blind Scoring Sheet'!D378,FIND("|",'Blind Scoring Sheet'!D378)-1))))</f>
        <v/>
      </c>
      <c r="E378" s="81">
        <f>IF(ISNUMBER('Blind Scoring Sheet'!F378),'Blind Scoring Sheet'!F378,VALUE(TRIM(LEFT('Blind Scoring Sheet'!F378,FIND("|",'Blind Scoring Sheet'!F378)-1))))</f>
        <v/>
      </c>
      <c r="F378" s="81">
        <f>IF(ISNUMBER('Blind Scoring Sheet'!H378),'Blind Scoring Sheet'!H378,VALUE(TRIM(LEFT('Blind Scoring Sheet'!H378,FIND("|",'Blind Scoring Sheet'!H378)-1))))</f>
        <v/>
      </c>
      <c r="G378" s="81">
        <f>IF(ISNUMBER('Blind Scoring Sheet'!J378),'Blind Scoring Sheet'!J378,VALUE(TRIM(LEFT('Blind Scoring Sheet'!J378,FIND("|",'Blind Scoring Sheet'!J378)-1))))</f>
        <v/>
      </c>
      <c r="H378" s="80">
        <f>IF(ISNUMBER(SEARCH("|",'Blind Scoring Sheet'!K378)),TRIM(LEFT('Blind Scoring Sheet'!K378,FIND("|",'Blind Scoring Sheet'!K378)-1)),TRIM('Blind Scoring Sheet'!K378))</f>
        <v/>
      </c>
    </row>
    <row r="379" ht="15" customHeight="1" s="38">
      <c r="A379" s="80">
        <f>'Blind Scoring Sheet'!A379</f>
        <v/>
      </c>
      <c r="B379" s="80">
        <f>MID(INDEX('Anonymization Key'!$B$4:$B$1003,MATCH(A379,'Anonymization Key'!$A$4:$A$1003,0)),3,2)</f>
        <v/>
      </c>
      <c r="C379" s="81">
        <f>IF(ISNUMBER('Blind Scoring Sheet'!B379),'Blind Scoring Sheet'!B379,VALUE(TRIM(LEFT('Blind Scoring Sheet'!B379,FIND("|",'Blind Scoring Sheet'!B379)-1))))</f>
        <v/>
      </c>
      <c r="D379" s="81">
        <f>IF(ISNUMBER('Blind Scoring Sheet'!D379),'Blind Scoring Sheet'!D379,VALUE(TRIM(LEFT('Blind Scoring Sheet'!D379,FIND("|",'Blind Scoring Sheet'!D379)-1))))</f>
        <v/>
      </c>
      <c r="E379" s="81">
        <f>IF(ISNUMBER('Blind Scoring Sheet'!F379),'Blind Scoring Sheet'!F379,VALUE(TRIM(LEFT('Blind Scoring Sheet'!F379,FIND("|",'Blind Scoring Sheet'!F379)-1))))</f>
        <v/>
      </c>
      <c r="F379" s="81">
        <f>IF(ISNUMBER('Blind Scoring Sheet'!H379),'Blind Scoring Sheet'!H379,VALUE(TRIM(LEFT('Blind Scoring Sheet'!H379,FIND("|",'Blind Scoring Sheet'!H379)-1))))</f>
        <v/>
      </c>
      <c r="G379" s="81">
        <f>IF(ISNUMBER('Blind Scoring Sheet'!J379),'Blind Scoring Sheet'!J379,VALUE(TRIM(LEFT('Blind Scoring Sheet'!J379,FIND("|",'Blind Scoring Sheet'!J379)-1))))</f>
        <v/>
      </c>
      <c r="H379" s="80">
        <f>IF(ISNUMBER(SEARCH("|",'Blind Scoring Sheet'!K379)),TRIM(LEFT('Blind Scoring Sheet'!K379,FIND("|",'Blind Scoring Sheet'!K379)-1)),TRIM('Blind Scoring Sheet'!K379))</f>
        <v/>
      </c>
    </row>
    <row r="380" ht="15" customHeight="1" s="38">
      <c r="A380" s="80">
        <f>'Blind Scoring Sheet'!A380</f>
        <v/>
      </c>
      <c r="B380" s="80">
        <f>MID(INDEX('Anonymization Key'!$B$4:$B$1003,MATCH(A380,'Anonymization Key'!$A$4:$A$1003,0)),3,2)</f>
        <v/>
      </c>
      <c r="C380" s="81">
        <f>IF(ISNUMBER('Blind Scoring Sheet'!B380),'Blind Scoring Sheet'!B380,VALUE(TRIM(LEFT('Blind Scoring Sheet'!B380,FIND("|",'Blind Scoring Sheet'!B380)-1))))</f>
        <v/>
      </c>
      <c r="D380" s="81">
        <f>IF(ISNUMBER('Blind Scoring Sheet'!D380),'Blind Scoring Sheet'!D380,VALUE(TRIM(LEFT('Blind Scoring Sheet'!D380,FIND("|",'Blind Scoring Sheet'!D380)-1))))</f>
        <v/>
      </c>
      <c r="E380" s="81">
        <f>IF(ISNUMBER('Blind Scoring Sheet'!F380),'Blind Scoring Sheet'!F380,VALUE(TRIM(LEFT('Blind Scoring Sheet'!F380,FIND("|",'Blind Scoring Sheet'!F380)-1))))</f>
        <v/>
      </c>
      <c r="F380" s="81">
        <f>IF(ISNUMBER('Blind Scoring Sheet'!H380),'Blind Scoring Sheet'!H380,VALUE(TRIM(LEFT('Blind Scoring Sheet'!H380,FIND("|",'Blind Scoring Sheet'!H380)-1))))</f>
        <v/>
      </c>
      <c r="G380" s="81">
        <f>IF(ISNUMBER('Blind Scoring Sheet'!J380),'Blind Scoring Sheet'!J380,VALUE(TRIM(LEFT('Blind Scoring Sheet'!J380,FIND("|",'Blind Scoring Sheet'!J380)-1))))</f>
        <v/>
      </c>
      <c r="H380" s="80">
        <f>IF(ISNUMBER(SEARCH("|",'Blind Scoring Sheet'!K380)),TRIM(LEFT('Blind Scoring Sheet'!K380,FIND("|",'Blind Scoring Sheet'!K380)-1)),TRIM('Blind Scoring Sheet'!K380))</f>
        <v/>
      </c>
    </row>
    <row r="381" ht="15" customHeight="1" s="38">
      <c r="A381" s="80">
        <f>'Blind Scoring Sheet'!A381</f>
        <v/>
      </c>
      <c r="B381" s="80">
        <f>MID(INDEX('Anonymization Key'!$B$4:$B$1003,MATCH(A381,'Anonymization Key'!$A$4:$A$1003,0)),3,2)</f>
        <v/>
      </c>
      <c r="C381" s="81">
        <f>IF(ISNUMBER('Blind Scoring Sheet'!B381),'Blind Scoring Sheet'!B381,VALUE(TRIM(LEFT('Blind Scoring Sheet'!B381,FIND("|",'Blind Scoring Sheet'!B381)-1))))</f>
        <v/>
      </c>
      <c r="D381" s="81">
        <f>IF(ISNUMBER('Blind Scoring Sheet'!D381),'Blind Scoring Sheet'!D381,VALUE(TRIM(LEFT('Blind Scoring Sheet'!D381,FIND("|",'Blind Scoring Sheet'!D381)-1))))</f>
        <v/>
      </c>
      <c r="E381" s="81">
        <f>IF(ISNUMBER('Blind Scoring Sheet'!F381),'Blind Scoring Sheet'!F381,VALUE(TRIM(LEFT('Blind Scoring Sheet'!F381,FIND("|",'Blind Scoring Sheet'!F381)-1))))</f>
        <v/>
      </c>
      <c r="F381" s="81">
        <f>IF(ISNUMBER('Blind Scoring Sheet'!H381),'Blind Scoring Sheet'!H381,VALUE(TRIM(LEFT('Blind Scoring Sheet'!H381,FIND("|",'Blind Scoring Sheet'!H381)-1))))</f>
        <v/>
      </c>
      <c r="G381" s="81">
        <f>IF(ISNUMBER('Blind Scoring Sheet'!J381),'Blind Scoring Sheet'!J381,VALUE(TRIM(LEFT('Blind Scoring Sheet'!J381,FIND("|",'Blind Scoring Sheet'!J381)-1))))</f>
        <v/>
      </c>
      <c r="H381" s="80">
        <f>IF(ISNUMBER(SEARCH("|",'Blind Scoring Sheet'!K381)),TRIM(LEFT('Blind Scoring Sheet'!K381,FIND("|",'Blind Scoring Sheet'!K381)-1)),TRIM('Blind Scoring Sheet'!K381))</f>
        <v/>
      </c>
    </row>
    <row r="382" ht="15" customHeight="1" s="38">
      <c r="A382" s="80">
        <f>'Blind Scoring Sheet'!A382</f>
        <v/>
      </c>
      <c r="B382" s="80">
        <f>MID(INDEX('Anonymization Key'!$B$4:$B$1003,MATCH(A382,'Anonymization Key'!$A$4:$A$1003,0)),3,2)</f>
        <v/>
      </c>
      <c r="C382" s="81">
        <f>IF(ISNUMBER('Blind Scoring Sheet'!B382),'Blind Scoring Sheet'!B382,VALUE(TRIM(LEFT('Blind Scoring Sheet'!B382,FIND("|",'Blind Scoring Sheet'!B382)-1))))</f>
        <v/>
      </c>
      <c r="D382" s="81">
        <f>IF(ISNUMBER('Blind Scoring Sheet'!D382),'Blind Scoring Sheet'!D382,VALUE(TRIM(LEFT('Blind Scoring Sheet'!D382,FIND("|",'Blind Scoring Sheet'!D382)-1))))</f>
        <v/>
      </c>
      <c r="E382" s="81">
        <f>IF(ISNUMBER('Blind Scoring Sheet'!F382),'Blind Scoring Sheet'!F382,VALUE(TRIM(LEFT('Blind Scoring Sheet'!F382,FIND("|",'Blind Scoring Sheet'!F382)-1))))</f>
        <v/>
      </c>
      <c r="F382" s="81">
        <f>IF(ISNUMBER('Blind Scoring Sheet'!H382),'Blind Scoring Sheet'!H382,VALUE(TRIM(LEFT('Blind Scoring Sheet'!H382,FIND("|",'Blind Scoring Sheet'!H382)-1))))</f>
        <v/>
      </c>
      <c r="G382" s="81">
        <f>IF(ISNUMBER('Blind Scoring Sheet'!J382),'Blind Scoring Sheet'!J382,VALUE(TRIM(LEFT('Blind Scoring Sheet'!J382,FIND("|",'Blind Scoring Sheet'!J382)-1))))</f>
        <v/>
      </c>
      <c r="H382" s="80">
        <f>IF(ISNUMBER(SEARCH("|",'Blind Scoring Sheet'!K382)),TRIM(LEFT('Blind Scoring Sheet'!K382,FIND("|",'Blind Scoring Sheet'!K382)-1)),TRIM('Blind Scoring Sheet'!K382))</f>
        <v/>
      </c>
    </row>
    <row r="383" ht="15" customHeight="1" s="38">
      <c r="A383" s="80">
        <f>'Blind Scoring Sheet'!A383</f>
        <v/>
      </c>
      <c r="B383" s="80">
        <f>MID(INDEX('Anonymization Key'!$B$4:$B$1003,MATCH(A383,'Anonymization Key'!$A$4:$A$1003,0)),3,2)</f>
        <v/>
      </c>
      <c r="C383" s="81">
        <f>IF(ISNUMBER('Blind Scoring Sheet'!B383),'Blind Scoring Sheet'!B383,VALUE(TRIM(LEFT('Blind Scoring Sheet'!B383,FIND("|",'Blind Scoring Sheet'!B383)-1))))</f>
        <v/>
      </c>
      <c r="D383" s="81">
        <f>IF(ISNUMBER('Blind Scoring Sheet'!D383),'Blind Scoring Sheet'!D383,VALUE(TRIM(LEFT('Blind Scoring Sheet'!D383,FIND("|",'Blind Scoring Sheet'!D383)-1))))</f>
        <v/>
      </c>
      <c r="E383" s="81">
        <f>IF(ISNUMBER('Blind Scoring Sheet'!F383),'Blind Scoring Sheet'!F383,VALUE(TRIM(LEFT('Blind Scoring Sheet'!F383,FIND("|",'Blind Scoring Sheet'!F383)-1))))</f>
        <v/>
      </c>
      <c r="F383" s="81">
        <f>IF(ISNUMBER('Blind Scoring Sheet'!H383),'Blind Scoring Sheet'!H383,VALUE(TRIM(LEFT('Blind Scoring Sheet'!H383,FIND("|",'Blind Scoring Sheet'!H383)-1))))</f>
        <v/>
      </c>
      <c r="G383" s="81">
        <f>IF(ISNUMBER('Blind Scoring Sheet'!J383),'Blind Scoring Sheet'!J383,VALUE(TRIM(LEFT('Blind Scoring Sheet'!J383,FIND("|",'Blind Scoring Sheet'!J383)-1))))</f>
        <v/>
      </c>
      <c r="H383" s="80">
        <f>IF(ISNUMBER(SEARCH("|",'Blind Scoring Sheet'!K383)),TRIM(LEFT('Blind Scoring Sheet'!K383,FIND("|",'Blind Scoring Sheet'!K383)-1)),TRIM('Blind Scoring Sheet'!K383))</f>
        <v/>
      </c>
    </row>
    <row r="384" ht="15" customHeight="1" s="38">
      <c r="A384" s="80">
        <f>'Blind Scoring Sheet'!A384</f>
        <v/>
      </c>
      <c r="B384" s="80">
        <f>MID(INDEX('Anonymization Key'!$B$4:$B$1003,MATCH(A384,'Anonymization Key'!$A$4:$A$1003,0)),3,2)</f>
        <v/>
      </c>
      <c r="C384" s="81">
        <f>IF(ISNUMBER('Blind Scoring Sheet'!B384),'Blind Scoring Sheet'!B384,VALUE(TRIM(LEFT('Blind Scoring Sheet'!B384,FIND("|",'Blind Scoring Sheet'!B384)-1))))</f>
        <v/>
      </c>
      <c r="D384" s="81">
        <f>IF(ISNUMBER('Blind Scoring Sheet'!D384),'Blind Scoring Sheet'!D384,VALUE(TRIM(LEFT('Blind Scoring Sheet'!D384,FIND("|",'Blind Scoring Sheet'!D384)-1))))</f>
        <v/>
      </c>
      <c r="E384" s="81">
        <f>IF(ISNUMBER('Blind Scoring Sheet'!F384),'Blind Scoring Sheet'!F384,VALUE(TRIM(LEFT('Blind Scoring Sheet'!F384,FIND("|",'Blind Scoring Sheet'!F384)-1))))</f>
        <v/>
      </c>
      <c r="F384" s="81">
        <f>IF(ISNUMBER('Blind Scoring Sheet'!H384),'Blind Scoring Sheet'!H384,VALUE(TRIM(LEFT('Blind Scoring Sheet'!H384,FIND("|",'Blind Scoring Sheet'!H384)-1))))</f>
        <v/>
      </c>
      <c r="G384" s="81">
        <f>IF(ISNUMBER('Blind Scoring Sheet'!J384),'Blind Scoring Sheet'!J384,VALUE(TRIM(LEFT('Blind Scoring Sheet'!J384,FIND("|",'Blind Scoring Sheet'!J384)-1))))</f>
        <v/>
      </c>
      <c r="H384" s="80">
        <f>IF(ISNUMBER(SEARCH("|",'Blind Scoring Sheet'!K384)),TRIM(LEFT('Blind Scoring Sheet'!K384,FIND("|",'Blind Scoring Sheet'!K384)-1)),TRIM('Blind Scoring Sheet'!K384))</f>
        <v/>
      </c>
    </row>
    <row r="385" ht="15" customHeight="1" s="38">
      <c r="A385" s="80">
        <f>'Blind Scoring Sheet'!A385</f>
        <v/>
      </c>
      <c r="B385" s="80">
        <f>MID(INDEX('Anonymization Key'!$B$4:$B$1003,MATCH(A385,'Anonymization Key'!$A$4:$A$1003,0)),3,2)</f>
        <v/>
      </c>
      <c r="C385" s="81">
        <f>IF(ISNUMBER('Blind Scoring Sheet'!B385),'Blind Scoring Sheet'!B385,VALUE(TRIM(LEFT('Blind Scoring Sheet'!B385,FIND("|",'Blind Scoring Sheet'!B385)-1))))</f>
        <v/>
      </c>
      <c r="D385" s="81">
        <f>IF(ISNUMBER('Blind Scoring Sheet'!D385),'Blind Scoring Sheet'!D385,VALUE(TRIM(LEFT('Blind Scoring Sheet'!D385,FIND("|",'Blind Scoring Sheet'!D385)-1))))</f>
        <v/>
      </c>
      <c r="E385" s="81">
        <f>IF(ISNUMBER('Blind Scoring Sheet'!F385),'Blind Scoring Sheet'!F385,VALUE(TRIM(LEFT('Blind Scoring Sheet'!F385,FIND("|",'Blind Scoring Sheet'!F385)-1))))</f>
        <v/>
      </c>
      <c r="F385" s="81">
        <f>IF(ISNUMBER('Blind Scoring Sheet'!H385),'Blind Scoring Sheet'!H385,VALUE(TRIM(LEFT('Blind Scoring Sheet'!H385,FIND("|",'Blind Scoring Sheet'!H385)-1))))</f>
        <v/>
      </c>
      <c r="G385" s="81">
        <f>IF(ISNUMBER('Blind Scoring Sheet'!J385),'Blind Scoring Sheet'!J385,VALUE(TRIM(LEFT('Blind Scoring Sheet'!J385,FIND("|",'Blind Scoring Sheet'!J385)-1))))</f>
        <v/>
      </c>
      <c r="H385" s="80">
        <f>IF(ISNUMBER(SEARCH("|",'Blind Scoring Sheet'!K385)),TRIM(LEFT('Blind Scoring Sheet'!K385,FIND("|",'Blind Scoring Sheet'!K385)-1)),TRIM('Blind Scoring Sheet'!K385))</f>
        <v/>
      </c>
    </row>
    <row r="386" ht="15" customHeight="1" s="38">
      <c r="A386" s="80">
        <f>'Blind Scoring Sheet'!A386</f>
        <v/>
      </c>
      <c r="B386" s="80">
        <f>MID(INDEX('Anonymization Key'!$B$4:$B$1003,MATCH(A386,'Anonymization Key'!$A$4:$A$1003,0)),3,2)</f>
        <v/>
      </c>
      <c r="C386" s="81">
        <f>IF(ISNUMBER('Blind Scoring Sheet'!B386),'Blind Scoring Sheet'!B386,VALUE(TRIM(LEFT('Blind Scoring Sheet'!B386,FIND("|",'Blind Scoring Sheet'!B386)-1))))</f>
        <v/>
      </c>
      <c r="D386" s="81">
        <f>IF(ISNUMBER('Blind Scoring Sheet'!D386),'Blind Scoring Sheet'!D386,VALUE(TRIM(LEFT('Blind Scoring Sheet'!D386,FIND("|",'Blind Scoring Sheet'!D386)-1))))</f>
        <v/>
      </c>
      <c r="E386" s="81">
        <f>IF(ISNUMBER('Blind Scoring Sheet'!F386),'Blind Scoring Sheet'!F386,VALUE(TRIM(LEFT('Blind Scoring Sheet'!F386,FIND("|",'Blind Scoring Sheet'!F386)-1))))</f>
        <v/>
      </c>
      <c r="F386" s="81">
        <f>IF(ISNUMBER('Blind Scoring Sheet'!H386),'Blind Scoring Sheet'!H386,VALUE(TRIM(LEFT('Blind Scoring Sheet'!H386,FIND("|",'Blind Scoring Sheet'!H386)-1))))</f>
        <v/>
      </c>
      <c r="G386" s="81">
        <f>IF(ISNUMBER('Blind Scoring Sheet'!J386),'Blind Scoring Sheet'!J386,VALUE(TRIM(LEFT('Blind Scoring Sheet'!J386,FIND("|",'Blind Scoring Sheet'!J386)-1))))</f>
        <v/>
      </c>
      <c r="H386" s="80">
        <f>IF(ISNUMBER(SEARCH("|",'Blind Scoring Sheet'!K386)),TRIM(LEFT('Blind Scoring Sheet'!K386,FIND("|",'Blind Scoring Sheet'!K386)-1)),TRIM('Blind Scoring Sheet'!K386))</f>
        <v/>
      </c>
    </row>
    <row r="387" ht="15" customHeight="1" s="38">
      <c r="A387" s="80">
        <f>'Blind Scoring Sheet'!A387</f>
        <v/>
      </c>
      <c r="B387" s="80">
        <f>MID(INDEX('Anonymization Key'!$B$4:$B$1003,MATCH(A387,'Anonymization Key'!$A$4:$A$1003,0)),3,2)</f>
        <v/>
      </c>
      <c r="C387" s="81">
        <f>IF(ISNUMBER('Blind Scoring Sheet'!B387),'Blind Scoring Sheet'!B387,VALUE(TRIM(LEFT('Blind Scoring Sheet'!B387,FIND("|",'Blind Scoring Sheet'!B387)-1))))</f>
        <v/>
      </c>
      <c r="D387" s="81">
        <f>IF(ISNUMBER('Blind Scoring Sheet'!D387),'Blind Scoring Sheet'!D387,VALUE(TRIM(LEFT('Blind Scoring Sheet'!D387,FIND("|",'Blind Scoring Sheet'!D387)-1))))</f>
        <v/>
      </c>
      <c r="E387" s="81">
        <f>IF(ISNUMBER('Blind Scoring Sheet'!F387),'Blind Scoring Sheet'!F387,VALUE(TRIM(LEFT('Blind Scoring Sheet'!F387,FIND("|",'Blind Scoring Sheet'!F387)-1))))</f>
        <v/>
      </c>
      <c r="F387" s="81">
        <f>IF(ISNUMBER('Blind Scoring Sheet'!H387),'Blind Scoring Sheet'!H387,VALUE(TRIM(LEFT('Blind Scoring Sheet'!H387,FIND("|",'Blind Scoring Sheet'!H387)-1))))</f>
        <v/>
      </c>
      <c r="G387" s="81">
        <f>IF(ISNUMBER('Blind Scoring Sheet'!J387),'Blind Scoring Sheet'!J387,VALUE(TRIM(LEFT('Blind Scoring Sheet'!J387,FIND("|",'Blind Scoring Sheet'!J387)-1))))</f>
        <v/>
      </c>
      <c r="H387" s="80">
        <f>IF(ISNUMBER(SEARCH("|",'Blind Scoring Sheet'!K387)),TRIM(LEFT('Blind Scoring Sheet'!K387,FIND("|",'Blind Scoring Sheet'!K387)-1)),TRIM('Blind Scoring Sheet'!K387))</f>
        <v/>
      </c>
    </row>
    <row r="388" ht="15" customHeight="1" s="38">
      <c r="A388" s="80">
        <f>'Blind Scoring Sheet'!A388</f>
        <v/>
      </c>
      <c r="B388" s="80">
        <f>MID(INDEX('Anonymization Key'!$B$4:$B$1003,MATCH(A388,'Anonymization Key'!$A$4:$A$1003,0)),3,2)</f>
        <v/>
      </c>
      <c r="C388" s="81">
        <f>IF(ISNUMBER('Blind Scoring Sheet'!B388),'Blind Scoring Sheet'!B388,VALUE(TRIM(LEFT('Blind Scoring Sheet'!B388,FIND("|",'Blind Scoring Sheet'!B388)-1))))</f>
        <v/>
      </c>
      <c r="D388" s="81">
        <f>IF(ISNUMBER('Blind Scoring Sheet'!D388),'Blind Scoring Sheet'!D388,VALUE(TRIM(LEFT('Blind Scoring Sheet'!D388,FIND("|",'Blind Scoring Sheet'!D388)-1))))</f>
        <v/>
      </c>
      <c r="E388" s="81">
        <f>IF(ISNUMBER('Blind Scoring Sheet'!F388),'Blind Scoring Sheet'!F388,VALUE(TRIM(LEFT('Blind Scoring Sheet'!F388,FIND("|",'Blind Scoring Sheet'!F388)-1))))</f>
        <v/>
      </c>
      <c r="F388" s="81">
        <f>IF(ISNUMBER('Blind Scoring Sheet'!H388),'Blind Scoring Sheet'!H388,VALUE(TRIM(LEFT('Blind Scoring Sheet'!H388,FIND("|",'Blind Scoring Sheet'!H388)-1))))</f>
        <v/>
      </c>
      <c r="G388" s="81">
        <f>IF(ISNUMBER('Blind Scoring Sheet'!J388),'Blind Scoring Sheet'!J388,VALUE(TRIM(LEFT('Blind Scoring Sheet'!J388,FIND("|",'Blind Scoring Sheet'!J388)-1))))</f>
        <v/>
      </c>
      <c r="H388" s="80">
        <f>IF(ISNUMBER(SEARCH("|",'Blind Scoring Sheet'!K388)),TRIM(LEFT('Blind Scoring Sheet'!K388,FIND("|",'Blind Scoring Sheet'!K388)-1)),TRIM('Blind Scoring Sheet'!K388))</f>
        <v/>
      </c>
    </row>
    <row r="389" ht="15" customHeight="1" s="38">
      <c r="A389" s="80">
        <f>'Blind Scoring Sheet'!A389</f>
        <v/>
      </c>
      <c r="B389" s="80">
        <f>MID(INDEX('Anonymization Key'!$B$4:$B$1003,MATCH(A389,'Anonymization Key'!$A$4:$A$1003,0)),3,2)</f>
        <v/>
      </c>
      <c r="C389" s="81">
        <f>IF(ISNUMBER('Blind Scoring Sheet'!B389),'Blind Scoring Sheet'!B389,VALUE(TRIM(LEFT('Blind Scoring Sheet'!B389,FIND("|",'Blind Scoring Sheet'!B389)-1))))</f>
        <v/>
      </c>
      <c r="D389" s="81">
        <f>IF(ISNUMBER('Blind Scoring Sheet'!D389),'Blind Scoring Sheet'!D389,VALUE(TRIM(LEFT('Blind Scoring Sheet'!D389,FIND("|",'Blind Scoring Sheet'!D389)-1))))</f>
        <v/>
      </c>
      <c r="E389" s="81">
        <f>IF(ISNUMBER('Blind Scoring Sheet'!F389),'Blind Scoring Sheet'!F389,VALUE(TRIM(LEFT('Blind Scoring Sheet'!F389,FIND("|",'Blind Scoring Sheet'!F389)-1))))</f>
        <v/>
      </c>
      <c r="F389" s="81">
        <f>IF(ISNUMBER('Blind Scoring Sheet'!H389),'Blind Scoring Sheet'!H389,VALUE(TRIM(LEFT('Blind Scoring Sheet'!H389,FIND("|",'Blind Scoring Sheet'!H389)-1))))</f>
        <v/>
      </c>
      <c r="G389" s="81">
        <f>IF(ISNUMBER('Blind Scoring Sheet'!J389),'Blind Scoring Sheet'!J389,VALUE(TRIM(LEFT('Blind Scoring Sheet'!J389,FIND("|",'Blind Scoring Sheet'!J389)-1))))</f>
        <v/>
      </c>
      <c r="H389" s="80">
        <f>IF(ISNUMBER(SEARCH("|",'Blind Scoring Sheet'!K389)),TRIM(LEFT('Blind Scoring Sheet'!K389,FIND("|",'Blind Scoring Sheet'!K389)-1)),TRIM('Blind Scoring Sheet'!K389))</f>
        <v/>
      </c>
    </row>
    <row r="390" ht="15" customHeight="1" s="38">
      <c r="A390" s="80">
        <f>'Blind Scoring Sheet'!A390</f>
        <v/>
      </c>
      <c r="B390" s="80">
        <f>MID(INDEX('Anonymization Key'!$B$4:$B$1003,MATCH(A390,'Anonymization Key'!$A$4:$A$1003,0)),3,2)</f>
        <v/>
      </c>
      <c r="C390" s="81">
        <f>IF(ISNUMBER('Blind Scoring Sheet'!B390),'Blind Scoring Sheet'!B390,VALUE(TRIM(LEFT('Blind Scoring Sheet'!B390,FIND("|",'Blind Scoring Sheet'!B390)-1))))</f>
        <v/>
      </c>
      <c r="D390" s="81">
        <f>IF(ISNUMBER('Blind Scoring Sheet'!D390),'Blind Scoring Sheet'!D390,VALUE(TRIM(LEFT('Blind Scoring Sheet'!D390,FIND("|",'Blind Scoring Sheet'!D390)-1))))</f>
        <v/>
      </c>
      <c r="E390" s="81">
        <f>IF(ISNUMBER('Blind Scoring Sheet'!F390),'Blind Scoring Sheet'!F390,VALUE(TRIM(LEFT('Blind Scoring Sheet'!F390,FIND("|",'Blind Scoring Sheet'!F390)-1))))</f>
        <v/>
      </c>
      <c r="F390" s="81">
        <f>IF(ISNUMBER('Blind Scoring Sheet'!H390),'Blind Scoring Sheet'!H390,VALUE(TRIM(LEFT('Blind Scoring Sheet'!H390,FIND("|",'Blind Scoring Sheet'!H390)-1))))</f>
        <v/>
      </c>
      <c r="G390" s="81">
        <f>IF(ISNUMBER('Blind Scoring Sheet'!J390),'Blind Scoring Sheet'!J390,VALUE(TRIM(LEFT('Blind Scoring Sheet'!J390,FIND("|",'Blind Scoring Sheet'!J390)-1))))</f>
        <v/>
      </c>
      <c r="H390" s="80">
        <f>IF(ISNUMBER(SEARCH("|",'Blind Scoring Sheet'!K390)),TRIM(LEFT('Blind Scoring Sheet'!K390,FIND("|",'Blind Scoring Sheet'!K390)-1)),TRIM('Blind Scoring Sheet'!K390))</f>
        <v/>
      </c>
    </row>
    <row r="391" ht="15" customHeight="1" s="38">
      <c r="A391" s="80">
        <f>'Blind Scoring Sheet'!A391</f>
        <v/>
      </c>
      <c r="B391" s="80">
        <f>MID(INDEX('Anonymization Key'!$B$4:$B$1003,MATCH(A391,'Anonymization Key'!$A$4:$A$1003,0)),3,2)</f>
        <v/>
      </c>
      <c r="C391" s="81">
        <f>IF(ISNUMBER('Blind Scoring Sheet'!B391),'Blind Scoring Sheet'!B391,VALUE(TRIM(LEFT('Blind Scoring Sheet'!B391,FIND("|",'Blind Scoring Sheet'!B391)-1))))</f>
        <v/>
      </c>
      <c r="D391" s="81">
        <f>IF(ISNUMBER('Blind Scoring Sheet'!D391),'Blind Scoring Sheet'!D391,VALUE(TRIM(LEFT('Blind Scoring Sheet'!D391,FIND("|",'Blind Scoring Sheet'!D391)-1))))</f>
        <v/>
      </c>
      <c r="E391" s="81">
        <f>IF(ISNUMBER('Blind Scoring Sheet'!F391),'Blind Scoring Sheet'!F391,VALUE(TRIM(LEFT('Blind Scoring Sheet'!F391,FIND("|",'Blind Scoring Sheet'!F391)-1))))</f>
        <v/>
      </c>
      <c r="F391" s="81">
        <f>IF(ISNUMBER('Blind Scoring Sheet'!H391),'Blind Scoring Sheet'!H391,VALUE(TRIM(LEFT('Blind Scoring Sheet'!H391,FIND("|",'Blind Scoring Sheet'!H391)-1))))</f>
        <v/>
      </c>
      <c r="G391" s="81">
        <f>IF(ISNUMBER('Blind Scoring Sheet'!J391),'Blind Scoring Sheet'!J391,VALUE(TRIM(LEFT('Blind Scoring Sheet'!J391,FIND("|",'Blind Scoring Sheet'!J391)-1))))</f>
        <v/>
      </c>
      <c r="H391" s="80">
        <f>IF(ISNUMBER(SEARCH("|",'Blind Scoring Sheet'!K391)),TRIM(LEFT('Blind Scoring Sheet'!K391,FIND("|",'Blind Scoring Sheet'!K391)-1)),TRIM('Blind Scoring Sheet'!K391))</f>
        <v/>
      </c>
    </row>
    <row r="392" ht="15" customHeight="1" s="38">
      <c r="A392" s="80">
        <f>'Blind Scoring Sheet'!A392</f>
        <v/>
      </c>
      <c r="B392" s="80">
        <f>MID(INDEX('Anonymization Key'!$B$4:$B$1003,MATCH(A392,'Anonymization Key'!$A$4:$A$1003,0)),3,2)</f>
        <v/>
      </c>
      <c r="C392" s="81">
        <f>IF(ISNUMBER('Blind Scoring Sheet'!B392),'Blind Scoring Sheet'!B392,VALUE(TRIM(LEFT('Blind Scoring Sheet'!B392,FIND("|",'Blind Scoring Sheet'!B392)-1))))</f>
        <v/>
      </c>
      <c r="D392" s="81">
        <f>IF(ISNUMBER('Blind Scoring Sheet'!D392),'Blind Scoring Sheet'!D392,VALUE(TRIM(LEFT('Blind Scoring Sheet'!D392,FIND("|",'Blind Scoring Sheet'!D392)-1))))</f>
        <v/>
      </c>
      <c r="E392" s="81">
        <f>IF(ISNUMBER('Blind Scoring Sheet'!F392),'Blind Scoring Sheet'!F392,VALUE(TRIM(LEFT('Blind Scoring Sheet'!F392,FIND("|",'Blind Scoring Sheet'!F392)-1))))</f>
        <v/>
      </c>
      <c r="F392" s="81">
        <f>IF(ISNUMBER('Blind Scoring Sheet'!H392),'Blind Scoring Sheet'!H392,VALUE(TRIM(LEFT('Blind Scoring Sheet'!H392,FIND("|",'Blind Scoring Sheet'!H392)-1))))</f>
        <v/>
      </c>
      <c r="G392" s="81">
        <f>IF(ISNUMBER('Blind Scoring Sheet'!J392),'Blind Scoring Sheet'!J392,VALUE(TRIM(LEFT('Blind Scoring Sheet'!J392,FIND("|",'Blind Scoring Sheet'!J392)-1))))</f>
        <v/>
      </c>
      <c r="H392" s="80">
        <f>IF(ISNUMBER(SEARCH("|",'Blind Scoring Sheet'!K392)),TRIM(LEFT('Blind Scoring Sheet'!K392,FIND("|",'Blind Scoring Sheet'!K392)-1)),TRIM('Blind Scoring Sheet'!K392))</f>
        <v/>
      </c>
    </row>
    <row r="393" ht="15" customHeight="1" s="38">
      <c r="A393" s="80">
        <f>'Blind Scoring Sheet'!A393</f>
        <v/>
      </c>
      <c r="B393" s="80">
        <f>MID(INDEX('Anonymization Key'!$B$4:$B$1003,MATCH(A393,'Anonymization Key'!$A$4:$A$1003,0)),3,2)</f>
        <v/>
      </c>
      <c r="C393" s="81">
        <f>IF(ISNUMBER('Blind Scoring Sheet'!B393),'Blind Scoring Sheet'!B393,VALUE(TRIM(LEFT('Blind Scoring Sheet'!B393,FIND("|",'Blind Scoring Sheet'!B393)-1))))</f>
        <v/>
      </c>
      <c r="D393" s="81">
        <f>IF(ISNUMBER('Blind Scoring Sheet'!D393),'Blind Scoring Sheet'!D393,VALUE(TRIM(LEFT('Blind Scoring Sheet'!D393,FIND("|",'Blind Scoring Sheet'!D393)-1))))</f>
        <v/>
      </c>
      <c r="E393" s="81">
        <f>IF(ISNUMBER('Blind Scoring Sheet'!F393),'Blind Scoring Sheet'!F393,VALUE(TRIM(LEFT('Blind Scoring Sheet'!F393,FIND("|",'Blind Scoring Sheet'!F393)-1))))</f>
        <v/>
      </c>
      <c r="F393" s="81">
        <f>IF(ISNUMBER('Blind Scoring Sheet'!H393),'Blind Scoring Sheet'!H393,VALUE(TRIM(LEFT('Blind Scoring Sheet'!H393,FIND("|",'Blind Scoring Sheet'!H393)-1))))</f>
        <v/>
      </c>
      <c r="G393" s="81">
        <f>IF(ISNUMBER('Blind Scoring Sheet'!J393),'Blind Scoring Sheet'!J393,VALUE(TRIM(LEFT('Blind Scoring Sheet'!J393,FIND("|",'Blind Scoring Sheet'!J393)-1))))</f>
        <v/>
      </c>
      <c r="H393" s="80">
        <f>IF(ISNUMBER(SEARCH("|",'Blind Scoring Sheet'!K393)),TRIM(LEFT('Blind Scoring Sheet'!K393,FIND("|",'Blind Scoring Sheet'!K393)-1)),TRIM('Blind Scoring Sheet'!K393))</f>
        <v/>
      </c>
    </row>
    <row r="394" ht="15" customHeight="1" s="38">
      <c r="A394" s="80">
        <f>'Blind Scoring Sheet'!A394</f>
        <v/>
      </c>
      <c r="B394" s="80">
        <f>MID(INDEX('Anonymization Key'!$B$4:$B$1003,MATCH(A394,'Anonymization Key'!$A$4:$A$1003,0)),3,2)</f>
        <v/>
      </c>
      <c r="C394" s="81">
        <f>IF(ISNUMBER('Blind Scoring Sheet'!B394),'Blind Scoring Sheet'!B394,VALUE(TRIM(LEFT('Blind Scoring Sheet'!B394,FIND("|",'Blind Scoring Sheet'!B394)-1))))</f>
        <v/>
      </c>
      <c r="D394" s="81">
        <f>IF(ISNUMBER('Blind Scoring Sheet'!D394),'Blind Scoring Sheet'!D394,VALUE(TRIM(LEFT('Blind Scoring Sheet'!D394,FIND("|",'Blind Scoring Sheet'!D394)-1))))</f>
        <v/>
      </c>
      <c r="E394" s="81">
        <f>IF(ISNUMBER('Blind Scoring Sheet'!F394),'Blind Scoring Sheet'!F394,VALUE(TRIM(LEFT('Blind Scoring Sheet'!F394,FIND("|",'Blind Scoring Sheet'!F394)-1))))</f>
        <v/>
      </c>
      <c r="F394" s="81">
        <f>IF(ISNUMBER('Blind Scoring Sheet'!H394),'Blind Scoring Sheet'!H394,VALUE(TRIM(LEFT('Blind Scoring Sheet'!H394,FIND("|",'Blind Scoring Sheet'!H394)-1))))</f>
        <v/>
      </c>
      <c r="G394" s="81">
        <f>IF(ISNUMBER('Blind Scoring Sheet'!J394),'Blind Scoring Sheet'!J394,VALUE(TRIM(LEFT('Blind Scoring Sheet'!J394,FIND("|",'Blind Scoring Sheet'!J394)-1))))</f>
        <v/>
      </c>
      <c r="H394" s="80">
        <f>IF(ISNUMBER(SEARCH("|",'Blind Scoring Sheet'!K394)),TRIM(LEFT('Blind Scoring Sheet'!K394,FIND("|",'Blind Scoring Sheet'!K394)-1)),TRIM('Blind Scoring Sheet'!K394))</f>
        <v/>
      </c>
    </row>
    <row r="395" ht="15" customHeight="1" s="38">
      <c r="A395" s="80">
        <f>'Blind Scoring Sheet'!A395</f>
        <v/>
      </c>
      <c r="B395" s="80">
        <f>MID(INDEX('Anonymization Key'!$B$4:$B$1003,MATCH(A395,'Anonymization Key'!$A$4:$A$1003,0)),3,2)</f>
        <v/>
      </c>
      <c r="C395" s="81">
        <f>IF(ISNUMBER('Blind Scoring Sheet'!B395),'Blind Scoring Sheet'!B395,VALUE(TRIM(LEFT('Blind Scoring Sheet'!B395,FIND("|",'Blind Scoring Sheet'!B395)-1))))</f>
        <v/>
      </c>
      <c r="D395" s="81">
        <f>IF(ISNUMBER('Blind Scoring Sheet'!D395),'Blind Scoring Sheet'!D395,VALUE(TRIM(LEFT('Blind Scoring Sheet'!D395,FIND("|",'Blind Scoring Sheet'!D395)-1))))</f>
        <v/>
      </c>
      <c r="E395" s="81">
        <f>IF(ISNUMBER('Blind Scoring Sheet'!F395),'Blind Scoring Sheet'!F395,VALUE(TRIM(LEFT('Blind Scoring Sheet'!F395,FIND("|",'Blind Scoring Sheet'!F395)-1))))</f>
        <v/>
      </c>
      <c r="F395" s="81">
        <f>IF(ISNUMBER('Blind Scoring Sheet'!H395),'Blind Scoring Sheet'!H395,VALUE(TRIM(LEFT('Blind Scoring Sheet'!H395,FIND("|",'Blind Scoring Sheet'!H395)-1))))</f>
        <v/>
      </c>
      <c r="G395" s="81">
        <f>IF(ISNUMBER('Blind Scoring Sheet'!J395),'Blind Scoring Sheet'!J395,VALUE(TRIM(LEFT('Blind Scoring Sheet'!J395,FIND("|",'Blind Scoring Sheet'!J395)-1))))</f>
        <v/>
      </c>
      <c r="H395" s="80">
        <f>IF(ISNUMBER(SEARCH("|",'Blind Scoring Sheet'!K395)),TRIM(LEFT('Blind Scoring Sheet'!K395,FIND("|",'Blind Scoring Sheet'!K395)-1)),TRIM('Blind Scoring Sheet'!K395))</f>
        <v/>
      </c>
    </row>
    <row r="396" ht="15" customHeight="1" s="38">
      <c r="A396" s="80">
        <f>'Blind Scoring Sheet'!A396</f>
        <v/>
      </c>
      <c r="B396" s="80">
        <f>MID(INDEX('Anonymization Key'!$B$4:$B$1003,MATCH(A396,'Anonymization Key'!$A$4:$A$1003,0)),3,2)</f>
        <v/>
      </c>
      <c r="C396" s="81">
        <f>IF(ISNUMBER('Blind Scoring Sheet'!B396),'Blind Scoring Sheet'!B396,VALUE(TRIM(LEFT('Blind Scoring Sheet'!B396,FIND("|",'Blind Scoring Sheet'!B396)-1))))</f>
        <v/>
      </c>
      <c r="D396" s="81">
        <f>IF(ISNUMBER('Blind Scoring Sheet'!D396),'Blind Scoring Sheet'!D396,VALUE(TRIM(LEFT('Blind Scoring Sheet'!D396,FIND("|",'Blind Scoring Sheet'!D396)-1))))</f>
        <v/>
      </c>
      <c r="E396" s="81">
        <f>IF(ISNUMBER('Blind Scoring Sheet'!F396),'Blind Scoring Sheet'!F396,VALUE(TRIM(LEFT('Blind Scoring Sheet'!F396,FIND("|",'Blind Scoring Sheet'!F396)-1))))</f>
        <v/>
      </c>
      <c r="F396" s="81">
        <f>IF(ISNUMBER('Blind Scoring Sheet'!H396),'Blind Scoring Sheet'!H396,VALUE(TRIM(LEFT('Blind Scoring Sheet'!H396,FIND("|",'Blind Scoring Sheet'!H396)-1))))</f>
        <v/>
      </c>
      <c r="G396" s="81">
        <f>IF(ISNUMBER('Blind Scoring Sheet'!J396),'Blind Scoring Sheet'!J396,VALUE(TRIM(LEFT('Blind Scoring Sheet'!J396,FIND("|",'Blind Scoring Sheet'!J396)-1))))</f>
        <v/>
      </c>
      <c r="H396" s="80">
        <f>IF(ISNUMBER(SEARCH("|",'Blind Scoring Sheet'!K396)),TRIM(LEFT('Blind Scoring Sheet'!K396,FIND("|",'Blind Scoring Sheet'!K396)-1)),TRIM('Blind Scoring Sheet'!K396))</f>
        <v/>
      </c>
    </row>
    <row r="397" ht="15" customHeight="1" s="38">
      <c r="A397" s="80">
        <f>'Blind Scoring Sheet'!A397</f>
        <v/>
      </c>
      <c r="B397" s="80">
        <f>MID(INDEX('Anonymization Key'!$B$4:$B$1003,MATCH(A397,'Anonymization Key'!$A$4:$A$1003,0)),3,2)</f>
        <v/>
      </c>
      <c r="C397" s="81">
        <f>IF(ISNUMBER('Blind Scoring Sheet'!B397),'Blind Scoring Sheet'!B397,VALUE(TRIM(LEFT('Blind Scoring Sheet'!B397,FIND("|",'Blind Scoring Sheet'!B397)-1))))</f>
        <v/>
      </c>
      <c r="D397" s="81">
        <f>IF(ISNUMBER('Blind Scoring Sheet'!D397),'Blind Scoring Sheet'!D397,VALUE(TRIM(LEFT('Blind Scoring Sheet'!D397,FIND("|",'Blind Scoring Sheet'!D397)-1))))</f>
        <v/>
      </c>
      <c r="E397" s="81">
        <f>IF(ISNUMBER('Blind Scoring Sheet'!F397),'Blind Scoring Sheet'!F397,VALUE(TRIM(LEFT('Blind Scoring Sheet'!F397,FIND("|",'Blind Scoring Sheet'!F397)-1))))</f>
        <v/>
      </c>
      <c r="F397" s="81">
        <f>IF(ISNUMBER('Blind Scoring Sheet'!H397),'Blind Scoring Sheet'!H397,VALUE(TRIM(LEFT('Blind Scoring Sheet'!H397,FIND("|",'Blind Scoring Sheet'!H397)-1))))</f>
        <v/>
      </c>
      <c r="G397" s="81">
        <f>IF(ISNUMBER('Blind Scoring Sheet'!J397),'Blind Scoring Sheet'!J397,VALUE(TRIM(LEFT('Blind Scoring Sheet'!J397,FIND("|",'Blind Scoring Sheet'!J397)-1))))</f>
        <v/>
      </c>
      <c r="H397" s="80">
        <f>IF(ISNUMBER(SEARCH("|",'Blind Scoring Sheet'!K397)),TRIM(LEFT('Blind Scoring Sheet'!K397,FIND("|",'Blind Scoring Sheet'!K397)-1)),TRIM('Blind Scoring Sheet'!K397))</f>
        <v/>
      </c>
    </row>
    <row r="398" ht="15" customHeight="1" s="38">
      <c r="A398" s="80">
        <f>'Blind Scoring Sheet'!A398</f>
        <v/>
      </c>
      <c r="B398" s="80">
        <f>MID(INDEX('Anonymization Key'!$B$4:$B$1003,MATCH(A398,'Anonymization Key'!$A$4:$A$1003,0)),3,2)</f>
        <v/>
      </c>
      <c r="C398" s="81">
        <f>IF(ISNUMBER('Blind Scoring Sheet'!B398),'Blind Scoring Sheet'!B398,VALUE(TRIM(LEFT('Blind Scoring Sheet'!B398,FIND("|",'Blind Scoring Sheet'!B398)-1))))</f>
        <v/>
      </c>
      <c r="D398" s="81">
        <f>IF(ISNUMBER('Blind Scoring Sheet'!D398),'Blind Scoring Sheet'!D398,VALUE(TRIM(LEFT('Blind Scoring Sheet'!D398,FIND("|",'Blind Scoring Sheet'!D398)-1))))</f>
        <v/>
      </c>
      <c r="E398" s="81">
        <f>IF(ISNUMBER('Blind Scoring Sheet'!F398),'Blind Scoring Sheet'!F398,VALUE(TRIM(LEFT('Blind Scoring Sheet'!F398,FIND("|",'Blind Scoring Sheet'!F398)-1))))</f>
        <v/>
      </c>
      <c r="F398" s="81">
        <f>IF(ISNUMBER('Blind Scoring Sheet'!H398),'Blind Scoring Sheet'!H398,VALUE(TRIM(LEFT('Blind Scoring Sheet'!H398,FIND("|",'Blind Scoring Sheet'!H398)-1))))</f>
        <v/>
      </c>
      <c r="G398" s="81">
        <f>IF(ISNUMBER('Blind Scoring Sheet'!J398),'Blind Scoring Sheet'!J398,VALUE(TRIM(LEFT('Blind Scoring Sheet'!J398,FIND("|",'Blind Scoring Sheet'!J398)-1))))</f>
        <v/>
      </c>
      <c r="H398" s="80">
        <f>IF(ISNUMBER(SEARCH("|",'Blind Scoring Sheet'!K398)),TRIM(LEFT('Blind Scoring Sheet'!K398,FIND("|",'Blind Scoring Sheet'!K398)-1)),TRIM('Blind Scoring Sheet'!K398))</f>
        <v/>
      </c>
    </row>
    <row r="399" ht="15" customHeight="1" s="38">
      <c r="A399" s="80">
        <f>'Blind Scoring Sheet'!A399</f>
        <v/>
      </c>
      <c r="B399" s="80">
        <f>MID(INDEX('Anonymization Key'!$B$4:$B$1003,MATCH(A399,'Anonymization Key'!$A$4:$A$1003,0)),3,2)</f>
        <v/>
      </c>
      <c r="C399" s="81">
        <f>IF(ISNUMBER('Blind Scoring Sheet'!B399),'Blind Scoring Sheet'!B399,VALUE(TRIM(LEFT('Blind Scoring Sheet'!B399,FIND("|",'Blind Scoring Sheet'!B399)-1))))</f>
        <v/>
      </c>
      <c r="D399" s="81">
        <f>IF(ISNUMBER('Blind Scoring Sheet'!D399),'Blind Scoring Sheet'!D399,VALUE(TRIM(LEFT('Blind Scoring Sheet'!D399,FIND("|",'Blind Scoring Sheet'!D399)-1))))</f>
        <v/>
      </c>
      <c r="E399" s="81">
        <f>IF(ISNUMBER('Blind Scoring Sheet'!F399),'Blind Scoring Sheet'!F399,VALUE(TRIM(LEFT('Blind Scoring Sheet'!F399,FIND("|",'Blind Scoring Sheet'!F399)-1))))</f>
        <v/>
      </c>
      <c r="F399" s="81">
        <f>IF(ISNUMBER('Blind Scoring Sheet'!H399),'Blind Scoring Sheet'!H399,VALUE(TRIM(LEFT('Blind Scoring Sheet'!H399,FIND("|",'Blind Scoring Sheet'!H399)-1))))</f>
        <v/>
      </c>
      <c r="G399" s="81">
        <f>IF(ISNUMBER('Blind Scoring Sheet'!J399),'Blind Scoring Sheet'!J399,VALUE(TRIM(LEFT('Blind Scoring Sheet'!J399,FIND("|",'Blind Scoring Sheet'!J399)-1))))</f>
        <v/>
      </c>
      <c r="H399" s="80">
        <f>IF(ISNUMBER(SEARCH("|",'Blind Scoring Sheet'!K399)),TRIM(LEFT('Blind Scoring Sheet'!K399,FIND("|",'Blind Scoring Sheet'!K399)-1)),TRIM('Blind Scoring Sheet'!K399))</f>
        <v/>
      </c>
    </row>
    <row r="400" ht="15" customHeight="1" s="38">
      <c r="A400" s="80">
        <f>'Blind Scoring Sheet'!A400</f>
        <v/>
      </c>
      <c r="B400" s="80">
        <f>MID(INDEX('Anonymization Key'!$B$4:$B$1003,MATCH(A400,'Anonymization Key'!$A$4:$A$1003,0)),3,2)</f>
        <v/>
      </c>
      <c r="C400" s="81">
        <f>IF(ISNUMBER('Blind Scoring Sheet'!B400),'Blind Scoring Sheet'!B400,VALUE(TRIM(LEFT('Blind Scoring Sheet'!B400,FIND("|",'Blind Scoring Sheet'!B400)-1))))</f>
        <v/>
      </c>
      <c r="D400" s="81">
        <f>IF(ISNUMBER('Blind Scoring Sheet'!D400),'Blind Scoring Sheet'!D400,VALUE(TRIM(LEFT('Blind Scoring Sheet'!D400,FIND("|",'Blind Scoring Sheet'!D400)-1))))</f>
        <v/>
      </c>
      <c r="E400" s="81">
        <f>IF(ISNUMBER('Blind Scoring Sheet'!F400),'Blind Scoring Sheet'!F400,VALUE(TRIM(LEFT('Blind Scoring Sheet'!F400,FIND("|",'Blind Scoring Sheet'!F400)-1))))</f>
        <v/>
      </c>
      <c r="F400" s="81">
        <f>IF(ISNUMBER('Blind Scoring Sheet'!H400),'Blind Scoring Sheet'!H400,VALUE(TRIM(LEFT('Blind Scoring Sheet'!H400,FIND("|",'Blind Scoring Sheet'!H400)-1))))</f>
        <v/>
      </c>
      <c r="G400" s="81">
        <f>IF(ISNUMBER('Blind Scoring Sheet'!J400),'Blind Scoring Sheet'!J400,VALUE(TRIM(LEFT('Blind Scoring Sheet'!J400,FIND("|",'Blind Scoring Sheet'!J400)-1))))</f>
        <v/>
      </c>
      <c r="H400" s="80">
        <f>IF(ISNUMBER(SEARCH("|",'Blind Scoring Sheet'!K400)),TRIM(LEFT('Blind Scoring Sheet'!K400,FIND("|",'Blind Scoring Sheet'!K400)-1)),TRIM('Blind Scoring Sheet'!K400))</f>
        <v/>
      </c>
    </row>
    <row r="401" ht="15" customHeight="1" s="38">
      <c r="A401" s="80">
        <f>'Blind Scoring Sheet'!A401</f>
        <v/>
      </c>
      <c r="B401" s="80">
        <f>MID(INDEX('Anonymization Key'!$B$4:$B$1003,MATCH(A401,'Anonymization Key'!$A$4:$A$1003,0)),3,2)</f>
        <v/>
      </c>
      <c r="C401" s="81">
        <f>IF(ISNUMBER('Blind Scoring Sheet'!B401),'Blind Scoring Sheet'!B401,VALUE(TRIM(LEFT('Blind Scoring Sheet'!B401,FIND("|",'Blind Scoring Sheet'!B401)-1))))</f>
        <v/>
      </c>
      <c r="D401" s="81">
        <f>IF(ISNUMBER('Blind Scoring Sheet'!D401),'Blind Scoring Sheet'!D401,VALUE(TRIM(LEFT('Blind Scoring Sheet'!D401,FIND("|",'Blind Scoring Sheet'!D401)-1))))</f>
        <v/>
      </c>
      <c r="E401" s="81">
        <f>IF(ISNUMBER('Blind Scoring Sheet'!F401),'Blind Scoring Sheet'!F401,VALUE(TRIM(LEFT('Blind Scoring Sheet'!F401,FIND("|",'Blind Scoring Sheet'!F401)-1))))</f>
        <v/>
      </c>
      <c r="F401" s="81">
        <f>IF(ISNUMBER('Blind Scoring Sheet'!H401),'Blind Scoring Sheet'!H401,VALUE(TRIM(LEFT('Blind Scoring Sheet'!H401,FIND("|",'Blind Scoring Sheet'!H401)-1))))</f>
        <v/>
      </c>
      <c r="G401" s="81">
        <f>IF(ISNUMBER('Blind Scoring Sheet'!J401),'Blind Scoring Sheet'!J401,VALUE(TRIM(LEFT('Blind Scoring Sheet'!J401,FIND("|",'Blind Scoring Sheet'!J401)-1))))</f>
        <v/>
      </c>
      <c r="H401" s="80">
        <f>IF(ISNUMBER(SEARCH("|",'Blind Scoring Sheet'!K401)),TRIM(LEFT('Blind Scoring Sheet'!K401,FIND("|",'Blind Scoring Sheet'!K401)-1)),TRIM('Blind Scoring Sheet'!K401))</f>
        <v/>
      </c>
    </row>
    <row r="402" ht="15" customHeight="1" s="38">
      <c r="A402" s="80">
        <f>'Blind Scoring Sheet'!A402</f>
        <v/>
      </c>
      <c r="B402" s="80">
        <f>MID(INDEX('Anonymization Key'!$B$4:$B$1003,MATCH(A402,'Anonymization Key'!$A$4:$A$1003,0)),3,2)</f>
        <v/>
      </c>
      <c r="C402" s="81">
        <f>IF(ISNUMBER('Blind Scoring Sheet'!B402),'Blind Scoring Sheet'!B402,VALUE(TRIM(LEFT('Blind Scoring Sheet'!B402,FIND("|",'Blind Scoring Sheet'!B402)-1))))</f>
        <v/>
      </c>
      <c r="D402" s="81">
        <f>IF(ISNUMBER('Blind Scoring Sheet'!D402),'Blind Scoring Sheet'!D402,VALUE(TRIM(LEFT('Blind Scoring Sheet'!D402,FIND("|",'Blind Scoring Sheet'!D402)-1))))</f>
        <v/>
      </c>
      <c r="E402" s="81">
        <f>IF(ISNUMBER('Blind Scoring Sheet'!F402),'Blind Scoring Sheet'!F402,VALUE(TRIM(LEFT('Blind Scoring Sheet'!F402,FIND("|",'Blind Scoring Sheet'!F402)-1))))</f>
        <v/>
      </c>
      <c r="F402" s="81">
        <f>IF(ISNUMBER('Blind Scoring Sheet'!H402),'Blind Scoring Sheet'!H402,VALUE(TRIM(LEFT('Blind Scoring Sheet'!H402,FIND("|",'Blind Scoring Sheet'!H402)-1))))</f>
        <v/>
      </c>
      <c r="G402" s="81">
        <f>IF(ISNUMBER('Blind Scoring Sheet'!J402),'Blind Scoring Sheet'!J402,VALUE(TRIM(LEFT('Blind Scoring Sheet'!J402,FIND("|",'Blind Scoring Sheet'!J402)-1))))</f>
        <v/>
      </c>
      <c r="H402" s="80">
        <f>IF(ISNUMBER(SEARCH("|",'Blind Scoring Sheet'!K402)),TRIM(LEFT('Blind Scoring Sheet'!K402,FIND("|",'Blind Scoring Sheet'!K402)-1)),TRIM('Blind Scoring Sheet'!K402))</f>
        <v/>
      </c>
    </row>
    <row r="403" ht="15" customHeight="1" s="38">
      <c r="A403" s="80">
        <f>'Blind Scoring Sheet'!A403</f>
        <v/>
      </c>
      <c r="B403" s="80">
        <f>MID(INDEX('Anonymization Key'!$B$4:$B$1003,MATCH(A403,'Anonymization Key'!$A$4:$A$1003,0)),3,2)</f>
        <v/>
      </c>
      <c r="C403" s="81">
        <f>IF(ISNUMBER('Blind Scoring Sheet'!B403),'Blind Scoring Sheet'!B403,VALUE(TRIM(LEFT('Blind Scoring Sheet'!B403,FIND("|",'Blind Scoring Sheet'!B403)-1))))</f>
        <v/>
      </c>
      <c r="D403" s="81">
        <f>IF(ISNUMBER('Blind Scoring Sheet'!D403),'Blind Scoring Sheet'!D403,VALUE(TRIM(LEFT('Blind Scoring Sheet'!D403,FIND("|",'Blind Scoring Sheet'!D403)-1))))</f>
        <v/>
      </c>
      <c r="E403" s="81">
        <f>IF(ISNUMBER('Blind Scoring Sheet'!F403),'Blind Scoring Sheet'!F403,VALUE(TRIM(LEFT('Blind Scoring Sheet'!F403,FIND("|",'Blind Scoring Sheet'!F403)-1))))</f>
        <v/>
      </c>
      <c r="F403" s="81">
        <f>IF(ISNUMBER('Blind Scoring Sheet'!H403),'Blind Scoring Sheet'!H403,VALUE(TRIM(LEFT('Blind Scoring Sheet'!H403,FIND("|",'Blind Scoring Sheet'!H403)-1))))</f>
        <v/>
      </c>
      <c r="G403" s="81">
        <f>IF(ISNUMBER('Blind Scoring Sheet'!J403),'Blind Scoring Sheet'!J403,VALUE(TRIM(LEFT('Blind Scoring Sheet'!J403,FIND("|",'Blind Scoring Sheet'!J403)-1))))</f>
        <v/>
      </c>
      <c r="H403" s="80">
        <f>IF(ISNUMBER(SEARCH("|",'Blind Scoring Sheet'!K403)),TRIM(LEFT('Blind Scoring Sheet'!K403,FIND("|",'Blind Scoring Sheet'!K403)-1)),TRIM('Blind Scoring Sheet'!K403))</f>
        <v/>
      </c>
    </row>
    <row r="404" ht="15" customHeight="1" s="38">
      <c r="A404" s="80">
        <f>'Blind Scoring Sheet'!A404</f>
        <v/>
      </c>
      <c r="B404" s="80">
        <f>MID(INDEX('Anonymization Key'!$B$4:$B$1003,MATCH(A404,'Anonymization Key'!$A$4:$A$1003,0)),3,2)</f>
        <v/>
      </c>
      <c r="C404" s="81">
        <f>IF(ISNUMBER('Blind Scoring Sheet'!B404),'Blind Scoring Sheet'!B404,VALUE(TRIM(LEFT('Blind Scoring Sheet'!B404,FIND("|",'Blind Scoring Sheet'!B404)-1))))</f>
        <v/>
      </c>
      <c r="D404" s="81">
        <f>IF(ISNUMBER('Blind Scoring Sheet'!D404),'Blind Scoring Sheet'!D404,VALUE(TRIM(LEFT('Blind Scoring Sheet'!D404,FIND("|",'Blind Scoring Sheet'!D404)-1))))</f>
        <v/>
      </c>
      <c r="E404" s="81">
        <f>IF(ISNUMBER('Blind Scoring Sheet'!F404),'Blind Scoring Sheet'!F404,VALUE(TRIM(LEFT('Blind Scoring Sheet'!F404,FIND("|",'Blind Scoring Sheet'!F404)-1))))</f>
        <v/>
      </c>
      <c r="F404" s="81">
        <f>IF(ISNUMBER('Blind Scoring Sheet'!H404),'Blind Scoring Sheet'!H404,VALUE(TRIM(LEFT('Blind Scoring Sheet'!H404,FIND("|",'Blind Scoring Sheet'!H404)-1))))</f>
        <v/>
      </c>
      <c r="G404" s="81">
        <f>IF(ISNUMBER('Blind Scoring Sheet'!J404),'Blind Scoring Sheet'!J404,VALUE(TRIM(LEFT('Blind Scoring Sheet'!J404,FIND("|",'Blind Scoring Sheet'!J404)-1))))</f>
        <v/>
      </c>
      <c r="H404" s="80">
        <f>IF(ISNUMBER(SEARCH("|",'Blind Scoring Sheet'!K404)),TRIM(LEFT('Blind Scoring Sheet'!K404,FIND("|",'Blind Scoring Sheet'!K404)-1)),TRIM('Blind Scoring Sheet'!K404))</f>
        <v/>
      </c>
    </row>
    <row r="405" ht="15" customHeight="1" s="38">
      <c r="A405" s="80">
        <f>'Blind Scoring Sheet'!A405</f>
        <v/>
      </c>
      <c r="B405" s="80">
        <f>MID(INDEX('Anonymization Key'!$B$4:$B$1003,MATCH(A405,'Anonymization Key'!$A$4:$A$1003,0)),3,2)</f>
        <v/>
      </c>
      <c r="C405" s="81">
        <f>IF(ISNUMBER('Blind Scoring Sheet'!B405),'Blind Scoring Sheet'!B405,VALUE(TRIM(LEFT('Blind Scoring Sheet'!B405,FIND("|",'Blind Scoring Sheet'!B405)-1))))</f>
        <v/>
      </c>
      <c r="D405" s="81">
        <f>IF(ISNUMBER('Blind Scoring Sheet'!D405),'Blind Scoring Sheet'!D405,VALUE(TRIM(LEFT('Blind Scoring Sheet'!D405,FIND("|",'Blind Scoring Sheet'!D405)-1))))</f>
        <v/>
      </c>
      <c r="E405" s="81">
        <f>IF(ISNUMBER('Blind Scoring Sheet'!F405),'Blind Scoring Sheet'!F405,VALUE(TRIM(LEFT('Blind Scoring Sheet'!F405,FIND("|",'Blind Scoring Sheet'!F405)-1))))</f>
        <v/>
      </c>
      <c r="F405" s="81">
        <f>IF(ISNUMBER('Blind Scoring Sheet'!H405),'Blind Scoring Sheet'!H405,VALUE(TRIM(LEFT('Blind Scoring Sheet'!H405,FIND("|",'Blind Scoring Sheet'!H405)-1))))</f>
        <v/>
      </c>
      <c r="G405" s="81">
        <f>IF(ISNUMBER('Blind Scoring Sheet'!J405),'Blind Scoring Sheet'!J405,VALUE(TRIM(LEFT('Blind Scoring Sheet'!J405,FIND("|",'Blind Scoring Sheet'!J405)-1))))</f>
        <v/>
      </c>
      <c r="H405" s="80">
        <f>IF(ISNUMBER(SEARCH("|",'Blind Scoring Sheet'!K405)),TRIM(LEFT('Blind Scoring Sheet'!K405,FIND("|",'Blind Scoring Sheet'!K405)-1)),TRIM('Blind Scoring Sheet'!K405))</f>
        <v/>
      </c>
    </row>
    <row r="406" ht="15" customHeight="1" s="38">
      <c r="A406" s="80">
        <f>'Blind Scoring Sheet'!A406</f>
        <v/>
      </c>
      <c r="B406" s="80">
        <f>MID(INDEX('Anonymization Key'!$B$4:$B$1003,MATCH(A406,'Anonymization Key'!$A$4:$A$1003,0)),3,2)</f>
        <v/>
      </c>
      <c r="C406" s="81">
        <f>IF(ISNUMBER('Blind Scoring Sheet'!B406),'Blind Scoring Sheet'!B406,VALUE(TRIM(LEFT('Blind Scoring Sheet'!B406,FIND("|",'Blind Scoring Sheet'!B406)-1))))</f>
        <v/>
      </c>
      <c r="D406" s="81">
        <f>IF(ISNUMBER('Blind Scoring Sheet'!D406),'Blind Scoring Sheet'!D406,VALUE(TRIM(LEFT('Blind Scoring Sheet'!D406,FIND("|",'Blind Scoring Sheet'!D406)-1))))</f>
        <v/>
      </c>
      <c r="E406" s="81">
        <f>IF(ISNUMBER('Blind Scoring Sheet'!F406),'Blind Scoring Sheet'!F406,VALUE(TRIM(LEFT('Blind Scoring Sheet'!F406,FIND("|",'Blind Scoring Sheet'!F406)-1))))</f>
        <v/>
      </c>
      <c r="F406" s="81">
        <f>IF(ISNUMBER('Blind Scoring Sheet'!H406),'Blind Scoring Sheet'!H406,VALUE(TRIM(LEFT('Blind Scoring Sheet'!H406,FIND("|",'Blind Scoring Sheet'!H406)-1))))</f>
        <v/>
      </c>
      <c r="G406" s="81">
        <f>IF(ISNUMBER('Blind Scoring Sheet'!J406),'Blind Scoring Sheet'!J406,VALUE(TRIM(LEFT('Blind Scoring Sheet'!J406,FIND("|",'Blind Scoring Sheet'!J406)-1))))</f>
        <v/>
      </c>
      <c r="H406" s="80">
        <f>IF(ISNUMBER(SEARCH("|",'Blind Scoring Sheet'!K406)),TRIM(LEFT('Blind Scoring Sheet'!K406,FIND("|",'Blind Scoring Sheet'!K406)-1)),TRIM('Blind Scoring Sheet'!K406))</f>
        <v/>
      </c>
    </row>
    <row r="407" ht="15" customHeight="1" s="38">
      <c r="A407" s="80">
        <f>'Blind Scoring Sheet'!A407</f>
        <v/>
      </c>
      <c r="B407" s="80">
        <f>MID(INDEX('Anonymization Key'!$B$4:$B$1003,MATCH(A407,'Anonymization Key'!$A$4:$A$1003,0)),3,2)</f>
        <v/>
      </c>
      <c r="C407" s="81">
        <f>IF(ISNUMBER('Blind Scoring Sheet'!B407),'Blind Scoring Sheet'!B407,VALUE(TRIM(LEFT('Blind Scoring Sheet'!B407,FIND("|",'Blind Scoring Sheet'!B407)-1))))</f>
        <v/>
      </c>
      <c r="D407" s="81">
        <f>IF(ISNUMBER('Blind Scoring Sheet'!D407),'Blind Scoring Sheet'!D407,VALUE(TRIM(LEFT('Blind Scoring Sheet'!D407,FIND("|",'Blind Scoring Sheet'!D407)-1))))</f>
        <v/>
      </c>
      <c r="E407" s="81">
        <f>IF(ISNUMBER('Blind Scoring Sheet'!F407),'Blind Scoring Sheet'!F407,VALUE(TRIM(LEFT('Blind Scoring Sheet'!F407,FIND("|",'Blind Scoring Sheet'!F407)-1))))</f>
        <v/>
      </c>
      <c r="F407" s="81">
        <f>IF(ISNUMBER('Blind Scoring Sheet'!H407),'Blind Scoring Sheet'!H407,VALUE(TRIM(LEFT('Blind Scoring Sheet'!H407,FIND("|",'Blind Scoring Sheet'!H407)-1))))</f>
        <v/>
      </c>
      <c r="G407" s="81">
        <f>IF(ISNUMBER('Blind Scoring Sheet'!J407),'Blind Scoring Sheet'!J407,VALUE(TRIM(LEFT('Blind Scoring Sheet'!J407,FIND("|",'Blind Scoring Sheet'!J407)-1))))</f>
        <v/>
      </c>
      <c r="H407" s="80">
        <f>IF(ISNUMBER(SEARCH("|",'Blind Scoring Sheet'!K407)),TRIM(LEFT('Blind Scoring Sheet'!K407,FIND("|",'Blind Scoring Sheet'!K407)-1)),TRIM('Blind Scoring Sheet'!K407))</f>
        <v/>
      </c>
    </row>
    <row r="408" ht="15" customHeight="1" s="38">
      <c r="A408" s="80">
        <f>'Blind Scoring Sheet'!A408</f>
        <v/>
      </c>
      <c r="B408" s="80">
        <f>MID(INDEX('Anonymization Key'!$B$4:$B$1003,MATCH(A408,'Anonymization Key'!$A$4:$A$1003,0)),3,2)</f>
        <v/>
      </c>
      <c r="C408" s="81">
        <f>IF(ISNUMBER('Blind Scoring Sheet'!B408),'Blind Scoring Sheet'!B408,VALUE(TRIM(LEFT('Blind Scoring Sheet'!B408,FIND("|",'Blind Scoring Sheet'!B408)-1))))</f>
        <v/>
      </c>
      <c r="D408" s="81">
        <f>IF(ISNUMBER('Blind Scoring Sheet'!D408),'Blind Scoring Sheet'!D408,VALUE(TRIM(LEFT('Blind Scoring Sheet'!D408,FIND("|",'Blind Scoring Sheet'!D408)-1))))</f>
        <v/>
      </c>
      <c r="E408" s="81">
        <f>IF(ISNUMBER('Blind Scoring Sheet'!F408),'Blind Scoring Sheet'!F408,VALUE(TRIM(LEFT('Blind Scoring Sheet'!F408,FIND("|",'Blind Scoring Sheet'!F408)-1))))</f>
        <v/>
      </c>
      <c r="F408" s="81">
        <f>IF(ISNUMBER('Blind Scoring Sheet'!H408),'Blind Scoring Sheet'!H408,VALUE(TRIM(LEFT('Blind Scoring Sheet'!H408,FIND("|",'Blind Scoring Sheet'!H408)-1))))</f>
        <v/>
      </c>
      <c r="G408" s="81">
        <f>IF(ISNUMBER('Blind Scoring Sheet'!J408),'Blind Scoring Sheet'!J408,VALUE(TRIM(LEFT('Blind Scoring Sheet'!J408,FIND("|",'Blind Scoring Sheet'!J408)-1))))</f>
        <v/>
      </c>
      <c r="H408" s="80">
        <f>IF(ISNUMBER(SEARCH("|",'Blind Scoring Sheet'!K408)),TRIM(LEFT('Blind Scoring Sheet'!K408,FIND("|",'Blind Scoring Sheet'!K408)-1)),TRIM('Blind Scoring Sheet'!K408))</f>
        <v/>
      </c>
    </row>
    <row r="409" ht="15" customHeight="1" s="38">
      <c r="A409" s="80">
        <f>'Blind Scoring Sheet'!A409</f>
        <v/>
      </c>
      <c r="B409" s="80">
        <f>MID(INDEX('Anonymization Key'!$B$4:$B$1003,MATCH(A409,'Anonymization Key'!$A$4:$A$1003,0)),3,2)</f>
        <v/>
      </c>
      <c r="C409" s="81">
        <f>IF(ISNUMBER('Blind Scoring Sheet'!B409),'Blind Scoring Sheet'!B409,VALUE(TRIM(LEFT('Blind Scoring Sheet'!B409,FIND("|",'Blind Scoring Sheet'!B409)-1))))</f>
        <v/>
      </c>
      <c r="D409" s="81">
        <f>IF(ISNUMBER('Blind Scoring Sheet'!D409),'Blind Scoring Sheet'!D409,VALUE(TRIM(LEFT('Blind Scoring Sheet'!D409,FIND("|",'Blind Scoring Sheet'!D409)-1))))</f>
        <v/>
      </c>
      <c r="E409" s="81">
        <f>IF(ISNUMBER('Blind Scoring Sheet'!F409),'Blind Scoring Sheet'!F409,VALUE(TRIM(LEFT('Blind Scoring Sheet'!F409,FIND("|",'Blind Scoring Sheet'!F409)-1))))</f>
        <v/>
      </c>
      <c r="F409" s="81">
        <f>IF(ISNUMBER('Blind Scoring Sheet'!H409),'Blind Scoring Sheet'!H409,VALUE(TRIM(LEFT('Blind Scoring Sheet'!H409,FIND("|",'Blind Scoring Sheet'!H409)-1))))</f>
        <v/>
      </c>
      <c r="G409" s="81">
        <f>IF(ISNUMBER('Blind Scoring Sheet'!J409),'Blind Scoring Sheet'!J409,VALUE(TRIM(LEFT('Blind Scoring Sheet'!J409,FIND("|",'Blind Scoring Sheet'!J409)-1))))</f>
        <v/>
      </c>
      <c r="H409" s="80">
        <f>IF(ISNUMBER(SEARCH("|",'Blind Scoring Sheet'!K409)),TRIM(LEFT('Blind Scoring Sheet'!K409,FIND("|",'Blind Scoring Sheet'!K409)-1)),TRIM('Blind Scoring Sheet'!K409))</f>
        <v/>
      </c>
    </row>
    <row r="410" ht="15" customHeight="1" s="38">
      <c r="A410" s="80">
        <f>'Blind Scoring Sheet'!A410</f>
        <v/>
      </c>
      <c r="B410" s="80">
        <f>MID(INDEX('Anonymization Key'!$B$4:$B$1003,MATCH(A410,'Anonymization Key'!$A$4:$A$1003,0)),3,2)</f>
        <v/>
      </c>
      <c r="C410" s="81">
        <f>IF(ISNUMBER('Blind Scoring Sheet'!B410),'Blind Scoring Sheet'!B410,VALUE(TRIM(LEFT('Blind Scoring Sheet'!B410,FIND("|",'Blind Scoring Sheet'!B410)-1))))</f>
        <v/>
      </c>
      <c r="D410" s="81">
        <f>IF(ISNUMBER('Blind Scoring Sheet'!D410),'Blind Scoring Sheet'!D410,VALUE(TRIM(LEFT('Blind Scoring Sheet'!D410,FIND("|",'Blind Scoring Sheet'!D410)-1))))</f>
        <v/>
      </c>
      <c r="E410" s="81">
        <f>IF(ISNUMBER('Blind Scoring Sheet'!F410),'Blind Scoring Sheet'!F410,VALUE(TRIM(LEFT('Blind Scoring Sheet'!F410,FIND("|",'Blind Scoring Sheet'!F410)-1))))</f>
        <v/>
      </c>
      <c r="F410" s="81">
        <f>IF(ISNUMBER('Blind Scoring Sheet'!H410),'Blind Scoring Sheet'!H410,VALUE(TRIM(LEFT('Blind Scoring Sheet'!H410,FIND("|",'Blind Scoring Sheet'!H410)-1))))</f>
        <v/>
      </c>
      <c r="G410" s="81">
        <f>IF(ISNUMBER('Blind Scoring Sheet'!J410),'Blind Scoring Sheet'!J410,VALUE(TRIM(LEFT('Blind Scoring Sheet'!J410,FIND("|",'Blind Scoring Sheet'!J410)-1))))</f>
        <v/>
      </c>
      <c r="H410" s="80">
        <f>IF(ISNUMBER(SEARCH("|",'Blind Scoring Sheet'!K410)),TRIM(LEFT('Blind Scoring Sheet'!K410,FIND("|",'Blind Scoring Sheet'!K410)-1)),TRIM('Blind Scoring Sheet'!K410))</f>
        <v/>
      </c>
    </row>
    <row r="411" ht="15" customHeight="1" s="38">
      <c r="A411" s="80">
        <f>'Blind Scoring Sheet'!A411</f>
        <v/>
      </c>
      <c r="B411" s="80">
        <f>MID(INDEX('Anonymization Key'!$B$4:$B$1003,MATCH(A411,'Anonymization Key'!$A$4:$A$1003,0)),3,2)</f>
        <v/>
      </c>
      <c r="C411" s="81">
        <f>IF(ISNUMBER('Blind Scoring Sheet'!B411),'Blind Scoring Sheet'!B411,VALUE(TRIM(LEFT('Blind Scoring Sheet'!B411,FIND("|",'Blind Scoring Sheet'!B411)-1))))</f>
        <v/>
      </c>
      <c r="D411" s="81">
        <f>IF(ISNUMBER('Blind Scoring Sheet'!D411),'Blind Scoring Sheet'!D411,VALUE(TRIM(LEFT('Blind Scoring Sheet'!D411,FIND("|",'Blind Scoring Sheet'!D411)-1))))</f>
        <v/>
      </c>
      <c r="E411" s="81">
        <f>IF(ISNUMBER('Blind Scoring Sheet'!F411),'Blind Scoring Sheet'!F411,VALUE(TRIM(LEFT('Blind Scoring Sheet'!F411,FIND("|",'Blind Scoring Sheet'!F411)-1))))</f>
        <v/>
      </c>
      <c r="F411" s="81">
        <f>IF(ISNUMBER('Blind Scoring Sheet'!H411),'Blind Scoring Sheet'!H411,VALUE(TRIM(LEFT('Blind Scoring Sheet'!H411,FIND("|",'Blind Scoring Sheet'!H411)-1))))</f>
        <v/>
      </c>
      <c r="G411" s="81">
        <f>IF(ISNUMBER('Blind Scoring Sheet'!J411),'Blind Scoring Sheet'!J411,VALUE(TRIM(LEFT('Blind Scoring Sheet'!J411,FIND("|",'Blind Scoring Sheet'!J411)-1))))</f>
        <v/>
      </c>
      <c r="H411" s="80">
        <f>IF(ISNUMBER(SEARCH("|",'Blind Scoring Sheet'!K411)),TRIM(LEFT('Blind Scoring Sheet'!K411,FIND("|",'Blind Scoring Sheet'!K411)-1)),TRIM('Blind Scoring Sheet'!K411))</f>
        <v/>
      </c>
    </row>
    <row r="412" ht="15" customHeight="1" s="38">
      <c r="A412" s="80">
        <f>'Blind Scoring Sheet'!A412</f>
        <v/>
      </c>
      <c r="B412" s="80">
        <f>MID(INDEX('Anonymization Key'!$B$4:$B$1003,MATCH(A412,'Anonymization Key'!$A$4:$A$1003,0)),3,2)</f>
        <v/>
      </c>
      <c r="C412" s="81">
        <f>IF(ISNUMBER('Blind Scoring Sheet'!B412),'Blind Scoring Sheet'!B412,VALUE(TRIM(LEFT('Blind Scoring Sheet'!B412,FIND("|",'Blind Scoring Sheet'!B412)-1))))</f>
        <v/>
      </c>
      <c r="D412" s="81">
        <f>IF(ISNUMBER('Blind Scoring Sheet'!D412),'Blind Scoring Sheet'!D412,VALUE(TRIM(LEFT('Blind Scoring Sheet'!D412,FIND("|",'Blind Scoring Sheet'!D412)-1))))</f>
        <v/>
      </c>
      <c r="E412" s="81">
        <f>IF(ISNUMBER('Blind Scoring Sheet'!F412),'Blind Scoring Sheet'!F412,VALUE(TRIM(LEFT('Blind Scoring Sheet'!F412,FIND("|",'Blind Scoring Sheet'!F412)-1))))</f>
        <v/>
      </c>
      <c r="F412" s="81">
        <f>IF(ISNUMBER('Blind Scoring Sheet'!H412),'Blind Scoring Sheet'!H412,VALUE(TRIM(LEFT('Blind Scoring Sheet'!H412,FIND("|",'Blind Scoring Sheet'!H412)-1))))</f>
        <v/>
      </c>
      <c r="G412" s="81">
        <f>IF(ISNUMBER('Blind Scoring Sheet'!J412),'Blind Scoring Sheet'!J412,VALUE(TRIM(LEFT('Blind Scoring Sheet'!J412,FIND("|",'Blind Scoring Sheet'!J412)-1))))</f>
        <v/>
      </c>
      <c r="H412" s="80">
        <f>IF(ISNUMBER(SEARCH("|",'Blind Scoring Sheet'!K412)),TRIM(LEFT('Blind Scoring Sheet'!K412,FIND("|",'Blind Scoring Sheet'!K412)-1)),TRIM('Blind Scoring Sheet'!K412))</f>
        <v/>
      </c>
    </row>
    <row r="413" ht="15" customHeight="1" s="38">
      <c r="A413" s="80">
        <f>'Blind Scoring Sheet'!A413</f>
        <v/>
      </c>
      <c r="B413" s="80">
        <f>MID(INDEX('Anonymization Key'!$B$4:$B$1003,MATCH(A413,'Anonymization Key'!$A$4:$A$1003,0)),3,2)</f>
        <v/>
      </c>
      <c r="C413" s="81">
        <f>IF(ISNUMBER('Blind Scoring Sheet'!B413),'Blind Scoring Sheet'!B413,VALUE(TRIM(LEFT('Blind Scoring Sheet'!B413,FIND("|",'Blind Scoring Sheet'!B413)-1))))</f>
        <v/>
      </c>
      <c r="D413" s="81">
        <f>IF(ISNUMBER('Blind Scoring Sheet'!D413),'Blind Scoring Sheet'!D413,VALUE(TRIM(LEFT('Blind Scoring Sheet'!D413,FIND("|",'Blind Scoring Sheet'!D413)-1))))</f>
        <v/>
      </c>
      <c r="E413" s="81">
        <f>IF(ISNUMBER('Blind Scoring Sheet'!F413),'Blind Scoring Sheet'!F413,VALUE(TRIM(LEFT('Blind Scoring Sheet'!F413,FIND("|",'Blind Scoring Sheet'!F413)-1))))</f>
        <v/>
      </c>
      <c r="F413" s="81">
        <f>IF(ISNUMBER('Blind Scoring Sheet'!H413),'Blind Scoring Sheet'!H413,VALUE(TRIM(LEFT('Blind Scoring Sheet'!H413,FIND("|",'Blind Scoring Sheet'!H413)-1))))</f>
        <v/>
      </c>
      <c r="G413" s="81">
        <f>IF(ISNUMBER('Blind Scoring Sheet'!J413),'Blind Scoring Sheet'!J413,VALUE(TRIM(LEFT('Blind Scoring Sheet'!J413,FIND("|",'Blind Scoring Sheet'!J413)-1))))</f>
        <v/>
      </c>
      <c r="H413" s="80">
        <f>IF(ISNUMBER(SEARCH("|",'Blind Scoring Sheet'!K413)),TRIM(LEFT('Blind Scoring Sheet'!K413,FIND("|",'Blind Scoring Sheet'!K413)-1)),TRIM('Blind Scoring Sheet'!K413))</f>
        <v/>
      </c>
    </row>
    <row r="414" ht="15" customHeight="1" s="38">
      <c r="A414" s="80">
        <f>'Blind Scoring Sheet'!A414</f>
        <v/>
      </c>
      <c r="B414" s="80">
        <f>MID(INDEX('Anonymization Key'!$B$4:$B$1003,MATCH(A414,'Anonymization Key'!$A$4:$A$1003,0)),3,2)</f>
        <v/>
      </c>
      <c r="C414" s="81">
        <f>IF(ISNUMBER('Blind Scoring Sheet'!B414),'Blind Scoring Sheet'!B414,VALUE(TRIM(LEFT('Blind Scoring Sheet'!B414,FIND("|",'Blind Scoring Sheet'!B414)-1))))</f>
        <v/>
      </c>
      <c r="D414" s="81">
        <f>IF(ISNUMBER('Blind Scoring Sheet'!D414),'Blind Scoring Sheet'!D414,VALUE(TRIM(LEFT('Blind Scoring Sheet'!D414,FIND("|",'Blind Scoring Sheet'!D414)-1))))</f>
        <v/>
      </c>
      <c r="E414" s="81">
        <f>IF(ISNUMBER('Blind Scoring Sheet'!F414),'Blind Scoring Sheet'!F414,VALUE(TRIM(LEFT('Blind Scoring Sheet'!F414,FIND("|",'Blind Scoring Sheet'!F414)-1))))</f>
        <v/>
      </c>
      <c r="F414" s="81">
        <f>IF(ISNUMBER('Blind Scoring Sheet'!H414),'Blind Scoring Sheet'!H414,VALUE(TRIM(LEFT('Blind Scoring Sheet'!H414,FIND("|",'Blind Scoring Sheet'!H414)-1))))</f>
        <v/>
      </c>
      <c r="G414" s="81">
        <f>IF(ISNUMBER('Blind Scoring Sheet'!J414),'Blind Scoring Sheet'!J414,VALUE(TRIM(LEFT('Blind Scoring Sheet'!J414,FIND("|",'Blind Scoring Sheet'!J414)-1))))</f>
        <v/>
      </c>
      <c r="H414" s="80">
        <f>IF(ISNUMBER(SEARCH("|",'Blind Scoring Sheet'!K414)),TRIM(LEFT('Blind Scoring Sheet'!K414,FIND("|",'Blind Scoring Sheet'!K414)-1)),TRIM('Blind Scoring Sheet'!K414))</f>
        <v/>
      </c>
    </row>
    <row r="415" ht="15" customHeight="1" s="38">
      <c r="A415" s="80">
        <f>'Blind Scoring Sheet'!A415</f>
        <v/>
      </c>
      <c r="B415" s="80">
        <f>MID(INDEX('Anonymization Key'!$B$4:$B$1003,MATCH(A415,'Anonymization Key'!$A$4:$A$1003,0)),3,2)</f>
        <v/>
      </c>
      <c r="C415" s="81">
        <f>IF(ISNUMBER('Blind Scoring Sheet'!B415),'Blind Scoring Sheet'!B415,VALUE(TRIM(LEFT('Blind Scoring Sheet'!B415,FIND("|",'Blind Scoring Sheet'!B415)-1))))</f>
        <v/>
      </c>
      <c r="D415" s="81">
        <f>IF(ISNUMBER('Blind Scoring Sheet'!D415),'Blind Scoring Sheet'!D415,VALUE(TRIM(LEFT('Blind Scoring Sheet'!D415,FIND("|",'Blind Scoring Sheet'!D415)-1))))</f>
        <v/>
      </c>
      <c r="E415" s="81">
        <f>IF(ISNUMBER('Blind Scoring Sheet'!F415),'Blind Scoring Sheet'!F415,VALUE(TRIM(LEFT('Blind Scoring Sheet'!F415,FIND("|",'Blind Scoring Sheet'!F415)-1))))</f>
        <v/>
      </c>
      <c r="F415" s="81">
        <f>IF(ISNUMBER('Blind Scoring Sheet'!H415),'Blind Scoring Sheet'!H415,VALUE(TRIM(LEFT('Blind Scoring Sheet'!H415,FIND("|",'Blind Scoring Sheet'!H415)-1))))</f>
        <v/>
      </c>
      <c r="G415" s="81">
        <f>IF(ISNUMBER('Blind Scoring Sheet'!J415),'Blind Scoring Sheet'!J415,VALUE(TRIM(LEFT('Blind Scoring Sheet'!J415,FIND("|",'Blind Scoring Sheet'!J415)-1))))</f>
        <v/>
      </c>
      <c r="H415" s="80">
        <f>IF(ISNUMBER(SEARCH("|",'Blind Scoring Sheet'!K415)),TRIM(LEFT('Blind Scoring Sheet'!K415,FIND("|",'Blind Scoring Sheet'!K415)-1)),TRIM('Blind Scoring Sheet'!K415))</f>
        <v/>
      </c>
    </row>
    <row r="416" ht="15" customHeight="1" s="38">
      <c r="A416" s="80">
        <f>'Blind Scoring Sheet'!A416</f>
        <v/>
      </c>
      <c r="B416" s="80">
        <f>MID(INDEX('Anonymization Key'!$B$4:$B$1003,MATCH(A416,'Anonymization Key'!$A$4:$A$1003,0)),3,2)</f>
        <v/>
      </c>
      <c r="C416" s="81">
        <f>IF(ISNUMBER('Blind Scoring Sheet'!B416),'Blind Scoring Sheet'!B416,VALUE(TRIM(LEFT('Blind Scoring Sheet'!B416,FIND("|",'Blind Scoring Sheet'!B416)-1))))</f>
        <v/>
      </c>
      <c r="D416" s="81">
        <f>IF(ISNUMBER('Blind Scoring Sheet'!D416),'Blind Scoring Sheet'!D416,VALUE(TRIM(LEFT('Blind Scoring Sheet'!D416,FIND("|",'Blind Scoring Sheet'!D416)-1))))</f>
        <v/>
      </c>
      <c r="E416" s="81">
        <f>IF(ISNUMBER('Blind Scoring Sheet'!F416),'Blind Scoring Sheet'!F416,VALUE(TRIM(LEFT('Blind Scoring Sheet'!F416,FIND("|",'Blind Scoring Sheet'!F416)-1))))</f>
        <v/>
      </c>
      <c r="F416" s="81">
        <f>IF(ISNUMBER('Blind Scoring Sheet'!H416),'Blind Scoring Sheet'!H416,VALUE(TRIM(LEFT('Blind Scoring Sheet'!H416,FIND("|",'Blind Scoring Sheet'!H416)-1))))</f>
        <v/>
      </c>
      <c r="G416" s="81">
        <f>IF(ISNUMBER('Blind Scoring Sheet'!J416),'Blind Scoring Sheet'!J416,VALUE(TRIM(LEFT('Blind Scoring Sheet'!J416,FIND("|",'Blind Scoring Sheet'!J416)-1))))</f>
        <v/>
      </c>
      <c r="H416" s="80">
        <f>IF(ISNUMBER(SEARCH("|",'Blind Scoring Sheet'!K416)),TRIM(LEFT('Blind Scoring Sheet'!K416,FIND("|",'Blind Scoring Sheet'!K416)-1)),TRIM('Blind Scoring Sheet'!K416))</f>
        <v/>
      </c>
    </row>
    <row r="417" ht="15" customHeight="1" s="38">
      <c r="A417" s="80">
        <f>'Blind Scoring Sheet'!A417</f>
        <v/>
      </c>
      <c r="B417" s="80">
        <f>MID(INDEX('Anonymization Key'!$B$4:$B$1003,MATCH(A417,'Anonymization Key'!$A$4:$A$1003,0)),3,2)</f>
        <v/>
      </c>
      <c r="C417" s="81">
        <f>IF(ISNUMBER('Blind Scoring Sheet'!B417),'Blind Scoring Sheet'!B417,VALUE(TRIM(LEFT('Blind Scoring Sheet'!B417,FIND("|",'Blind Scoring Sheet'!B417)-1))))</f>
        <v/>
      </c>
      <c r="D417" s="81">
        <f>IF(ISNUMBER('Blind Scoring Sheet'!D417),'Blind Scoring Sheet'!D417,VALUE(TRIM(LEFT('Blind Scoring Sheet'!D417,FIND("|",'Blind Scoring Sheet'!D417)-1))))</f>
        <v/>
      </c>
      <c r="E417" s="81">
        <f>IF(ISNUMBER('Blind Scoring Sheet'!F417),'Blind Scoring Sheet'!F417,VALUE(TRIM(LEFT('Blind Scoring Sheet'!F417,FIND("|",'Blind Scoring Sheet'!F417)-1))))</f>
        <v/>
      </c>
      <c r="F417" s="81">
        <f>IF(ISNUMBER('Blind Scoring Sheet'!H417),'Blind Scoring Sheet'!H417,VALUE(TRIM(LEFT('Blind Scoring Sheet'!H417,FIND("|",'Blind Scoring Sheet'!H417)-1))))</f>
        <v/>
      </c>
      <c r="G417" s="81">
        <f>IF(ISNUMBER('Blind Scoring Sheet'!J417),'Blind Scoring Sheet'!J417,VALUE(TRIM(LEFT('Blind Scoring Sheet'!J417,FIND("|",'Blind Scoring Sheet'!J417)-1))))</f>
        <v/>
      </c>
      <c r="H417" s="80">
        <f>IF(ISNUMBER(SEARCH("|",'Blind Scoring Sheet'!K417)),TRIM(LEFT('Blind Scoring Sheet'!K417,FIND("|",'Blind Scoring Sheet'!K417)-1)),TRIM('Blind Scoring Sheet'!K417))</f>
        <v/>
      </c>
    </row>
    <row r="418" ht="15" customHeight="1" s="38">
      <c r="A418" s="80">
        <f>'Blind Scoring Sheet'!A418</f>
        <v/>
      </c>
      <c r="B418" s="80">
        <f>MID(INDEX('Anonymization Key'!$B$4:$B$1003,MATCH(A418,'Anonymization Key'!$A$4:$A$1003,0)),3,2)</f>
        <v/>
      </c>
      <c r="C418" s="81">
        <f>IF(ISNUMBER('Blind Scoring Sheet'!B418),'Blind Scoring Sheet'!B418,VALUE(TRIM(LEFT('Blind Scoring Sheet'!B418,FIND("|",'Blind Scoring Sheet'!B418)-1))))</f>
        <v/>
      </c>
      <c r="D418" s="81">
        <f>IF(ISNUMBER('Blind Scoring Sheet'!D418),'Blind Scoring Sheet'!D418,VALUE(TRIM(LEFT('Blind Scoring Sheet'!D418,FIND("|",'Blind Scoring Sheet'!D418)-1))))</f>
        <v/>
      </c>
      <c r="E418" s="81">
        <f>IF(ISNUMBER('Blind Scoring Sheet'!F418),'Blind Scoring Sheet'!F418,VALUE(TRIM(LEFT('Blind Scoring Sheet'!F418,FIND("|",'Blind Scoring Sheet'!F418)-1))))</f>
        <v/>
      </c>
      <c r="F418" s="81">
        <f>IF(ISNUMBER('Blind Scoring Sheet'!H418),'Blind Scoring Sheet'!H418,VALUE(TRIM(LEFT('Blind Scoring Sheet'!H418,FIND("|",'Blind Scoring Sheet'!H418)-1))))</f>
        <v/>
      </c>
      <c r="G418" s="81">
        <f>IF(ISNUMBER('Blind Scoring Sheet'!J418),'Blind Scoring Sheet'!J418,VALUE(TRIM(LEFT('Blind Scoring Sheet'!J418,FIND("|",'Blind Scoring Sheet'!J418)-1))))</f>
        <v/>
      </c>
      <c r="H418" s="80">
        <f>IF(ISNUMBER(SEARCH("|",'Blind Scoring Sheet'!K418)),TRIM(LEFT('Blind Scoring Sheet'!K418,FIND("|",'Blind Scoring Sheet'!K418)-1)),TRIM('Blind Scoring Sheet'!K418))</f>
        <v/>
      </c>
    </row>
    <row r="419" ht="15" customHeight="1" s="38">
      <c r="A419" s="80">
        <f>'Blind Scoring Sheet'!A419</f>
        <v/>
      </c>
      <c r="B419" s="80">
        <f>MID(INDEX('Anonymization Key'!$B$4:$B$1003,MATCH(A419,'Anonymization Key'!$A$4:$A$1003,0)),3,2)</f>
        <v/>
      </c>
      <c r="C419" s="81">
        <f>IF(ISNUMBER('Blind Scoring Sheet'!B419),'Blind Scoring Sheet'!B419,VALUE(TRIM(LEFT('Blind Scoring Sheet'!B419,FIND("|",'Blind Scoring Sheet'!B419)-1))))</f>
        <v/>
      </c>
      <c r="D419" s="81">
        <f>IF(ISNUMBER('Blind Scoring Sheet'!D419),'Blind Scoring Sheet'!D419,VALUE(TRIM(LEFT('Blind Scoring Sheet'!D419,FIND("|",'Blind Scoring Sheet'!D419)-1))))</f>
        <v/>
      </c>
      <c r="E419" s="81">
        <f>IF(ISNUMBER('Blind Scoring Sheet'!F419),'Blind Scoring Sheet'!F419,VALUE(TRIM(LEFT('Blind Scoring Sheet'!F419,FIND("|",'Blind Scoring Sheet'!F419)-1))))</f>
        <v/>
      </c>
      <c r="F419" s="81">
        <f>IF(ISNUMBER('Blind Scoring Sheet'!H419),'Blind Scoring Sheet'!H419,VALUE(TRIM(LEFT('Blind Scoring Sheet'!H419,FIND("|",'Blind Scoring Sheet'!H419)-1))))</f>
        <v/>
      </c>
      <c r="G419" s="81">
        <f>IF(ISNUMBER('Blind Scoring Sheet'!J419),'Blind Scoring Sheet'!J419,VALUE(TRIM(LEFT('Blind Scoring Sheet'!J419,FIND("|",'Blind Scoring Sheet'!J419)-1))))</f>
        <v/>
      </c>
      <c r="H419" s="80">
        <f>IF(ISNUMBER(SEARCH("|",'Blind Scoring Sheet'!K419)),TRIM(LEFT('Blind Scoring Sheet'!K419,FIND("|",'Blind Scoring Sheet'!K419)-1)),TRIM('Blind Scoring Sheet'!K419))</f>
        <v/>
      </c>
    </row>
    <row r="420" ht="15" customHeight="1" s="38">
      <c r="A420" s="80">
        <f>'Blind Scoring Sheet'!A420</f>
        <v/>
      </c>
      <c r="B420" s="80">
        <f>MID(INDEX('Anonymization Key'!$B$4:$B$1003,MATCH(A420,'Anonymization Key'!$A$4:$A$1003,0)),3,2)</f>
        <v/>
      </c>
      <c r="C420" s="81">
        <f>IF(ISNUMBER('Blind Scoring Sheet'!B420),'Blind Scoring Sheet'!B420,VALUE(TRIM(LEFT('Blind Scoring Sheet'!B420,FIND("|",'Blind Scoring Sheet'!B420)-1))))</f>
        <v/>
      </c>
      <c r="D420" s="81">
        <f>IF(ISNUMBER('Blind Scoring Sheet'!D420),'Blind Scoring Sheet'!D420,VALUE(TRIM(LEFT('Blind Scoring Sheet'!D420,FIND("|",'Blind Scoring Sheet'!D420)-1))))</f>
        <v/>
      </c>
      <c r="E420" s="81">
        <f>IF(ISNUMBER('Blind Scoring Sheet'!F420),'Blind Scoring Sheet'!F420,VALUE(TRIM(LEFT('Blind Scoring Sheet'!F420,FIND("|",'Blind Scoring Sheet'!F420)-1))))</f>
        <v/>
      </c>
      <c r="F420" s="81">
        <f>IF(ISNUMBER('Blind Scoring Sheet'!H420),'Blind Scoring Sheet'!H420,VALUE(TRIM(LEFT('Blind Scoring Sheet'!H420,FIND("|",'Blind Scoring Sheet'!H420)-1))))</f>
        <v/>
      </c>
      <c r="G420" s="81">
        <f>IF(ISNUMBER('Blind Scoring Sheet'!J420),'Blind Scoring Sheet'!J420,VALUE(TRIM(LEFT('Blind Scoring Sheet'!J420,FIND("|",'Blind Scoring Sheet'!J420)-1))))</f>
        <v/>
      </c>
      <c r="H420" s="80">
        <f>IF(ISNUMBER(SEARCH("|",'Blind Scoring Sheet'!K420)),TRIM(LEFT('Blind Scoring Sheet'!K420,FIND("|",'Blind Scoring Sheet'!K420)-1)),TRIM('Blind Scoring Sheet'!K420))</f>
        <v/>
      </c>
    </row>
    <row r="421" ht="15" customHeight="1" s="38">
      <c r="A421" s="80">
        <f>'Blind Scoring Sheet'!A421</f>
        <v/>
      </c>
      <c r="B421" s="80">
        <f>MID(INDEX('Anonymization Key'!$B$4:$B$1003,MATCH(A421,'Anonymization Key'!$A$4:$A$1003,0)),3,2)</f>
        <v/>
      </c>
      <c r="C421" s="81">
        <f>IF(ISNUMBER('Blind Scoring Sheet'!B421),'Blind Scoring Sheet'!B421,VALUE(TRIM(LEFT('Blind Scoring Sheet'!B421,FIND("|",'Blind Scoring Sheet'!B421)-1))))</f>
        <v/>
      </c>
      <c r="D421" s="81">
        <f>IF(ISNUMBER('Blind Scoring Sheet'!D421),'Blind Scoring Sheet'!D421,VALUE(TRIM(LEFT('Blind Scoring Sheet'!D421,FIND("|",'Blind Scoring Sheet'!D421)-1))))</f>
        <v/>
      </c>
      <c r="E421" s="81">
        <f>IF(ISNUMBER('Blind Scoring Sheet'!F421),'Blind Scoring Sheet'!F421,VALUE(TRIM(LEFT('Blind Scoring Sheet'!F421,FIND("|",'Blind Scoring Sheet'!F421)-1))))</f>
        <v/>
      </c>
      <c r="F421" s="81">
        <f>IF(ISNUMBER('Blind Scoring Sheet'!H421),'Blind Scoring Sheet'!H421,VALUE(TRIM(LEFT('Blind Scoring Sheet'!H421,FIND("|",'Blind Scoring Sheet'!H421)-1))))</f>
        <v/>
      </c>
      <c r="G421" s="81">
        <f>IF(ISNUMBER('Blind Scoring Sheet'!J421),'Blind Scoring Sheet'!J421,VALUE(TRIM(LEFT('Blind Scoring Sheet'!J421,FIND("|",'Blind Scoring Sheet'!J421)-1))))</f>
        <v/>
      </c>
      <c r="H421" s="80">
        <f>IF(ISNUMBER(SEARCH("|",'Blind Scoring Sheet'!K421)),TRIM(LEFT('Blind Scoring Sheet'!K421,FIND("|",'Blind Scoring Sheet'!K421)-1)),TRIM('Blind Scoring Sheet'!K421))</f>
        <v/>
      </c>
    </row>
    <row r="422" ht="15" customHeight="1" s="38">
      <c r="A422" s="80">
        <f>'Blind Scoring Sheet'!A422</f>
        <v/>
      </c>
      <c r="B422" s="80">
        <f>MID(INDEX('Anonymization Key'!$B$4:$B$1003,MATCH(A422,'Anonymization Key'!$A$4:$A$1003,0)),3,2)</f>
        <v/>
      </c>
      <c r="C422" s="81">
        <f>IF(ISNUMBER('Blind Scoring Sheet'!B422),'Blind Scoring Sheet'!B422,VALUE(TRIM(LEFT('Blind Scoring Sheet'!B422,FIND("|",'Blind Scoring Sheet'!B422)-1))))</f>
        <v/>
      </c>
      <c r="D422" s="81">
        <f>IF(ISNUMBER('Blind Scoring Sheet'!D422),'Blind Scoring Sheet'!D422,VALUE(TRIM(LEFT('Blind Scoring Sheet'!D422,FIND("|",'Blind Scoring Sheet'!D422)-1))))</f>
        <v/>
      </c>
      <c r="E422" s="81">
        <f>IF(ISNUMBER('Blind Scoring Sheet'!F422),'Blind Scoring Sheet'!F422,VALUE(TRIM(LEFT('Blind Scoring Sheet'!F422,FIND("|",'Blind Scoring Sheet'!F422)-1))))</f>
        <v/>
      </c>
      <c r="F422" s="81">
        <f>IF(ISNUMBER('Blind Scoring Sheet'!H422),'Blind Scoring Sheet'!H422,VALUE(TRIM(LEFT('Blind Scoring Sheet'!H422,FIND("|",'Blind Scoring Sheet'!H422)-1))))</f>
        <v/>
      </c>
      <c r="G422" s="81">
        <f>IF(ISNUMBER('Blind Scoring Sheet'!J422),'Blind Scoring Sheet'!J422,VALUE(TRIM(LEFT('Blind Scoring Sheet'!J422,FIND("|",'Blind Scoring Sheet'!J422)-1))))</f>
        <v/>
      </c>
      <c r="H422" s="80">
        <f>IF(ISNUMBER(SEARCH("|",'Blind Scoring Sheet'!K422)),TRIM(LEFT('Blind Scoring Sheet'!K422,FIND("|",'Blind Scoring Sheet'!K422)-1)),TRIM('Blind Scoring Sheet'!K422))</f>
        <v/>
      </c>
    </row>
    <row r="423" ht="15" customHeight="1" s="38">
      <c r="A423" s="80">
        <f>'Blind Scoring Sheet'!A423</f>
        <v/>
      </c>
      <c r="B423" s="80">
        <f>MID(INDEX('Anonymization Key'!$B$4:$B$1003,MATCH(A423,'Anonymization Key'!$A$4:$A$1003,0)),3,2)</f>
        <v/>
      </c>
      <c r="C423" s="81">
        <f>IF(ISNUMBER('Blind Scoring Sheet'!B423),'Blind Scoring Sheet'!B423,VALUE(TRIM(LEFT('Blind Scoring Sheet'!B423,FIND("|",'Blind Scoring Sheet'!B423)-1))))</f>
        <v/>
      </c>
      <c r="D423" s="81">
        <f>IF(ISNUMBER('Blind Scoring Sheet'!D423),'Blind Scoring Sheet'!D423,VALUE(TRIM(LEFT('Blind Scoring Sheet'!D423,FIND("|",'Blind Scoring Sheet'!D423)-1))))</f>
        <v/>
      </c>
      <c r="E423" s="81">
        <f>IF(ISNUMBER('Blind Scoring Sheet'!F423),'Blind Scoring Sheet'!F423,VALUE(TRIM(LEFT('Blind Scoring Sheet'!F423,FIND("|",'Blind Scoring Sheet'!F423)-1))))</f>
        <v/>
      </c>
      <c r="F423" s="81">
        <f>IF(ISNUMBER('Blind Scoring Sheet'!H423),'Blind Scoring Sheet'!H423,VALUE(TRIM(LEFT('Blind Scoring Sheet'!H423,FIND("|",'Blind Scoring Sheet'!H423)-1))))</f>
        <v/>
      </c>
      <c r="G423" s="81">
        <f>IF(ISNUMBER('Blind Scoring Sheet'!J423),'Blind Scoring Sheet'!J423,VALUE(TRIM(LEFT('Blind Scoring Sheet'!J423,FIND("|",'Blind Scoring Sheet'!J423)-1))))</f>
        <v/>
      </c>
      <c r="H423" s="80">
        <f>IF(ISNUMBER(SEARCH("|",'Blind Scoring Sheet'!K423)),TRIM(LEFT('Blind Scoring Sheet'!K423,FIND("|",'Blind Scoring Sheet'!K423)-1)),TRIM('Blind Scoring Sheet'!K423))</f>
        <v/>
      </c>
    </row>
    <row r="424" ht="15" customHeight="1" s="38">
      <c r="A424" s="80">
        <f>'Blind Scoring Sheet'!A424</f>
        <v/>
      </c>
      <c r="B424" s="80">
        <f>MID(INDEX('Anonymization Key'!$B$4:$B$1003,MATCH(A424,'Anonymization Key'!$A$4:$A$1003,0)),3,2)</f>
        <v/>
      </c>
      <c r="C424" s="81">
        <f>IF(ISNUMBER('Blind Scoring Sheet'!B424),'Blind Scoring Sheet'!B424,VALUE(TRIM(LEFT('Blind Scoring Sheet'!B424,FIND("|",'Blind Scoring Sheet'!B424)-1))))</f>
        <v/>
      </c>
      <c r="D424" s="81">
        <f>IF(ISNUMBER('Blind Scoring Sheet'!D424),'Blind Scoring Sheet'!D424,VALUE(TRIM(LEFT('Blind Scoring Sheet'!D424,FIND("|",'Blind Scoring Sheet'!D424)-1))))</f>
        <v/>
      </c>
      <c r="E424" s="81">
        <f>IF(ISNUMBER('Blind Scoring Sheet'!F424),'Blind Scoring Sheet'!F424,VALUE(TRIM(LEFT('Blind Scoring Sheet'!F424,FIND("|",'Blind Scoring Sheet'!F424)-1))))</f>
        <v/>
      </c>
      <c r="F424" s="81">
        <f>IF(ISNUMBER('Blind Scoring Sheet'!H424),'Blind Scoring Sheet'!H424,VALUE(TRIM(LEFT('Blind Scoring Sheet'!H424,FIND("|",'Blind Scoring Sheet'!H424)-1))))</f>
        <v/>
      </c>
      <c r="G424" s="81">
        <f>IF(ISNUMBER('Blind Scoring Sheet'!J424),'Blind Scoring Sheet'!J424,VALUE(TRIM(LEFT('Blind Scoring Sheet'!J424,FIND("|",'Blind Scoring Sheet'!J424)-1))))</f>
        <v/>
      </c>
      <c r="H424" s="80">
        <f>IF(ISNUMBER(SEARCH("|",'Blind Scoring Sheet'!K424)),TRIM(LEFT('Blind Scoring Sheet'!K424,FIND("|",'Blind Scoring Sheet'!K424)-1)),TRIM('Blind Scoring Sheet'!K424))</f>
        <v/>
      </c>
    </row>
    <row r="425" ht="15" customHeight="1" s="38">
      <c r="A425" s="80">
        <f>'Blind Scoring Sheet'!A425</f>
        <v/>
      </c>
      <c r="B425" s="80">
        <f>MID(INDEX('Anonymization Key'!$B$4:$B$1003,MATCH(A425,'Anonymization Key'!$A$4:$A$1003,0)),3,2)</f>
        <v/>
      </c>
      <c r="C425" s="81">
        <f>IF(ISNUMBER('Blind Scoring Sheet'!B425),'Blind Scoring Sheet'!B425,VALUE(TRIM(LEFT('Blind Scoring Sheet'!B425,FIND("|",'Blind Scoring Sheet'!B425)-1))))</f>
        <v/>
      </c>
      <c r="D425" s="81">
        <f>IF(ISNUMBER('Blind Scoring Sheet'!D425),'Blind Scoring Sheet'!D425,VALUE(TRIM(LEFT('Blind Scoring Sheet'!D425,FIND("|",'Blind Scoring Sheet'!D425)-1))))</f>
        <v/>
      </c>
      <c r="E425" s="81">
        <f>IF(ISNUMBER('Blind Scoring Sheet'!F425),'Blind Scoring Sheet'!F425,VALUE(TRIM(LEFT('Blind Scoring Sheet'!F425,FIND("|",'Blind Scoring Sheet'!F425)-1))))</f>
        <v/>
      </c>
      <c r="F425" s="81">
        <f>IF(ISNUMBER('Blind Scoring Sheet'!H425),'Blind Scoring Sheet'!H425,VALUE(TRIM(LEFT('Blind Scoring Sheet'!H425,FIND("|",'Blind Scoring Sheet'!H425)-1))))</f>
        <v/>
      </c>
      <c r="G425" s="81">
        <f>IF(ISNUMBER('Blind Scoring Sheet'!J425),'Blind Scoring Sheet'!J425,VALUE(TRIM(LEFT('Blind Scoring Sheet'!J425,FIND("|",'Blind Scoring Sheet'!J425)-1))))</f>
        <v/>
      </c>
      <c r="H425" s="80">
        <f>IF(ISNUMBER(SEARCH("|",'Blind Scoring Sheet'!K425)),TRIM(LEFT('Blind Scoring Sheet'!K425,FIND("|",'Blind Scoring Sheet'!K425)-1)),TRIM('Blind Scoring Sheet'!K425))</f>
        <v/>
      </c>
    </row>
    <row r="426" ht="15" customHeight="1" s="38">
      <c r="A426" s="80">
        <f>'Blind Scoring Sheet'!A426</f>
        <v/>
      </c>
      <c r="B426" s="80">
        <f>MID(INDEX('Anonymization Key'!$B$4:$B$1003,MATCH(A426,'Anonymization Key'!$A$4:$A$1003,0)),3,2)</f>
        <v/>
      </c>
      <c r="C426" s="81">
        <f>IF(ISNUMBER('Blind Scoring Sheet'!B426),'Blind Scoring Sheet'!B426,VALUE(TRIM(LEFT('Blind Scoring Sheet'!B426,FIND("|",'Blind Scoring Sheet'!B426)-1))))</f>
        <v/>
      </c>
      <c r="D426" s="81">
        <f>IF(ISNUMBER('Blind Scoring Sheet'!D426),'Blind Scoring Sheet'!D426,VALUE(TRIM(LEFT('Blind Scoring Sheet'!D426,FIND("|",'Blind Scoring Sheet'!D426)-1))))</f>
        <v/>
      </c>
      <c r="E426" s="81">
        <f>IF(ISNUMBER('Blind Scoring Sheet'!F426),'Blind Scoring Sheet'!F426,VALUE(TRIM(LEFT('Blind Scoring Sheet'!F426,FIND("|",'Blind Scoring Sheet'!F426)-1))))</f>
        <v/>
      </c>
      <c r="F426" s="81">
        <f>IF(ISNUMBER('Blind Scoring Sheet'!H426),'Blind Scoring Sheet'!H426,VALUE(TRIM(LEFT('Blind Scoring Sheet'!H426,FIND("|",'Blind Scoring Sheet'!H426)-1))))</f>
        <v/>
      </c>
      <c r="G426" s="81">
        <f>IF(ISNUMBER('Blind Scoring Sheet'!J426),'Blind Scoring Sheet'!J426,VALUE(TRIM(LEFT('Blind Scoring Sheet'!J426,FIND("|",'Blind Scoring Sheet'!J426)-1))))</f>
        <v/>
      </c>
      <c r="H426" s="80">
        <f>IF(ISNUMBER(SEARCH("|",'Blind Scoring Sheet'!K426)),TRIM(LEFT('Blind Scoring Sheet'!K426,FIND("|",'Blind Scoring Sheet'!K426)-1)),TRIM('Blind Scoring Sheet'!K426))</f>
        <v/>
      </c>
    </row>
    <row r="427" ht="15" customHeight="1" s="38">
      <c r="A427" s="80">
        <f>'Blind Scoring Sheet'!A427</f>
        <v/>
      </c>
      <c r="B427" s="80">
        <f>MID(INDEX('Anonymization Key'!$B$4:$B$1003,MATCH(A427,'Anonymization Key'!$A$4:$A$1003,0)),3,2)</f>
        <v/>
      </c>
      <c r="C427" s="81">
        <f>IF(ISNUMBER('Blind Scoring Sheet'!B427),'Blind Scoring Sheet'!B427,VALUE(TRIM(LEFT('Blind Scoring Sheet'!B427,FIND("|",'Blind Scoring Sheet'!B427)-1))))</f>
        <v/>
      </c>
      <c r="D427" s="81">
        <f>IF(ISNUMBER('Blind Scoring Sheet'!D427),'Blind Scoring Sheet'!D427,VALUE(TRIM(LEFT('Blind Scoring Sheet'!D427,FIND("|",'Blind Scoring Sheet'!D427)-1))))</f>
        <v/>
      </c>
      <c r="E427" s="81">
        <f>IF(ISNUMBER('Blind Scoring Sheet'!F427),'Blind Scoring Sheet'!F427,VALUE(TRIM(LEFT('Blind Scoring Sheet'!F427,FIND("|",'Blind Scoring Sheet'!F427)-1))))</f>
        <v/>
      </c>
      <c r="F427" s="81">
        <f>IF(ISNUMBER('Blind Scoring Sheet'!H427),'Blind Scoring Sheet'!H427,VALUE(TRIM(LEFT('Blind Scoring Sheet'!H427,FIND("|",'Blind Scoring Sheet'!H427)-1))))</f>
        <v/>
      </c>
      <c r="G427" s="81">
        <f>IF(ISNUMBER('Blind Scoring Sheet'!J427),'Blind Scoring Sheet'!J427,VALUE(TRIM(LEFT('Blind Scoring Sheet'!J427,FIND("|",'Blind Scoring Sheet'!J427)-1))))</f>
        <v/>
      </c>
      <c r="H427" s="80">
        <f>IF(ISNUMBER(SEARCH("|",'Blind Scoring Sheet'!K427)),TRIM(LEFT('Blind Scoring Sheet'!K427,FIND("|",'Blind Scoring Sheet'!K427)-1)),TRIM('Blind Scoring Sheet'!K427))</f>
        <v/>
      </c>
    </row>
    <row r="428" ht="15" customHeight="1" s="38">
      <c r="A428" s="80">
        <f>'Blind Scoring Sheet'!A428</f>
        <v/>
      </c>
      <c r="B428" s="80">
        <f>MID(INDEX('Anonymization Key'!$B$4:$B$1003,MATCH(A428,'Anonymization Key'!$A$4:$A$1003,0)),3,2)</f>
        <v/>
      </c>
      <c r="C428" s="81">
        <f>IF(ISNUMBER('Blind Scoring Sheet'!B428),'Blind Scoring Sheet'!B428,VALUE(TRIM(LEFT('Blind Scoring Sheet'!B428,FIND("|",'Blind Scoring Sheet'!B428)-1))))</f>
        <v/>
      </c>
      <c r="D428" s="81">
        <f>IF(ISNUMBER('Blind Scoring Sheet'!D428),'Blind Scoring Sheet'!D428,VALUE(TRIM(LEFT('Blind Scoring Sheet'!D428,FIND("|",'Blind Scoring Sheet'!D428)-1))))</f>
        <v/>
      </c>
      <c r="E428" s="81">
        <f>IF(ISNUMBER('Blind Scoring Sheet'!F428),'Blind Scoring Sheet'!F428,VALUE(TRIM(LEFT('Blind Scoring Sheet'!F428,FIND("|",'Blind Scoring Sheet'!F428)-1))))</f>
        <v/>
      </c>
      <c r="F428" s="81">
        <f>IF(ISNUMBER('Blind Scoring Sheet'!H428),'Blind Scoring Sheet'!H428,VALUE(TRIM(LEFT('Blind Scoring Sheet'!H428,FIND("|",'Blind Scoring Sheet'!H428)-1))))</f>
        <v/>
      </c>
      <c r="G428" s="81">
        <f>IF(ISNUMBER('Blind Scoring Sheet'!J428),'Blind Scoring Sheet'!J428,VALUE(TRIM(LEFT('Blind Scoring Sheet'!J428,FIND("|",'Blind Scoring Sheet'!J428)-1))))</f>
        <v/>
      </c>
      <c r="H428" s="80">
        <f>IF(ISNUMBER(SEARCH("|",'Blind Scoring Sheet'!K428)),TRIM(LEFT('Blind Scoring Sheet'!K428,FIND("|",'Blind Scoring Sheet'!K428)-1)),TRIM('Blind Scoring Sheet'!K428))</f>
        <v/>
      </c>
    </row>
    <row r="429" ht="15" customHeight="1" s="38">
      <c r="A429" s="80">
        <f>'Blind Scoring Sheet'!A429</f>
        <v/>
      </c>
      <c r="B429" s="80">
        <f>MID(INDEX('Anonymization Key'!$B$4:$B$1003,MATCH(A429,'Anonymization Key'!$A$4:$A$1003,0)),3,2)</f>
        <v/>
      </c>
      <c r="C429" s="81">
        <f>IF(ISNUMBER('Blind Scoring Sheet'!B429),'Blind Scoring Sheet'!B429,VALUE(TRIM(LEFT('Blind Scoring Sheet'!B429,FIND("|",'Blind Scoring Sheet'!B429)-1))))</f>
        <v/>
      </c>
      <c r="D429" s="81">
        <f>IF(ISNUMBER('Blind Scoring Sheet'!D429),'Blind Scoring Sheet'!D429,VALUE(TRIM(LEFT('Blind Scoring Sheet'!D429,FIND("|",'Blind Scoring Sheet'!D429)-1))))</f>
        <v/>
      </c>
      <c r="E429" s="81">
        <f>IF(ISNUMBER('Blind Scoring Sheet'!F429),'Blind Scoring Sheet'!F429,VALUE(TRIM(LEFT('Blind Scoring Sheet'!F429,FIND("|",'Blind Scoring Sheet'!F429)-1))))</f>
        <v/>
      </c>
      <c r="F429" s="81">
        <f>IF(ISNUMBER('Blind Scoring Sheet'!H429),'Blind Scoring Sheet'!H429,VALUE(TRIM(LEFT('Blind Scoring Sheet'!H429,FIND("|",'Blind Scoring Sheet'!H429)-1))))</f>
        <v/>
      </c>
      <c r="G429" s="81">
        <f>IF(ISNUMBER('Blind Scoring Sheet'!J429),'Blind Scoring Sheet'!J429,VALUE(TRIM(LEFT('Blind Scoring Sheet'!J429,FIND("|",'Blind Scoring Sheet'!J429)-1))))</f>
        <v/>
      </c>
      <c r="H429" s="80">
        <f>IF(ISNUMBER(SEARCH("|",'Blind Scoring Sheet'!K429)),TRIM(LEFT('Blind Scoring Sheet'!K429,FIND("|",'Blind Scoring Sheet'!K429)-1)),TRIM('Blind Scoring Sheet'!K429))</f>
        <v/>
      </c>
    </row>
    <row r="430" ht="15" customHeight="1" s="38">
      <c r="A430" s="80">
        <f>'Blind Scoring Sheet'!A430</f>
        <v/>
      </c>
      <c r="B430" s="80">
        <f>MID(INDEX('Anonymization Key'!$B$4:$B$1003,MATCH(A430,'Anonymization Key'!$A$4:$A$1003,0)),3,2)</f>
        <v/>
      </c>
      <c r="C430" s="81">
        <f>IF(ISNUMBER('Blind Scoring Sheet'!B430),'Blind Scoring Sheet'!B430,VALUE(TRIM(LEFT('Blind Scoring Sheet'!B430,FIND("|",'Blind Scoring Sheet'!B430)-1))))</f>
        <v/>
      </c>
      <c r="D430" s="81">
        <f>IF(ISNUMBER('Blind Scoring Sheet'!D430),'Blind Scoring Sheet'!D430,VALUE(TRIM(LEFT('Blind Scoring Sheet'!D430,FIND("|",'Blind Scoring Sheet'!D430)-1))))</f>
        <v/>
      </c>
      <c r="E430" s="81">
        <f>IF(ISNUMBER('Blind Scoring Sheet'!F430),'Blind Scoring Sheet'!F430,VALUE(TRIM(LEFT('Blind Scoring Sheet'!F430,FIND("|",'Blind Scoring Sheet'!F430)-1))))</f>
        <v/>
      </c>
      <c r="F430" s="81">
        <f>IF(ISNUMBER('Blind Scoring Sheet'!H430),'Blind Scoring Sheet'!H430,VALUE(TRIM(LEFT('Blind Scoring Sheet'!H430,FIND("|",'Blind Scoring Sheet'!H430)-1))))</f>
        <v/>
      </c>
      <c r="G430" s="81">
        <f>IF(ISNUMBER('Blind Scoring Sheet'!J430),'Blind Scoring Sheet'!J430,VALUE(TRIM(LEFT('Blind Scoring Sheet'!J430,FIND("|",'Blind Scoring Sheet'!J430)-1))))</f>
        <v/>
      </c>
      <c r="H430" s="80">
        <f>IF(ISNUMBER(SEARCH("|",'Blind Scoring Sheet'!K430)),TRIM(LEFT('Blind Scoring Sheet'!K430,FIND("|",'Blind Scoring Sheet'!K430)-1)),TRIM('Blind Scoring Sheet'!K430))</f>
        <v/>
      </c>
    </row>
    <row r="431" ht="15" customHeight="1" s="38">
      <c r="A431" s="80">
        <f>'Blind Scoring Sheet'!A431</f>
        <v/>
      </c>
      <c r="B431" s="80">
        <f>MID(INDEX('Anonymization Key'!$B$4:$B$1003,MATCH(A431,'Anonymization Key'!$A$4:$A$1003,0)),3,2)</f>
        <v/>
      </c>
      <c r="C431" s="81">
        <f>IF(ISNUMBER('Blind Scoring Sheet'!B431),'Blind Scoring Sheet'!B431,VALUE(TRIM(LEFT('Blind Scoring Sheet'!B431,FIND("|",'Blind Scoring Sheet'!B431)-1))))</f>
        <v/>
      </c>
      <c r="D431" s="81">
        <f>IF(ISNUMBER('Blind Scoring Sheet'!D431),'Blind Scoring Sheet'!D431,VALUE(TRIM(LEFT('Blind Scoring Sheet'!D431,FIND("|",'Blind Scoring Sheet'!D431)-1))))</f>
        <v/>
      </c>
      <c r="E431" s="81">
        <f>IF(ISNUMBER('Blind Scoring Sheet'!F431),'Blind Scoring Sheet'!F431,VALUE(TRIM(LEFT('Blind Scoring Sheet'!F431,FIND("|",'Blind Scoring Sheet'!F431)-1))))</f>
        <v/>
      </c>
      <c r="F431" s="81">
        <f>IF(ISNUMBER('Blind Scoring Sheet'!H431),'Blind Scoring Sheet'!H431,VALUE(TRIM(LEFT('Blind Scoring Sheet'!H431,FIND("|",'Blind Scoring Sheet'!H431)-1))))</f>
        <v/>
      </c>
      <c r="G431" s="81">
        <f>IF(ISNUMBER('Blind Scoring Sheet'!J431),'Blind Scoring Sheet'!J431,VALUE(TRIM(LEFT('Blind Scoring Sheet'!J431,FIND("|",'Blind Scoring Sheet'!J431)-1))))</f>
        <v/>
      </c>
      <c r="H431" s="80">
        <f>IF(ISNUMBER(SEARCH("|",'Blind Scoring Sheet'!K431)),TRIM(LEFT('Blind Scoring Sheet'!K431,FIND("|",'Blind Scoring Sheet'!K431)-1)),TRIM('Blind Scoring Sheet'!K431))</f>
        <v/>
      </c>
    </row>
    <row r="432" ht="15" customHeight="1" s="38">
      <c r="A432" s="80">
        <f>'Blind Scoring Sheet'!A432</f>
        <v/>
      </c>
      <c r="B432" s="80">
        <f>MID(INDEX('Anonymization Key'!$B$4:$B$1003,MATCH(A432,'Anonymization Key'!$A$4:$A$1003,0)),3,2)</f>
        <v/>
      </c>
      <c r="C432" s="81">
        <f>IF(ISNUMBER('Blind Scoring Sheet'!B432),'Blind Scoring Sheet'!B432,VALUE(TRIM(LEFT('Blind Scoring Sheet'!B432,FIND("|",'Blind Scoring Sheet'!B432)-1))))</f>
        <v/>
      </c>
      <c r="D432" s="81">
        <f>IF(ISNUMBER('Blind Scoring Sheet'!D432),'Blind Scoring Sheet'!D432,VALUE(TRIM(LEFT('Blind Scoring Sheet'!D432,FIND("|",'Blind Scoring Sheet'!D432)-1))))</f>
        <v/>
      </c>
      <c r="E432" s="81">
        <f>IF(ISNUMBER('Blind Scoring Sheet'!F432),'Blind Scoring Sheet'!F432,VALUE(TRIM(LEFT('Blind Scoring Sheet'!F432,FIND("|",'Blind Scoring Sheet'!F432)-1))))</f>
        <v/>
      </c>
      <c r="F432" s="81">
        <f>IF(ISNUMBER('Blind Scoring Sheet'!H432),'Blind Scoring Sheet'!H432,VALUE(TRIM(LEFT('Blind Scoring Sheet'!H432,FIND("|",'Blind Scoring Sheet'!H432)-1))))</f>
        <v/>
      </c>
      <c r="G432" s="81">
        <f>IF(ISNUMBER('Blind Scoring Sheet'!J432),'Blind Scoring Sheet'!J432,VALUE(TRIM(LEFT('Blind Scoring Sheet'!J432,FIND("|",'Blind Scoring Sheet'!J432)-1))))</f>
        <v/>
      </c>
      <c r="H432" s="80">
        <f>IF(ISNUMBER(SEARCH("|",'Blind Scoring Sheet'!K432)),TRIM(LEFT('Blind Scoring Sheet'!K432,FIND("|",'Blind Scoring Sheet'!K432)-1)),TRIM('Blind Scoring Sheet'!K432))</f>
        <v/>
      </c>
    </row>
    <row r="433" ht="15" customHeight="1" s="38">
      <c r="A433" s="80">
        <f>'Blind Scoring Sheet'!A433</f>
        <v/>
      </c>
      <c r="B433" s="80">
        <f>MID(INDEX('Anonymization Key'!$B$4:$B$1003,MATCH(A433,'Anonymization Key'!$A$4:$A$1003,0)),3,2)</f>
        <v/>
      </c>
      <c r="C433" s="81">
        <f>IF(ISNUMBER('Blind Scoring Sheet'!B433),'Blind Scoring Sheet'!B433,VALUE(TRIM(LEFT('Blind Scoring Sheet'!B433,FIND("|",'Blind Scoring Sheet'!B433)-1))))</f>
        <v/>
      </c>
      <c r="D433" s="81">
        <f>IF(ISNUMBER('Blind Scoring Sheet'!D433),'Blind Scoring Sheet'!D433,VALUE(TRIM(LEFT('Blind Scoring Sheet'!D433,FIND("|",'Blind Scoring Sheet'!D433)-1))))</f>
        <v/>
      </c>
      <c r="E433" s="81">
        <f>IF(ISNUMBER('Blind Scoring Sheet'!F433),'Blind Scoring Sheet'!F433,VALUE(TRIM(LEFT('Blind Scoring Sheet'!F433,FIND("|",'Blind Scoring Sheet'!F433)-1))))</f>
        <v/>
      </c>
      <c r="F433" s="81">
        <f>IF(ISNUMBER('Blind Scoring Sheet'!H433),'Blind Scoring Sheet'!H433,VALUE(TRIM(LEFT('Blind Scoring Sheet'!H433,FIND("|",'Blind Scoring Sheet'!H433)-1))))</f>
        <v/>
      </c>
      <c r="G433" s="81">
        <f>IF(ISNUMBER('Blind Scoring Sheet'!J433),'Blind Scoring Sheet'!J433,VALUE(TRIM(LEFT('Blind Scoring Sheet'!J433,FIND("|",'Blind Scoring Sheet'!J433)-1))))</f>
        <v/>
      </c>
      <c r="H433" s="80">
        <f>IF(ISNUMBER(SEARCH("|",'Blind Scoring Sheet'!K433)),TRIM(LEFT('Blind Scoring Sheet'!K433,FIND("|",'Blind Scoring Sheet'!K433)-1)),TRIM('Blind Scoring Sheet'!K433))</f>
        <v/>
      </c>
    </row>
    <row r="434" ht="15" customHeight="1" s="38">
      <c r="A434" s="80">
        <f>'Blind Scoring Sheet'!A434</f>
        <v/>
      </c>
      <c r="B434" s="80">
        <f>MID(INDEX('Anonymization Key'!$B$4:$B$1003,MATCH(A434,'Anonymization Key'!$A$4:$A$1003,0)),3,2)</f>
        <v/>
      </c>
      <c r="C434" s="81">
        <f>IF(ISNUMBER('Blind Scoring Sheet'!B434),'Blind Scoring Sheet'!B434,VALUE(TRIM(LEFT('Blind Scoring Sheet'!B434,FIND("|",'Blind Scoring Sheet'!B434)-1))))</f>
        <v/>
      </c>
      <c r="D434" s="81">
        <f>IF(ISNUMBER('Blind Scoring Sheet'!D434),'Blind Scoring Sheet'!D434,VALUE(TRIM(LEFT('Blind Scoring Sheet'!D434,FIND("|",'Blind Scoring Sheet'!D434)-1))))</f>
        <v/>
      </c>
      <c r="E434" s="81">
        <f>IF(ISNUMBER('Blind Scoring Sheet'!F434),'Blind Scoring Sheet'!F434,VALUE(TRIM(LEFT('Blind Scoring Sheet'!F434,FIND("|",'Blind Scoring Sheet'!F434)-1))))</f>
        <v/>
      </c>
      <c r="F434" s="81">
        <f>IF(ISNUMBER('Blind Scoring Sheet'!H434),'Blind Scoring Sheet'!H434,VALUE(TRIM(LEFT('Blind Scoring Sheet'!H434,FIND("|",'Blind Scoring Sheet'!H434)-1))))</f>
        <v/>
      </c>
      <c r="G434" s="81">
        <f>IF(ISNUMBER('Blind Scoring Sheet'!J434),'Blind Scoring Sheet'!J434,VALUE(TRIM(LEFT('Blind Scoring Sheet'!J434,FIND("|",'Blind Scoring Sheet'!J434)-1))))</f>
        <v/>
      </c>
      <c r="H434" s="80">
        <f>IF(ISNUMBER(SEARCH("|",'Blind Scoring Sheet'!K434)),TRIM(LEFT('Blind Scoring Sheet'!K434,FIND("|",'Blind Scoring Sheet'!K434)-1)),TRIM('Blind Scoring Sheet'!K434))</f>
        <v/>
      </c>
    </row>
    <row r="435" ht="15" customHeight="1" s="38">
      <c r="A435" s="80">
        <f>'Blind Scoring Sheet'!A435</f>
        <v/>
      </c>
      <c r="B435" s="80">
        <f>MID(INDEX('Anonymization Key'!$B$4:$B$1003,MATCH(A435,'Anonymization Key'!$A$4:$A$1003,0)),3,2)</f>
        <v/>
      </c>
      <c r="C435" s="81">
        <f>IF(ISNUMBER('Blind Scoring Sheet'!B435),'Blind Scoring Sheet'!B435,VALUE(TRIM(LEFT('Blind Scoring Sheet'!B435,FIND("|",'Blind Scoring Sheet'!B435)-1))))</f>
        <v/>
      </c>
      <c r="D435" s="81">
        <f>IF(ISNUMBER('Blind Scoring Sheet'!D435),'Blind Scoring Sheet'!D435,VALUE(TRIM(LEFT('Blind Scoring Sheet'!D435,FIND("|",'Blind Scoring Sheet'!D435)-1))))</f>
        <v/>
      </c>
      <c r="E435" s="81">
        <f>IF(ISNUMBER('Blind Scoring Sheet'!F435),'Blind Scoring Sheet'!F435,VALUE(TRIM(LEFT('Blind Scoring Sheet'!F435,FIND("|",'Blind Scoring Sheet'!F435)-1))))</f>
        <v/>
      </c>
      <c r="F435" s="81">
        <f>IF(ISNUMBER('Blind Scoring Sheet'!H435),'Blind Scoring Sheet'!H435,VALUE(TRIM(LEFT('Blind Scoring Sheet'!H435,FIND("|",'Blind Scoring Sheet'!H435)-1))))</f>
        <v/>
      </c>
      <c r="G435" s="81">
        <f>IF(ISNUMBER('Blind Scoring Sheet'!J435),'Blind Scoring Sheet'!J435,VALUE(TRIM(LEFT('Blind Scoring Sheet'!J435,FIND("|",'Blind Scoring Sheet'!J435)-1))))</f>
        <v/>
      </c>
      <c r="H435" s="80">
        <f>IF(ISNUMBER(SEARCH("|",'Blind Scoring Sheet'!K435)),TRIM(LEFT('Blind Scoring Sheet'!K435,FIND("|",'Blind Scoring Sheet'!K435)-1)),TRIM('Blind Scoring Sheet'!K435))</f>
        <v/>
      </c>
    </row>
    <row r="436" ht="15" customHeight="1" s="38">
      <c r="A436" s="80">
        <f>'Blind Scoring Sheet'!A436</f>
        <v/>
      </c>
      <c r="B436" s="80">
        <f>MID(INDEX('Anonymization Key'!$B$4:$B$1003,MATCH(A436,'Anonymization Key'!$A$4:$A$1003,0)),3,2)</f>
        <v/>
      </c>
      <c r="C436" s="81">
        <f>IF(ISNUMBER('Blind Scoring Sheet'!B436),'Blind Scoring Sheet'!B436,VALUE(TRIM(LEFT('Blind Scoring Sheet'!B436,FIND("|",'Blind Scoring Sheet'!B436)-1))))</f>
        <v/>
      </c>
      <c r="D436" s="81">
        <f>IF(ISNUMBER('Blind Scoring Sheet'!D436),'Blind Scoring Sheet'!D436,VALUE(TRIM(LEFT('Blind Scoring Sheet'!D436,FIND("|",'Blind Scoring Sheet'!D436)-1))))</f>
        <v/>
      </c>
      <c r="E436" s="81">
        <f>IF(ISNUMBER('Blind Scoring Sheet'!F436),'Blind Scoring Sheet'!F436,VALUE(TRIM(LEFT('Blind Scoring Sheet'!F436,FIND("|",'Blind Scoring Sheet'!F436)-1))))</f>
        <v/>
      </c>
      <c r="F436" s="81">
        <f>IF(ISNUMBER('Blind Scoring Sheet'!H436),'Blind Scoring Sheet'!H436,VALUE(TRIM(LEFT('Blind Scoring Sheet'!H436,FIND("|",'Blind Scoring Sheet'!H436)-1))))</f>
        <v/>
      </c>
      <c r="G436" s="81">
        <f>IF(ISNUMBER('Blind Scoring Sheet'!J436),'Blind Scoring Sheet'!J436,VALUE(TRIM(LEFT('Blind Scoring Sheet'!J436,FIND("|",'Blind Scoring Sheet'!J436)-1))))</f>
        <v/>
      </c>
      <c r="H436" s="80">
        <f>IF(ISNUMBER(SEARCH("|",'Blind Scoring Sheet'!K436)),TRIM(LEFT('Blind Scoring Sheet'!K436,FIND("|",'Blind Scoring Sheet'!K436)-1)),TRIM('Blind Scoring Sheet'!K436))</f>
        <v/>
      </c>
    </row>
    <row r="437" ht="15" customHeight="1" s="38">
      <c r="A437" s="80">
        <f>'Blind Scoring Sheet'!A437</f>
        <v/>
      </c>
      <c r="B437" s="80">
        <f>MID(INDEX('Anonymization Key'!$B$4:$B$1003,MATCH(A437,'Anonymization Key'!$A$4:$A$1003,0)),3,2)</f>
        <v/>
      </c>
      <c r="C437" s="81">
        <f>IF(ISNUMBER('Blind Scoring Sheet'!B437),'Blind Scoring Sheet'!B437,VALUE(TRIM(LEFT('Blind Scoring Sheet'!B437,FIND("|",'Blind Scoring Sheet'!B437)-1))))</f>
        <v/>
      </c>
      <c r="D437" s="81">
        <f>IF(ISNUMBER('Blind Scoring Sheet'!D437),'Blind Scoring Sheet'!D437,VALUE(TRIM(LEFT('Blind Scoring Sheet'!D437,FIND("|",'Blind Scoring Sheet'!D437)-1))))</f>
        <v/>
      </c>
      <c r="E437" s="81">
        <f>IF(ISNUMBER('Blind Scoring Sheet'!F437),'Blind Scoring Sheet'!F437,VALUE(TRIM(LEFT('Blind Scoring Sheet'!F437,FIND("|",'Blind Scoring Sheet'!F437)-1))))</f>
        <v/>
      </c>
      <c r="F437" s="81">
        <f>IF(ISNUMBER('Blind Scoring Sheet'!H437),'Blind Scoring Sheet'!H437,VALUE(TRIM(LEFT('Blind Scoring Sheet'!H437,FIND("|",'Blind Scoring Sheet'!H437)-1))))</f>
        <v/>
      </c>
      <c r="G437" s="81">
        <f>IF(ISNUMBER('Blind Scoring Sheet'!J437),'Blind Scoring Sheet'!J437,VALUE(TRIM(LEFT('Blind Scoring Sheet'!J437,FIND("|",'Blind Scoring Sheet'!J437)-1))))</f>
        <v/>
      </c>
      <c r="H437" s="80">
        <f>IF(ISNUMBER(SEARCH("|",'Blind Scoring Sheet'!K437)),TRIM(LEFT('Blind Scoring Sheet'!K437,FIND("|",'Blind Scoring Sheet'!K437)-1)),TRIM('Blind Scoring Sheet'!K437))</f>
        <v/>
      </c>
    </row>
    <row r="438" ht="15" customHeight="1" s="38">
      <c r="A438" s="80">
        <f>'Blind Scoring Sheet'!A438</f>
        <v/>
      </c>
      <c r="B438" s="80">
        <f>MID(INDEX('Anonymization Key'!$B$4:$B$1003,MATCH(A438,'Anonymization Key'!$A$4:$A$1003,0)),3,2)</f>
        <v/>
      </c>
      <c r="C438" s="81">
        <f>IF(ISNUMBER('Blind Scoring Sheet'!B438),'Blind Scoring Sheet'!B438,VALUE(TRIM(LEFT('Blind Scoring Sheet'!B438,FIND("|",'Blind Scoring Sheet'!B438)-1))))</f>
        <v/>
      </c>
      <c r="D438" s="81">
        <f>IF(ISNUMBER('Blind Scoring Sheet'!D438),'Blind Scoring Sheet'!D438,VALUE(TRIM(LEFT('Blind Scoring Sheet'!D438,FIND("|",'Blind Scoring Sheet'!D438)-1))))</f>
        <v/>
      </c>
      <c r="E438" s="81">
        <f>IF(ISNUMBER('Blind Scoring Sheet'!F438),'Blind Scoring Sheet'!F438,VALUE(TRIM(LEFT('Blind Scoring Sheet'!F438,FIND("|",'Blind Scoring Sheet'!F438)-1))))</f>
        <v/>
      </c>
      <c r="F438" s="81">
        <f>IF(ISNUMBER('Blind Scoring Sheet'!H438),'Blind Scoring Sheet'!H438,VALUE(TRIM(LEFT('Blind Scoring Sheet'!H438,FIND("|",'Blind Scoring Sheet'!H438)-1))))</f>
        <v/>
      </c>
      <c r="G438" s="81">
        <f>IF(ISNUMBER('Blind Scoring Sheet'!J438),'Blind Scoring Sheet'!J438,VALUE(TRIM(LEFT('Blind Scoring Sheet'!J438,FIND("|",'Blind Scoring Sheet'!J438)-1))))</f>
        <v/>
      </c>
      <c r="H438" s="80">
        <f>IF(ISNUMBER(SEARCH("|",'Blind Scoring Sheet'!K438)),TRIM(LEFT('Blind Scoring Sheet'!K438,FIND("|",'Blind Scoring Sheet'!K438)-1)),TRIM('Blind Scoring Sheet'!K438))</f>
        <v/>
      </c>
    </row>
    <row r="439" ht="15" customHeight="1" s="38">
      <c r="A439" s="80">
        <f>'Blind Scoring Sheet'!A439</f>
        <v/>
      </c>
      <c r="B439" s="80">
        <f>MID(INDEX('Anonymization Key'!$B$4:$B$1003,MATCH(A439,'Anonymization Key'!$A$4:$A$1003,0)),3,2)</f>
        <v/>
      </c>
      <c r="C439" s="81">
        <f>IF(ISNUMBER('Blind Scoring Sheet'!B439),'Blind Scoring Sheet'!B439,VALUE(TRIM(LEFT('Blind Scoring Sheet'!B439,FIND("|",'Blind Scoring Sheet'!B439)-1))))</f>
        <v/>
      </c>
      <c r="D439" s="81">
        <f>IF(ISNUMBER('Blind Scoring Sheet'!D439),'Blind Scoring Sheet'!D439,VALUE(TRIM(LEFT('Blind Scoring Sheet'!D439,FIND("|",'Blind Scoring Sheet'!D439)-1))))</f>
        <v/>
      </c>
      <c r="E439" s="81">
        <f>IF(ISNUMBER('Blind Scoring Sheet'!F439),'Blind Scoring Sheet'!F439,VALUE(TRIM(LEFT('Blind Scoring Sheet'!F439,FIND("|",'Blind Scoring Sheet'!F439)-1))))</f>
        <v/>
      </c>
      <c r="F439" s="81">
        <f>IF(ISNUMBER('Blind Scoring Sheet'!H439),'Blind Scoring Sheet'!H439,VALUE(TRIM(LEFT('Blind Scoring Sheet'!H439,FIND("|",'Blind Scoring Sheet'!H439)-1))))</f>
        <v/>
      </c>
      <c r="G439" s="81">
        <f>IF(ISNUMBER('Blind Scoring Sheet'!J439),'Blind Scoring Sheet'!J439,VALUE(TRIM(LEFT('Blind Scoring Sheet'!J439,FIND("|",'Blind Scoring Sheet'!J439)-1))))</f>
        <v/>
      </c>
      <c r="H439" s="80">
        <f>IF(ISNUMBER(SEARCH("|",'Blind Scoring Sheet'!K439)),TRIM(LEFT('Blind Scoring Sheet'!K439,FIND("|",'Blind Scoring Sheet'!K439)-1)),TRIM('Blind Scoring Sheet'!K439))</f>
        <v/>
      </c>
    </row>
    <row r="440" ht="15" customHeight="1" s="38">
      <c r="A440" s="80">
        <f>'Blind Scoring Sheet'!A440</f>
        <v/>
      </c>
      <c r="B440" s="80">
        <f>MID(INDEX('Anonymization Key'!$B$4:$B$1003,MATCH(A440,'Anonymization Key'!$A$4:$A$1003,0)),3,2)</f>
        <v/>
      </c>
      <c r="C440" s="81">
        <f>IF(ISNUMBER('Blind Scoring Sheet'!B440),'Blind Scoring Sheet'!B440,VALUE(TRIM(LEFT('Blind Scoring Sheet'!B440,FIND("|",'Blind Scoring Sheet'!B440)-1))))</f>
        <v/>
      </c>
      <c r="D440" s="81">
        <f>IF(ISNUMBER('Blind Scoring Sheet'!D440),'Blind Scoring Sheet'!D440,VALUE(TRIM(LEFT('Blind Scoring Sheet'!D440,FIND("|",'Blind Scoring Sheet'!D440)-1))))</f>
        <v/>
      </c>
      <c r="E440" s="81">
        <f>IF(ISNUMBER('Blind Scoring Sheet'!F440),'Blind Scoring Sheet'!F440,VALUE(TRIM(LEFT('Blind Scoring Sheet'!F440,FIND("|",'Blind Scoring Sheet'!F440)-1))))</f>
        <v/>
      </c>
      <c r="F440" s="81">
        <f>IF(ISNUMBER('Blind Scoring Sheet'!H440),'Blind Scoring Sheet'!H440,VALUE(TRIM(LEFT('Blind Scoring Sheet'!H440,FIND("|",'Blind Scoring Sheet'!H440)-1))))</f>
        <v/>
      </c>
      <c r="G440" s="81">
        <f>IF(ISNUMBER('Blind Scoring Sheet'!J440),'Blind Scoring Sheet'!J440,VALUE(TRIM(LEFT('Blind Scoring Sheet'!J440,FIND("|",'Blind Scoring Sheet'!J440)-1))))</f>
        <v/>
      </c>
      <c r="H440" s="80">
        <f>IF(ISNUMBER(SEARCH("|",'Blind Scoring Sheet'!K440)),TRIM(LEFT('Blind Scoring Sheet'!K440,FIND("|",'Blind Scoring Sheet'!K440)-1)),TRIM('Blind Scoring Sheet'!K440))</f>
        <v/>
      </c>
    </row>
    <row r="441" ht="15" customHeight="1" s="38">
      <c r="A441" s="80">
        <f>'Blind Scoring Sheet'!A441</f>
        <v/>
      </c>
      <c r="B441" s="80">
        <f>MID(INDEX('Anonymization Key'!$B$4:$B$1003,MATCH(A441,'Anonymization Key'!$A$4:$A$1003,0)),3,2)</f>
        <v/>
      </c>
      <c r="C441" s="81">
        <f>IF(ISNUMBER('Blind Scoring Sheet'!B441),'Blind Scoring Sheet'!B441,VALUE(TRIM(LEFT('Blind Scoring Sheet'!B441,FIND("|",'Blind Scoring Sheet'!B441)-1))))</f>
        <v/>
      </c>
      <c r="D441" s="81">
        <f>IF(ISNUMBER('Blind Scoring Sheet'!D441),'Blind Scoring Sheet'!D441,VALUE(TRIM(LEFT('Blind Scoring Sheet'!D441,FIND("|",'Blind Scoring Sheet'!D441)-1))))</f>
        <v/>
      </c>
      <c r="E441" s="81">
        <f>IF(ISNUMBER('Blind Scoring Sheet'!F441),'Blind Scoring Sheet'!F441,VALUE(TRIM(LEFT('Blind Scoring Sheet'!F441,FIND("|",'Blind Scoring Sheet'!F441)-1))))</f>
        <v/>
      </c>
      <c r="F441" s="81">
        <f>IF(ISNUMBER('Blind Scoring Sheet'!H441),'Blind Scoring Sheet'!H441,VALUE(TRIM(LEFT('Blind Scoring Sheet'!H441,FIND("|",'Blind Scoring Sheet'!H441)-1))))</f>
        <v/>
      </c>
      <c r="G441" s="81">
        <f>IF(ISNUMBER('Blind Scoring Sheet'!J441),'Blind Scoring Sheet'!J441,VALUE(TRIM(LEFT('Blind Scoring Sheet'!J441,FIND("|",'Blind Scoring Sheet'!J441)-1))))</f>
        <v/>
      </c>
      <c r="H441" s="80">
        <f>IF(ISNUMBER(SEARCH("|",'Blind Scoring Sheet'!K441)),TRIM(LEFT('Blind Scoring Sheet'!K441,FIND("|",'Blind Scoring Sheet'!K441)-1)),TRIM('Blind Scoring Sheet'!K441))</f>
        <v/>
      </c>
    </row>
    <row r="442" ht="15" customHeight="1" s="38">
      <c r="A442" s="80">
        <f>'Blind Scoring Sheet'!A442</f>
        <v/>
      </c>
      <c r="B442" s="80">
        <f>MID(INDEX('Anonymization Key'!$B$4:$B$1003,MATCH(A442,'Anonymization Key'!$A$4:$A$1003,0)),3,2)</f>
        <v/>
      </c>
      <c r="C442" s="81">
        <f>IF(ISNUMBER('Blind Scoring Sheet'!B442),'Blind Scoring Sheet'!B442,VALUE(TRIM(LEFT('Blind Scoring Sheet'!B442,FIND("|",'Blind Scoring Sheet'!B442)-1))))</f>
        <v/>
      </c>
      <c r="D442" s="81">
        <f>IF(ISNUMBER('Blind Scoring Sheet'!D442),'Blind Scoring Sheet'!D442,VALUE(TRIM(LEFT('Blind Scoring Sheet'!D442,FIND("|",'Blind Scoring Sheet'!D442)-1))))</f>
        <v/>
      </c>
      <c r="E442" s="81">
        <f>IF(ISNUMBER('Blind Scoring Sheet'!F442),'Blind Scoring Sheet'!F442,VALUE(TRIM(LEFT('Blind Scoring Sheet'!F442,FIND("|",'Blind Scoring Sheet'!F442)-1))))</f>
        <v/>
      </c>
      <c r="F442" s="81">
        <f>IF(ISNUMBER('Blind Scoring Sheet'!H442),'Blind Scoring Sheet'!H442,VALUE(TRIM(LEFT('Blind Scoring Sheet'!H442,FIND("|",'Blind Scoring Sheet'!H442)-1))))</f>
        <v/>
      </c>
      <c r="G442" s="81">
        <f>IF(ISNUMBER('Blind Scoring Sheet'!J442),'Blind Scoring Sheet'!J442,VALUE(TRIM(LEFT('Blind Scoring Sheet'!J442,FIND("|",'Blind Scoring Sheet'!J442)-1))))</f>
        <v/>
      </c>
      <c r="H442" s="80">
        <f>IF(ISNUMBER(SEARCH("|",'Blind Scoring Sheet'!K442)),TRIM(LEFT('Blind Scoring Sheet'!K442,FIND("|",'Blind Scoring Sheet'!K442)-1)),TRIM('Blind Scoring Sheet'!K442))</f>
        <v/>
      </c>
    </row>
    <row r="443" ht="15" customHeight="1" s="38">
      <c r="A443" s="80">
        <f>'Blind Scoring Sheet'!A443</f>
        <v/>
      </c>
      <c r="B443" s="80">
        <f>MID(INDEX('Anonymization Key'!$B$4:$B$1003,MATCH(A443,'Anonymization Key'!$A$4:$A$1003,0)),3,2)</f>
        <v/>
      </c>
      <c r="C443" s="81">
        <f>IF(ISNUMBER('Blind Scoring Sheet'!B443),'Blind Scoring Sheet'!B443,VALUE(TRIM(LEFT('Blind Scoring Sheet'!B443,FIND("|",'Blind Scoring Sheet'!B443)-1))))</f>
        <v/>
      </c>
      <c r="D443" s="81">
        <f>IF(ISNUMBER('Blind Scoring Sheet'!D443),'Blind Scoring Sheet'!D443,VALUE(TRIM(LEFT('Blind Scoring Sheet'!D443,FIND("|",'Blind Scoring Sheet'!D443)-1))))</f>
        <v/>
      </c>
      <c r="E443" s="81">
        <f>IF(ISNUMBER('Blind Scoring Sheet'!F443),'Blind Scoring Sheet'!F443,VALUE(TRIM(LEFT('Blind Scoring Sheet'!F443,FIND("|",'Blind Scoring Sheet'!F443)-1))))</f>
        <v/>
      </c>
      <c r="F443" s="81">
        <f>IF(ISNUMBER('Blind Scoring Sheet'!H443),'Blind Scoring Sheet'!H443,VALUE(TRIM(LEFT('Blind Scoring Sheet'!H443,FIND("|",'Blind Scoring Sheet'!H443)-1))))</f>
        <v/>
      </c>
      <c r="G443" s="81">
        <f>IF(ISNUMBER('Blind Scoring Sheet'!J443),'Blind Scoring Sheet'!J443,VALUE(TRIM(LEFT('Blind Scoring Sheet'!J443,FIND("|",'Blind Scoring Sheet'!J443)-1))))</f>
        <v/>
      </c>
      <c r="H443" s="80">
        <f>IF(ISNUMBER(SEARCH("|",'Blind Scoring Sheet'!K443)),TRIM(LEFT('Blind Scoring Sheet'!K443,FIND("|",'Blind Scoring Sheet'!K443)-1)),TRIM('Blind Scoring Sheet'!K443))</f>
        <v/>
      </c>
    </row>
    <row r="444" ht="15" customHeight="1" s="38">
      <c r="A444" s="80">
        <f>'Blind Scoring Sheet'!A444</f>
        <v/>
      </c>
      <c r="B444" s="80">
        <f>MID(INDEX('Anonymization Key'!$B$4:$B$1003,MATCH(A444,'Anonymization Key'!$A$4:$A$1003,0)),3,2)</f>
        <v/>
      </c>
      <c r="C444" s="81">
        <f>IF(ISNUMBER('Blind Scoring Sheet'!B444),'Blind Scoring Sheet'!B444,VALUE(TRIM(LEFT('Blind Scoring Sheet'!B444,FIND("|",'Blind Scoring Sheet'!B444)-1))))</f>
        <v/>
      </c>
      <c r="D444" s="81">
        <f>IF(ISNUMBER('Blind Scoring Sheet'!D444),'Blind Scoring Sheet'!D444,VALUE(TRIM(LEFT('Blind Scoring Sheet'!D444,FIND("|",'Blind Scoring Sheet'!D444)-1))))</f>
        <v/>
      </c>
      <c r="E444" s="81">
        <f>IF(ISNUMBER('Blind Scoring Sheet'!F444),'Blind Scoring Sheet'!F444,VALUE(TRIM(LEFT('Blind Scoring Sheet'!F444,FIND("|",'Blind Scoring Sheet'!F444)-1))))</f>
        <v/>
      </c>
      <c r="F444" s="81">
        <f>IF(ISNUMBER('Blind Scoring Sheet'!H444),'Blind Scoring Sheet'!H444,VALUE(TRIM(LEFT('Blind Scoring Sheet'!H444,FIND("|",'Blind Scoring Sheet'!H444)-1))))</f>
        <v/>
      </c>
      <c r="G444" s="81">
        <f>IF(ISNUMBER('Blind Scoring Sheet'!J444),'Blind Scoring Sheet'!J444,VALUE(TRIM(LEFT('Blind Scoring Sheet'!J444,FIND("|",'Blind Scoring Sheet'!J444)-1))))</f>
        <v/>
      </c>
      <c r="H444" s="80">
        <f>IF(ISNUMBER(SEARCH("|",'Blind Scoring Sheet'!K444)),TRIM(LEFT('Blind Scoring Sheet'!K444,FIND("|",'Blind Scoring Sheet'!K444)-1)),TRIM('Blind Scoring Sheet'!K444))</f>
        <v/>
      </c>
    </row>
    <row r="445" ht="15" customHeight="1" s="38">
      <c r="A445" s="80">
        <f>'Blind Scoring Sheet'!A445</f>
        <v/>
      </c>
      <c r="B445" s="80">
        <f>MID(INDEX('Anonymization Key'!$B$4:$B$1003,MATCH(A445,'Anonymization Key'!$A$4:$A$1003,0)),3,2)</f>
        <v/>
      </c>
      <c r="C445" s="81">
        <f>IF(ISNUMBER('Blind Scoring Sheet'!B445),'Blind Scoring Sheet'!B445,VALUE(TRIM(LEFT('Blind Scoring Sheet'!B445,FIND("|",'Blind Scoring Sheet'!B445)-1))))</f>
        <v/>
      </c>
      <c r="D445" s="81">
        <f>IF(ISNUMBER('Blind Scoring Sheet'!D445),'Blind Scoring Sheet'!D445,VALUE(TRIM(LEFT('Blind Scoring Sheet'!D445,FIND("|",'Blind Scoring Sheet'!D445)-1))))</f>
        <v/>
      </c>
      <c r="E445" s="81">
        <f>IF(ISNUMBER('Blind Scoring Sheet'!F445),'Blind Scoring Sheet'!F445,VALUE(TRIM(LEFT('Blind Scoring Sheet'!F445,FIND("|",'Blind Scoring Sheet'!F445)-1))))</f>
        <v/>
      </c>
      <c r="F445" s="81">
        <f>IF(ISNUMBER('Blind Scoring Sheet'!H445),'Blind Scoring Sheet'!H445,VALUE(TRIM(LEFT('Blind Scoring Sheet'!H445,FIND("|",'Blind Scoring Sheet'!H445)-1))))</f>
        <v/>
      </c>
      <c r="G445" s="81">
        <f>IF(ISNUMBER('Blind Scoring Sheet'!J445),'Blind Scoring Sheet'!J445,VALUE(TRIM(LEFT('Blind Scoring Sheet'!J445,FIND("|",'Blind Scoring Sheet'!J445)-1))))</f>
        <v/>
      </c>
      <c r="H445" s="80">
        <f>IF(ISNUMBER(SEARCH("|",'Blind Scoring Sheet'!K445)),TRIM(LEFT('Blind Scoring Sheet'!K445,FIND("|",'Blind Scoring Sheet'!K445)-1)),TRIM('Blind Scoring Sheet'!K445))</f>
        <v/>
      </c>
    </row>
    <row r="446" ht="15" customHeight="1" s="38">
      <c r="A446" s="80">
        <f>'Blind Scoring Sheet'!A446</f>
        <v/>
      </c>
      <c r="B446" s="80">
        <f>MID(INDEX('Anonymization Key'!$B$4:$B$1003,MATCH(A446,'Anonymization Key'!$A$4:$A$1003,0)),3,2)</f>
        <v/>
      </c>
      <c r="C446" s="81">
        <f>IF(ISNUMBER('Blind Scoring Sheet'!B446),'Blind Scoring Sheet'!B446,VALUE(TRIM(LEFT('Blind Scoring Sheet'!B446,FIND("|",'Blind Scoring Sheet'!B446)-1))))</f>
        <v/>
      </c>
      <c r="D446" s="81">
        <f>IF(ISNUMBER('Blind Scoring Sheet'!D446),'Blind Scoring Sheet'!D446,VALUE(TRIM(LEFT('Blind Scoring Sheet'!D446,FIND("|",'Blind Scoring Sheet'!D446)-1))))</f>
        <v/>
      </c>
      <c r="E446" s="81">
        <f>IF(ISNUMBER('Blind Scoring Sheet'!F446),'Blind Scoring Sheet'!F446,VALUE(TRIM(LEFT('Blind Scoring Sheet'!F446,FIND("|",'Blind Scoring Sheet'!F446)-1))))</f>
        <v/>
      </c>
      <c r="F446" s="81">
        <f>IF(ISNUMBER('Blind Scoring Sheet'!H446),'Blind Scoring Sheet'!H446,VALUE(TRIM(LEFT('Blind Scoring Sheet'!H446,FIND("|",'Blind Scoring Sheet'!H446)-1))))</f>
        <v/>
      </c>
      <c r="G446" s="81">
        <f>IF(ISNUMBER('Blind Scoring Sheet'!J446),'Blind Scoring Sheet'!J446,VALUE(TRIM(LEFT('Blind Scoring Sheet'!J446,FIND("|",'Blind Scoring Sheet'!J446)-1))))</f>
        <v/>
      </c>
      <c r="H446" s="80">
        <f>IF(ISNUMBER(SEARCH("|",'Blind Scoring Sheet'!K446)),TRIM(LEFT('Blind Scoring Sheet'!K446,FIND("|",'Blind Scoring Sheet'!K446)-1)),TRIM('Blind Scoring Sheet'!K446))</f>
        <v/>
      </c>
    </row>
    <row r="447" ht="15" customHeight="1" s="38">
      <c r="A447" s="80">
        <f>'Blind Scoring Sheet'!A447</f>
        <v/>
      </c>
      <c r="B447" s="80">
        <f>MID(INDEX('Anonymization Key'!$B$4:$B$1003,MATCH(A447,'Anonymization Key'!$A$4:$A$1003,0)),3,2)</f>
        <v/>
      </c>
      <c r="C447" s="81">
        <f>IF(ISNUMBER('Blind Scoring Sheet'!B447),'Blind Scoring Sheet'!B447,VALUE(TRIM(LEFT('Blind Scoring Sheet'!B447,FIND("|",'Blind Scoring Sheet'!B447)-1))))</f>
        <v/>
      </c>
      <c r="D447" s="81">
        <f>IF(ISNUMBER('Blind Scoring Sheet'!D447),'Blind Scoring Sheet'!D447,VALUE(TRIM(LEFT('Blind Scoring Sheet'!D447,FIND("|",'Blind Scoring Sheet'!D447)-1))))</f>
        <v/>
      </c>
      <c r="E447" s="81">
        <f>IF(ISNUMBER('Blind Scoring Sheet'!F447),'Blind Scoring Sheet'!F447,VALUE(TRIM(LEFT('Blind Scoring Sheet'!F447,FIND("|",'Blind Scoring Sheet'!F447)-1))))</f>
        <v/>
      </c>
      <c r="F447" s="81">
        <f>IF(ISNUMBER('Blind Scoring Sheet'!H447),'Blind Scoring Sheet'!H447,VALUE(TRIM(LEFT('Blind Scoring Sheet'!H447,FIND("|",'Blind Scoring Sheet'!H447)-1))))</f>
        <v/>
      </c>
      <c r="G447" s="81">
        <f>IF(ISNUMBER('Blind Scoring Sheet'!J447),'Blind Scoring Sheet'!J447,VALUE(TRIM(LEFT('Blind Scoring Sheet'!J447,FIND("|",'Blind Scoring Sheet'!J447)-1))))</f>
        <v/>
      </c>
      <c r="H447" s="80">
        <f>IF(ISNUMBER(SEARCH("|",'Blind Scoring Sheet'!K447)),TRIM(LEFT('Blind Scoring Sheet'!K447,FIND("|",'Blind Scoring Sheet'!K447)-1)),TRIM('Blind Scoring Sheet'!K447))</f>
        <v/>
      </c>
    </row>
    <row r="448" ht="15" customHeight="1" s="38">
      <c r="A448" s="80">
        <f>'Blind Scoring Sheet'!A448</f>
        <v/>
      </c>
      <c r="B448" s="80">
        <f>MID(INDEX('Anonymization Key'!$B$4:$B$1003,MATCH(A448,'Anonymization Key'!$A$4:$A$1003,0)),3,2)</f>
        <v/>
      </c>
      <c r="C448" s="81">
        <f>IF(ISNUMBER('Blind Scoring Sheet'!B448),'Blind Scoring Sheet'!B448,VALUE(TRIM(LEFT('Blind Scoring Sheet'!B448,FIND("|",'Blind Scoring Sheet'!B448)-1))))</f>
        <v/>
      </c>
      <c r="D448" s="81">
        <f>IF(ISNUMBER('Blind Scoring Sheet'!D448),'Blind Scoring Sheet'!D448,VALUE(TRIM(LEFT('Blind Scoring Sheet'!D448,FIND("|",'Blind Scoring Sheet'!D448)-1))))</f>
        <v/>
      </c>
      <c r="E448" s="81">
        <f>IF(ISNUMBER('Blind Scoring Sheet'!F448),'Blind Scoring Sheet'!F448,VALUE(TRIM(LEFT('Blind Scoring Sheet'!F448,FIND("|",'Blind Scoring Sheet'!F448)-1))))</f>
        <v/>
      </c>
      <c r="F448" s="81">
        <f>IF(ISNUMBER('Blind Scoring Sheet'!H448),'Blind Scoring Sheet'!H448,VALUE(TRIM(LEFT('Blind Scoring Sheet'!H448,FIND("|",'Blind Scoring Sheet'!H448)-1))))</f>
        <v/>
      </c>
      <c r="G448" s="81">
        <f>IF(ISNUMBER('Blind Scoring Sheet'!J448),'Blind Scoring Sheet'!J448,VALUE(TRIM(LEFT('Blind Scoring Sheet'!J448,FIND("|",'Blind Scoring Sheet'!J448)-1))))</f>
        <v/>
      </c>
      <c r="H448" s="80">
        <f>IF(ISNUMBER(SEARCH("|",'Blind Scoring Sheet'!K448)),TRIM(LEFT('Blind Scoring Sheet'!K448,FIND("|",'Blind Scoring Sheet'!K448)-1)),TRIM('Blind Scoring Sheet'!K448))</f>
        <v/>
      </c>
    </row>
    <row r="449" ht="15" customHeight="1" s="38">
      <c r="A449" s="80">
        <f>'Blind Scoring Sheet'!A449</f>
        <v/>
      </c>
      <c r="B449" s="80">
        <f>MID(INDEX('Anonymization Key'!$B$4:$B$1003,MATCH(A449,'Anonymization Key'!$A$4:$A$1003,0)),3,2)</f>
        <v/>
      </c>
      <c r="C449" s="81">
        <f>IF(ISNUMBER('Blind Scoring Sheet'!B449),'Blind Scoring Sheet'!B449,VALUE(TRIM(LEFT('Blind Scoring Sheet'!B449,FIND("|",'Blind Scoring Sheet'!B449)-1))))</f>
        <v/>
      </c>
      <c r="D449" s="81">
        <f>IF(ISNUMBER('Blind Scoring Sheet'!D449),'Blind Scoring Sheet'!D449,VALUE(TRIM(LEFT('Blind Scoring Sheet'!D449,FIND("|",'Blind Scoring Sheet'!D449)-1))))</f>
        <v/>
      </c>
      <c r="E449" s="81">
        <f>IF(ISNUMBER('Blind Scoring Sheet'!F449),'Blind Scoring Sheet'!F449,VALUE(TRIM(LEFT('Blind Scoring Sheet'!F449,FIND("|",'Blind Scoring Sheet'!F449)-1))))</f>
        <v/>
      </c>
      <c r="F449" s="81">
        <f>IF(ISNUMBER('Blind Scoring Sheet'!H449),'Blind Scoring Sheet'!H449,VALUE(TRIM(LEFT('Blind Scoring Sheet'!H449,FIND("|",'Blind Scoring Sheet'!H449)-1))))</f>
        <v/>
      </c>
      <c r="G449" s="81">
        <f>IF(ISNUMBER('Blind Scoring Sheet'!J449),'Blind Scoring Sheet'!J449,VALUE(TRIM(LEFT('Blind Scoring Sheet'!J449,FIND("|",'Blind Scoring Sheet'!J449)-1))))</f>
        <v/>
      </c>
      <c r="H449" s="80">
        <f>IF(ISNUMBER(SEARCH("|",'Blind Scoring Sheet'!K449)),TRIM(LEFT('Blind Scoring Sheet'!K449,FIND("|",'Blind Scoring Sheet'!K449)-1)),TRIM('Blind Scoring Sheet'!K449))</f>
        <v/>
      </c>
    </row>
    <row r="450" ht="15" customHeight="1" s="38">
      <c r="A450" s="80">
        <f>'Blind Scoring Sheet'!A450</f>
        <v/>
      </c>
      <c r="B450" s="80">
        <f>MID(INDEX('Anonymization Key'!$B$4:$B$1003,MATCH(A450,'Anonymization Key'!$A$4:$A$1003,0)),3,2)</f>
        <v/>
      </c>
      <c r="C450" s="81">
        <f>IF(ISNUMBER('Blind Scoring Sheet'!B450),'Blind Scoring Sheet'!B450,VALUE(TRIM(LEFT('Blind Scoring Sheet'!B450,FIND("|",'Blind Scoring Sheet'!B450)-1))))</f>
        <v/>
      </c>
      <c r="D450" s="81">
        <f>IF(ISNUMBER('Blind Scoring Sheet'!D450),'Blind Scoring Sheet'!D450,VALUE(TRIM(LEFT('Blind Scoring Sheet'!D450,FIND("|",'Blind Scoring Sheet'!D450)-1))))</f>
        <v/>
      </c>
      <c r="E450" s="81">
        <f>IF(ISNUMBER('Blind Scoring Sheet'!F450),'Blind Scoring Sheet'!F450,VALUE(TRIM(LEFT('Blind Scoring Sheet'!F450,FIND("|",'Blind Scoring Sheet'!F450)-1))))</f>
        <v/>
      </c>
      <c r="F450" s="81">
        <f>IF(ISNUMBER('Blind Scoring Sheet'!H450),'Blind Scoring Sheet'!H450,VALUE(TRIM(LEFT('Blind Scoring Sheet'!H450,FIND("|",'Blind Scoring Sheet'!H450)-1))))</f>
        <v/>
      </c>
      <c r="G450" s="81">
        <f>IF(ISNUMBER('Blind Scoring Sheet'!J450),'Blind Scoring Sheet'!J450,VALUE(TRIM(LEFT('Blind Scoring Sheet'!J450,FIND("|",'Blind Scoring Sheet'!J450)-1))))</f>
        <v/>
      </c>
      <c r="H450" s="80">
        <f>IF(ISNUMBER(SEARCH("|",'Blind Scoring Sheet'!K450)),TRIM(LEFT('Blind Scoring Sheet'!K450,FIND("|",'Blind Scoring Sheet'!K450)-1)),TRIM('Blind Scoring Sheet'!K450))</f>
        <v/>
      </c>
    </row>
    <row r="451" ht="15" customHeight="1" s="38">
      <c r="A451" s="80">
        <f>'Blind Scoring Sheet'!A451</f>
        <v/>
      </c>
      <c r="B451" s="80">
        <f>MID(INDEX('Anonymization Key'!$B$4:$B$1003,MATCH(A451,'Anonymization Key'!$A$4:$A$1003,0)),3,2)</f>
        <v/>
      </c>
      <c r="C451" s="81">
        <f>IF(ISNUMBER('Blind Scoring Sheet'!B451),'Blind Scoring Sheet'!B451,VALUE(TRIM(LEFT('Blind Scoring Sheet'!B451,FIND("|",'Blind Scoring Sheet'!B451)-1))))</f>
        <v/>
      </c>
      <c r="D451" s="81">
        <f>IF(ISNUMBER('Blind Scoring Sheet'!D451),'Blind Scoring Sheet'!D451,VALUE(TRIM(LEFT('Blind Scoring Sheet'!D451,FIND("|",'Blind Scoring Sheet'!D451)-1))))</f>
        <v/>
      </c>
      <c r="E451" s="81">
        <f>IF(ISNUMBER('Blind Scoring Sheet'!F451),'Blind Scoring Sheet'!F451,VALUE(TRIM(LEFT('Blind Scoring Sheet'!F451,FIND("|",'Blind Scoring Sheet'!F451)-1))))</f>
        <v/>
      </c>
      <c r="F451" s="81">
        <f>IF(ISNUMBER('Blind Scoring Sheet'!H451),'Blind Scoring Sheet'!H451,VALUE(TRIM(LEFT('Blind Scoring Sheet'!H451,FIND("|",'Blind Scoring Sheet'!H451)-1))))</f>
        <v/>
      </c>
      <c r="G451" s="81">
        <f>IF(ISNUMBER('Blind Scoring Sheet'!J451),'Blind Scoring Sheet'!J451,VALUE(TRIM(LEFT('Blind Scoring Sheet'!J451,FIND("|",'Blind Scoring Sheet'!J451)-1))))</f>
        <v/>
      </c>
      <c r="H451" s="80">
        <f>IF(ISNUMBER(SEARCH("|",'Blind Scoring Sheet'!K451)),TRIM(LEFT('Blind Scoring Sheet'!K451,FIND("|",'Blind Scoring Sheet'!K451)-1)),TRIM('Blind Scoring Sheet'!K451))</f>
        <v/>
      </c>
    </row>
    <row r="452" ht="15" customHeight="1" s="38">
      <c r="A452" s="80">
        <f>'Blind Scoring Sheet'!A452</f>
        <v/>
      </c>
      <c r="B452" s="80">
        <f>MID(INDEX('Anonymization Key'!$B$4:$B$1003,MATCH(A452,'Anonymization Key'!$A$4:$A$1003,0)),3,2)</f>
        <v/>
      </c>
      <c r="C452" s="81">
        <f>IF(ISNUMBER('Blind Scoring Sheet'!B452),'Blind Scoring Sheet'!B452,VALUE(TRIM(LEFT('Blind Scoring Sheet'!B452,FIND("|",'Blind Scoring Sheet'!B452)-1))))</f>
        <v/>
      </c>
      <c r="D452" s="81">
        <f>IF(ISNUMBER('Blind Scoring Sheet'!D452),'Blind Scoring Sheet'!D452,VALUE(TRIM(LEFT('Blind Scoring Sheet'!D452,FIND("|",'Blind Scoring Sheet'!D452)-1))))</f>
        <v/>
      </c>
      <c r="E452" s="81">
        <f>IF(ISNUMBER('Blind Scoring Sheet'!F452),'Blind Scoring Sheet'!F452,VALUE(TRIM(LEFT('Blind Scoring Sheet'!F452,FIND("|",'Blind Scoring Sheet'!F452)-1))))</f>
        <v/>
      </c>
      <c r="F452" s="81">
        <f>IF(ISNUMBER('Blind Scoring Sheet'!H452),'Blind Scoring Sheet'!H452,VALUE(TRIM(LEFT('Blind Scoring Sheet'!H452,FIND("|",'Blind Scoring Sheet'!H452)-1))))</f>
        <v/>
      </c>
      <c r="G452" s="81">
        <f>IF(ISNUMBER('Blind Scoring Sheet'!J452),'Blind Scoring Sheet'!J452,VALUE(TRIM(LEFT('Blind Scoring Sheet'!J452,FIND("|",'Blind Scoring Sheet'!J452)-1))))</f>
        <v/>
      </c>
      <c r="H452" s="80">
        <f>IF(ISNUMBER(SEARCH("|",'Blind Scoring Sheet'!K452)),TRIM(LEFT('Blind Scoring Sheet'!K452,FIND("|",'Blind Scoring Sheet'!K452)-1)),TRIM('Blind Scoring Sheet'!K452))</f>
        <v/>
      </c>
    </row>
    <row r="453" ht="15" customHeight="1" s="38">
      <c r="A453" s="80">
        <f>'Blind Scoring Sheet'!A453</f>
        <v/>
      </c>
      <c r="B453" s="80">
        <f>MID(INDEX('Anonymization Key'!$B$4:$B$1003,MATCH(A453,'Anonymization Key'!$A$4:$A$1003,0)),3,2)</f>
        <v/>
      </c>
      <c r="C453" s="81">
        <f>IF(ISNUMBER('Blind Scoring Sheet'!B453),'Blind Scoring Sheet'!B453,VALUE(TRIM(LEFT('Blind Scoring Sheet'!B453,FIND("|",'Blind Scoring Sheet'!B453)-1))))</f>
        <v/>
      </c>
      <c r="D453" s="81">
        <f>IF(ISNUMBER('Blind Scoring Sheet'!D453),'Blind Scoring Sheet'!D453,VALUE(TRIM(LEFT('Blind Scoring Sheet'!D453,FIND("|",'Blind Scoring Sheet'!D453)-1))))</f>
        <v/>
      </c>
      <c r="E453" s="81">
        <f>IF(ISNUMBER('Blind Scoring Sheet'!F453),'Blind Scoring Sheet'!F453,VALUE(TRIM(LEFT('Blind Scoring Sheet'!F453,FIND("|",'Blind Scoring Sheet'!F453)-1))))</f>
        <v/>
      </c>
      <c r="F453" s="81">
        <f>IF(ISNUMBER('Blind Scoring Sheet'!H453),'Blind Scoring Sheet'!H453,VALUE(TRIM(LEFT('Blind Scoring Sheet'!H453,FIND("|",'Blind Scoring Sheet'!H453)-1))))</f>
        <v/>
      </c>
      <c r="G453" s="81">
        <f>IF(ISNUMBER('Blind Scoring Sheet'!J453),'Blind Scoring Sheet'!J453,VALUE(TRIM(LEFT('Blind Scoring Sheet'!J453,FIND("|",'Blind Scoring Sheet'!J453)-1))))</f>
        <v/>
      </c>
      <c r="H453" s="80">
        <f>IF(ISNUMBER(SEARCH("|",'Blind Scoring Sheet'!K453)),TRIM(LEFT('Blind Scoring Sheet'!K453,FIND("|",'Blind Scoring Sheet'!K453)-1)),TRIM('Blind Scoring Sheet'!K453))</f>
        <v/>
      </c>
    </row>
    <row r="454" ht="15" customHeight="1" s="38">
      <c r="A454" s="80">
        <f>'Blind Scoring Sheet'!A454</f>
        <v/>
      </c>
      <c r="B454" s="80">
        <f>MID(INDEX('Anonymization Key'!$B$4:$B$1003,MATCH(A454,'Anonymization Key'!$A$4:$A$1003,0)),3,2)</f>
        <v/>
      </c>
      <c r="C454" s="81">
        <f>IF(ISNUMBER('Blind Scoring Sheet'!B454),'Blind Scoring Sheet'!B454,VALUE(TRIM(LEFT('Blind Scoring Sheet'!B454,FIND("|",'Blind Scoring Sheet'!B454)-1))))</f>
        <v/>
      </c>
      <c r="D454" s="81">
        <f>IF(ISNUMBER('Blind Scoring Sheet'!D454),'Blind Scoring Sheet'!D454,VALUE(TRIM(LEFT('Blind Scoring Sheet'!D454,FIND("|",'Blind Scoring Sheet'!D454)-1))))</f>
        <v/>
      </c>
      <c r="E454" s="81">
        <f>IF(ISNUMBER('Blind Scoring Sheet'!F454),'Blind Scoring Sheet'!F454,VALUE(TRIM(LEFT('Blind Scoring Sheet'!F454,FIND("|",'Blind Scoring Sheet'!F454)-1))))</f>
        <v/>
      </c>
      <c r="F454" s="81">
        <f>IF(ISNUMBER('Blind Scoring Sheet'!H454),'Blind Scoring Sheet'!H454,VALUE(TRIM(LEFT('Blind Scoring Sheet'!H454,FIND("|",'Blind Scoring Sheet'!H454)-1))))</f>
        <v/>
      </c>
      <c r="G454" s="81">
        <f>IF(ISNUMBER('Blind Scoring Sheet'!J454),'Blind Scoring Sheet'!J454,VALUE(TRIM(LEFT('Blind Scoring Sheet'!J454,FIND("|",'Blind Scoring Sheet'!J454)-1))))</f>
        <v/>
      </c>
      <c r="H454" s="80">
        <f>IF(ISNUMBER(SEARCH("|",'Blind Scoring Sheet'!K454)),TRIM(LEFT('Blind Scoring Sheet'!K454,FIND("|",'Blind Scoring Sheet'!K454)-1)),TRIM('Blind Scoring Sheet'!K454))</f>
        <v/>
      </c>
    </row>
    <row r="455" ht="15" customHeight="1" s="38">
      <c r="A455" s="80">
        <f>'Blind Scoring Sheet'!A455</f>
        <v/>
      </c>
      <c r="B455" s="80">
        <f>MID(INDEX('Anonymization Key'!$B$4:$B$1003,MATCH(A455,'Anonymization Key'!$A$4:$A$1003,0)),3,2)</f>
        <v/>
      </c>
      <c r="C455" s="81">
        <f>IF(ISNUMBER('Blind Scoring Sheet'!B455),'Blind Scoring Sheet'!B455,VALUE(TRIM(LEFT('Blind Scoring Sheet'!B455,FIND("|",'Blind Scoring Sheet'!B455)-1))))</f>
        <v/>
      </c>
      <c r="D455" s="81">
        <f>IF(ISNUMBER('Blind Scoring Sheet'!D455),'Blind Scoring Sheet'!D455,VALUE(TRIM(LEFT('Blind Scoring Sheet'!D455,FIND("|",'Blind Scoring Sheet'!D455)-1))))</f>
        <v/>
      </c>
      <c r="E455" s="81">
        <f>IF(ISNUMBER('Blind Scoring Sheet'!F455),'Blind Scoring Sheet'!F455,VALUE(TRIM(LEFT('Blind Scoring Sheet'!F455,FIND("|",'Blind Scoring Sheet'!F455)-1))))</f>
        <v/>
      </c>
      <c r="F455" s="81">
        <f>IF(ISNUMBER('Blind Scoring Sheet'!H455),'Blind Scoring Sheet'!H455,VALUE(TRIM(LEFT('Blind Scoring Sheet'!H455,FIND("|",'Blind Scoring Sheet'!H455)-1))))</f>
        <v/>
      </c>
      <c r="G455" s="81">
        <f>IF(ISNUMBER('Blind Scoring Sheet'!J455),'Blind Scoring Sheet'!J455,VALUE(TRIM(LEFT('Blind Scoring Sheet'!J455,FIND("|",'Blind Scoring Sheet'!J455)-1))))</f>
        <v/>
      </c>
      <c r="H455" s="80">
        <f>IF(ISNUMBER(SEARCH("|",'Blind Scoring Sheet'!K455)),TRIM(LEFT('Blind Scoring Sheet'!K455,FIND("|",'Blind Scoring Sheet'!K455)-1)),TRIM('Blind Scoring Sheet'!K455))</f>
        <v/>
      </c>
    </row>
    <row r="456" ht="15" customHeight="1" s="38">
      <c r="A456" s="80">
        <f>'Blind Scoring Sheet'!A456</f>
        <v/>
      </c>
      <c r="B456" s="80">
        <f>MID(INDEX('Anonymization Key'!$B$4:$B$1003,MATCH(A456,'Anonymization Key'!$A$4:$A$1003,0)),3,2)</f>
        <v/>
      </c>
      <c r="C456" s="81">
        <f>IF(ISNUMBER('Blind Scoring Sheet'!B456),'Blind Scoring Sheet'!B456,VALUE(TRIM(LEFT('Blind Scoring Sheet'!B456,FIND("|",'Blind Scoring Sheet'!B456)-1))))</f>
        <v/>
      </c>
      <c r="D456" s="81">
        <f>IF(ISNUMBER('Blind Scoring Sheet'!D456),'Blind Scoring Sheet'!D456,VALUE(TRIM(LEFT('Blind Scoring Sheet'!D456,FIND("|",'Blind Scoring Sheet'!D456)-1))))</f>
        <v/>
      </c>
      <c r="E456" s="81">
        <f>IF(ISNUMBER('Blind Scoring Sheet'!F456),'Blind Scoring Sheet'!F456,VALUE(TRIM(LEFT('Blind Scoring Sheet'!F456,FIND("|",'Blind Scoring Sheet'!F456)-1))))</f>
        <v/>
      </c>
      <c r="F456" s="81">
        <f>IF(ISNUMBER('Blind Scoring Sheet'!H456),'Blind Scoring Sheet'!H456,VALUE(TRIM(LEFT('Blind Scoring Sheet'!H456,FIND("|",'Blind Scoring Sheet'!H456)-1))))</f>
        <v/>
      </c>
      <c r="G456" s="81">
        <f>IF(ISNUMBER('Blind Scoring Sheet'!J456),'Blind Scoring Sheet'!J456,VALUE(TRIM(LEFT('Blind Scoring Sheet'!J456,FIND("|",'Blind Scoring Sheet'!J456)-1))))</f>
        <v/>
      </c>
      <c r="H456" s="80">
        <f>IF(ISNUMBER(SEARCH("|",'Blind Scoring Sheet'!K456)),TRIM(LEFT('Blind Scoring Sheet'!K456,FIND("|",'Blind Scoring Sheet'!K456)-1)),TRIM('Blind Scoring Sheet'!K456))</f>
        <v/>
      </c>
    </row>
    <row r="457" ht="15" customHeight="1" s="38">
      <c r="A457" s="80">
        <f>'Blind Scoring Sheet'!A457</f>
        <v/>
      </c>
      <c r="B457" s="80">
        <f>MID(INDEX('Anonymization Key'!$B$4:$B$1003,MATCH(A457,'Anonymization Key'!$A$4:$A$1003,0)),3,2)</f>
        <v/>
      </c>
      <c r="C457" s="81">
        <f>IF(ISNUMBER('Blind Scoring Sheet'!B457),'Blind Scoring Sheet'!B457,VALUE(TRIM(LEFT('Blind Scoring Sheet'!B457,FIND("|",'Blind Scoring Sheet'!B457)-1))))</f>
        <v/>
      </c>
      <c r="D457" s="81">
        <f>IF(ISNUMBER('Blind Scoring Sheet'!D457),'Blind Scoring Sheet'!D457,VALUE(TRIM(LEFT('Blind Scoring Sheet'!D457,FIND("|",'Blind Scoring Sheet'!D457)-1))))</f>
        <v/>
      </c>
      <c r="E457" s="81">
        <f>IF(ISNUMBER('Blind Scoring Sheet'!F457),'Blind Scoring Sheet'!F457,VALUE(TRIM(LEFT('Blind Scoring Sheet'!F457,FIND("|",'Blind Scoring Sheet'!F457)-1))))</f>
        <v/>
      </c>
      <c r="F457" s="81">
        <f>IF(ISNUMBER('Blind Scoring Sheet'!H457),'Blind Scoring Sheet'!H457,VALUE(TRIM(LEFT('Blind Scoring Sheet'!H457,FIND("|",'Blind Scoring Sheet'!H457)-1))))</f>
        <v/>
      </c>
      <c r="G457" s="81">
        <f>IF(ISNUMBER('Blind Scoring Sheet'!J457),'Blind Scoring Sheet'!J457,VALUE(TRIM(LEFT('Blind Scoring Sheet'!J457,FIND("|",'Blind Scoring Sheet'!J457)-1))))</f>
        <v/>
      </c>
      <c r="H457" s="80">
        <f>IF(ISNUMBER(SEARCH("|",'Blind Scoring Sheet'!K457)),TRIM(LEFT('Blind Scoring Sheet'!K457,FIND("|",'Blind Scoring Sheet'!K457)-1)),TRIM('Blind Scoring Sheet'!K457))</f>
        <v/>
      </c>
    </row>
    <row r="458" ht="15" customHeight="1" s="38">
      <c r="A458" s="80">
        <f>'Blind Scoring Sheet'!A458</f>
        <v/>
      </c>
      <c r="B458" s="80">
        <f>MID(INDEX('Anonymization Key'!$B$4:$B$1003,MATCH(A458,'Anonymization Key'!$A$4:$A$1003,0)),3,2)</f>
        <v/>
      </c>
      <c r="C458" s="81">
        <f>IF(ISNUMBER('Blind Scoring Sheet'!B458),'Blind Scoring Sheet'!B458,VALUE(TRIM(LEFT('Blind Scoring Sheet'!B458,FIND("|",'Blind Scoring Sheet'!B458)-1))))</f>
        <v/>
      </c>
      <c r="D458" s="81">
        <f>IF(ISNUMBER('Blind Scoring Sheet'!D458),'Blind Scoring Sheet'!D458,VALUE(TRIM(LEFT('Blind Scoring Sheet'!D458,FIND("|",'Blind Scoring Sheet'!D458)-1))))</f>
        <v/>
      </c>
      <c r="E458" s="81">
        <f>IF(ISNUMBER('Blind Scoring Sheet'!F458),'Blind Scoring Sheet'!F458,VALUE(TRIM(LEFT('Blind Scoring Sheet'!F458,FIND("|",'Blind Scoring Sheet'!F458)-1))))</f>
        <v/>
      </c>
      <c r="F458" s="81">
        <f>IF(ISNUMBER('Blind Scoring Sheet'!H458),'Blind Scoring Sheet'!H458,VALUE(TRIM(LEFT('Blind Scoring Sheet'!H458,FIND("|",'Blind Scoring Sheet'!H458)-1))))</f>
        <v/>
      </c>
      <c r="G458" s="81">
        <f>IF(ISNUMBER('Blind Scoring Sheet'!J458),'Blind Scoring Sheet'!J458,VALUE(TRIM(LEFT('Blind Scoring Sheet'!J458,FIND("|",'Blind Scoring Sheet'!J458)-1))))</f>
        <v/>
      </c>
      <c r="H458" s="80">
        <f>IF(ISNUMBER(SEARCH("|",'Blind Scoring Sheet'!K458)),TRIM(LEFT('Blind Scoring Sheet'!K458,FIND("|",'Blind Scoring Sheet'!K458)-1)),TRIM('Blind Scoring Sheet'!K458))</f>
        <v/>
      </c>
    </row>
    <row r="459" ht="15" customHeight="1" s="38">
      <c r="A459" s="80">
        <f>'Blind Scoring Sheet'!A459</f>
        <v/>
      </c>
      <c r="B459" s="80">
        <f>MID(INDEX('Anonymization Key'!$B$4:$B$1003,MATCH(A459,'Anonymization Key'!$A$4:$A$1003,0)),3,2)</f>
        <v/>
      </c>
      <c r="C459" s="81">
        <f>IF(ISNUMBER('Blind Scoring Sheet'!B459),'Blind Scoring Sheet'!B459,VALUE(TRIM(LEFT('Blind Scoring Sheet'!B459,FIND("|",'Blind Scoring Sheet'!B459)-1))))</f>
        <v/>
      </c>
      <c r="D459" s="81">
        <f>IF(ISNUMBER('Blind Scoring Sheet'!D459),'Blind Scoring Sheet'!D459,VALUE(TRIM(LEFT('Blind Scoring Sheet'!D459,FIND("|",'Blind Scoring Sheet'!D459)-1))))</f>
        <v/>
      </c>
      <c r="E459" s="81">
        <f>IF(ISNUMBER('Blind Scoring Sheet'!F459),'Blind Scoring Sheet'!F459,VALUE(TRIM(LEFT('Blind Scoring Sheet'!F459,FIND("|",'Blind Scoring Sheet'!F459)-1))))</f>
        <v/>
      </c>
      <c r="F459" s="81">
        <f>IF(ISNUMBER('Blind Scoring Sheet'!H459),'Blind Scoring Sheet'!H459,VALUE(TRIM(LEFT('Blind Scoring Sheet'!H459,FIND("|",'Blind Scoring Sheet'!H459)-1))))</f>
        <v/>
      </c>
      <c r="G459" s="81">
        <f>IF(ISNUMBER('Blind Scoring Sheet'!J459),'Blind Scoring Sheet'!J459,VALUE(TRIM(LEFT('Blind Scoring Sheet'!J459,FIND("|",'Blind Scoring Sheet'!J459)-1))))</f>
        <v/>
      </c>
      <c r="H459" s="80">
        <f>IF(ISNUMBER(SEARCH("|",'Blind Scoring Sheet'!K459)),TRIM(LEFT('Blind Scoring Sheet'!K459,FIND("|",'Blind Scoring Sheet'!K459)-1)),TRIM('Blind Scoring Sheet'!K459))</f>
        <v/>
      </c>
    </row>
    <row r="460" ht="15" customHeight="1" s="38">
      <c r="A460" s="80">
        <f>'Blind Scoring Sheet'!A460</f>
        <v/>
      </c>
      <c r="B460" s="80">
        <f>MID(INDEX('Anonymization Key'!$B$4:$B$1003,MATCH(A460,'Anonymization Key'!$A$4:$A$1003,0)),3,2)</f>
        <v/>
      </c>
      <c r="C460" s="81">
        <f>IF(ISNUMBER('Blind Scoring Sheet'!B460),'Blind Scoring Sheet'!B460,VALUE(TRIM(LEFT('Blind Scoring Sheet'!B460,FIND("|",'Blind Scoring Sheet'!B460)-1))))</f>
        <v/>
      </c>
      <c r="D460" s="81">
        <f>IF(ISNUMBER('Blind Scoring Sheet'!D460),'Blind Scoring Sheet'!D460,VALUE(TRIM(LEFT('Blind Scoring Sheet'!D460,FIND("|",'Blind Scoring Sheet'!D460)-1))))</f>
        <v/>
      </c>
      <c r="E460" s="81">
        <f>IF(ISNUMBER('Blind Scoring Sheet'!F460),'Blind Scoring Sheet'!F460,VALUE(TRIM(LEFT('Blind Scoring Sheet'!F460,FIND("|",'Blind Scoring Sheet'!F460)-1))))</f>
        <v/>
      </c>
      <c r="F460" s="81">
        <f>IF(ISNUMBER('Blind Scoring Sheet'!H460),'Blind Scoring Sheet'!H460,VALUE(TRIM(LEFT('Blind Scoring Sheet'!H460,FIND("|",'Blind Scoring Sheet'!H460)-1))))</f>
        <v/>
      </c>
      <c r="G460" s="81">
        <f>IF(ISNUMBER('Blind Scoring Sheet'!J460),'Blind Scoring Sheet'!J460,VALUE(TRIM(LEFT('Blind Scoring Sheet'!J460,FIND("|",'Blind Scoring Sheet'!J460)-1))))</f>
        <v/>
      </c>
      <c r="H460" s="80">
        <f>IF(ISNUMBER(SEARCH("|",'Blind Scoring Sheet'!K460)),TRIM(LEFT('Blind Scoring Sheet'!K460,FIND("|",'Blind Scoring Sheet'!K460)-1)),TRIM('Blind Scoring Sheet'!K460))</f>
        <v/>
      </c>
    </row>
    <row r="461" ht="15" customHeight="1" s="38">
      <c r="A461" s="80">
        <f>'Blind Scoring Sheet'!A461</f>
        <v/>
      </c>
      <c r="B461" s="80">
        <f>MID(INDEX('Anonymization Key'!$B$4:$B$1003,MATCH(A461,'Anonymization Key'!$A$4:$A$1003,0)),3,2)</f>
        <v/>
      </c>
      <c r="C461" s="81">
        <f>IF(ISNUMBER('Blind Scoring Sheet'!B461),'Blind Scoring Sheet'!B461,VALUE(TRIM(LEFT('Blind Scoring Sheet'!B461,FIND("|",'Blind Scoring Sheet'!B461)-1))))</f>
        <v/>
      </c>
      <c r="D461" s="81">
        <f>IF(ISNUMBER('Blind Scoring Sheet'!D461),'Blind Scoring Sheet'!D461,VALUE(TRIM(LEFT('Blind Scoring Sheet'!D461,FIND("|",'Blind Scoring Sheet'!D461)-1))))</f>
        <v/>
      </c>
      <c r="E461" s="81">
        <f>IF(ISNUMBER('Blind Scoring Sheet'!F461),'Blind Scoring Sheet'!F461,VALUE(TRIM(LEFT('Blind Scoring Sheet'!F461,FIND("|",'Blind Scoring Sheet'!F461)-1))))</f>
        <v/>
      </c>
      <c r="F461" s="81">
        <f>IF(ISNUMBER('Blind Scoring Sheet'!H461),'Blind Scoring Sheet'!H461,VALUE(TRIM(LEFT('Blind Scoring Sheet'!H461,FIND("|",'Blind Scoring Sheet'!H461)-1))))</f>
        <v/>
      </c>
      <c r="G461" s="81">
        <f>IF(ISNUMBER('Blind Scoring Sheet'!J461),'Blind Scoring Sheet'!J461,VALUE(TRIM(LEFT('Blind Scoring Sheet'!J461,FIND("|",'Blind Scoring Sheet'!J461)-1))))</f>
        <v/>
      </c>
      <c r="H461" s="80">
        <f>IF(ISNUMBER(SEARCH("|",'Blind Scoring Sheet'!K461)),TRIM(LEFT('Blind Scoring Sheet'!K461,FIND("|",'Blind Scoring Sheet'!K461)-1)),TRIM('Blind Scoring Sheet'!K461))</f>
        <v/>
      </c>
    </row>
    <row r="462" ht="15" customHeight="1" s="38">
      <c r="A462" s="80">
        <f>'Blind Scoring Sheet'!A462</f>
        <v/>
      </c>
      <c r="B462" s="80">
        <f>MID(INDEX('Anonymization Key'!$B$4:$B$1003,MATCH(A462,'Anonymization Key'!$A$4:$A$1003,0)),3,2)</f>
        <v/>
      </c>
      <c r="C462" s="81">
        <f>IF(ISNUMBER('Blind Scoring Sheet'!B462),'Blind Scoring Sheet'!B462,VALUE(TRIM(LEFT('Blind Scoring Sheet'!B462,FIND("|",'Blind Scoring Sheet'!B462)-1))))</f>
        <v/>
      </c>
      <c r="D462" s="81">
        <f>IF(ISNUMBER('Blind Scoring Sheet'!D462),'Blind Scoring Sheet'!D462,VALUE(TRIM(LEFT('Blind Scoring Sheet'!D462,FIND("|",'Blind Scoring Sheet'!D462)-1))))</f>
        <v/>
      </c>
      <c r="E462" s="81">
        <f>IF(ISNUMBER('Blind Scoring Sheet'!F462),'Blind Scoring Sheet'!F462,VALUE(TRIM(LEFT('Blind Scoring Sheet'!F462,FIND("|",'Blind Scoring Sheet'!F462)-1))))</f>
        <v/>
      </c>
      <c r="F462" s="81">
        <f>IF(ISNUMBER('Blind Scoring Sheet'!H462),'Blind Scoring Sheet'!H462,VALUE(TRIM(LEFT('Blind Scoring Sheet'!H462,FIND("|",'Blind Scoring Sheet'!H462)-1))))</f>
        <v/>
      </c>
      <c r="G462" s="81">
        <f>IF(ISNUMBER('Blind Scoring Sheet'!J462),'Blind Scoring Sheet'!J462,VALUE(TRIM(LEFT('Blind Scoring Sheet'!J462,FIND("|",'Blind Scoring Sheet'!J462)-1))))</f>
        <v/>
      </c>
      <c r="H462" s="80">
        <f>IF(ISNUMBER(SEARCH("|",'Blind Scoring Sheet'!K462)),TRIM(LEFT('Blind Scoring Sheet'!K462,FIND("|",'Blind Scoring Sheet'!K462)-1)),TRIM('Blind Scoring Sheet'!K462))</f>
        <v/>
      </c>
    </row>
    <row r="463" ht="15" customHeight="1" s="38">
      <c r="A463" s="80">
        <f>'Blind Scoring Sheet'!A463</f>
        <v/>
      </c>
      <c r="B463" s="80">
        <f>MID(INDEX('Anonymization Key'!$B$4:$B$1003,MATCH(A463,'Anonymization Key'!$A$4:$A$1003,0)),3,2)</f>
        <v/>
      </c>
      <c r="C463" s="81">
        <f>IF(ISNUMBER('Blind Scoring Sheet'!B463),'Blind Scoring Sheet'!B463,VALUE(TRIM(LEFT('Blind Scoring Sheet'!B463,FIND("|",'Blind Scoring Sheet'!B463)-1))))</f>
        <v/>
      </c>
      <c r="D463" s="81">
        <f>IF(ISNUMBER('Blind Scoring Sheet'!D463),'Blind Scoring Sheet'!D463,VALUE(TRIM(LEFT('Blind Scoring Sheet'!D463,FIND("|",'Blind Scoring Sheet'!D463)-1))))</f>
        <v/>
      </c>
      <c r="E463" s="81">
        <f>IF(ISNUMBER('Blind Scoring Sheet'!F463),'Blind Scoring Sheet'!F463,VALUE(TRIM(LEFT('Blind Scoring Sheet'!F463,FIND("|",'Blind Scoring Sheet'!F463)-1))))</f>
        <v/>
      </c>
      <c r="F463" s="81">
        <f>IF(ISNUMBER('Blind Scoring Sheet'!H463),'Blind Scoring Sheet'!H463,VALUE(TRIM(LEFT('Blind Scoring Sheet'!H463,FIND("|",'Blind Scoring Sheet'!H463)-1))))</f>
        <v/>
      </c>
      <c r="G463" s="81">
        <f>IF(ISNUMBER('Blind Scoring Sheet'!J463),'Blind Scoring Sheet'!J463,VALUE(TRIM(LEFT('Blind Scoring Sheet'!J463,FIND("|",'Blind Scoring Sheet'!J463)-1))))</f>
        <v/>
      </c>
      <c r="H463" s="80">
        <f>IF(ISNUMBER(SEARCH("|",'Blind Scoring Sheet'!K463)),TRIM(LEFT('Blind Scoring Sheet'!K463,FIND("|",'Blind Scoring Sheet'!K463)-1)),TRIM('Blind Scoring Sheet'!K463))</f>
        <v/>
      </c>
    </row>
    <row r="464" ht="15" customHeight="1" s="38">
      <c r="A464" s="80">
        <f>'Blind Scoring Sheet'!A464</f>
        <v/>
      </c>
      <c r="B464" s="80">
        <f>MID(INDEX('Anonymization Key'!$B$4:$B$1003,MATCH(A464,'Anonymization Key'!$A$4:$A$1003,0)),3,2)</f>
        <v/>
      </c>
      <c r="C464" s="81">
        <f>IF(ISNUMBER('Blind Scoring Sheet'!B464),'Blind Scoring Sheet'!B464,VALUE(TRIM(LEFT('Blind Scoring Sheet'!B464,FIND("|",'Blind Scoring Sheet'!B464)-1))))</f>
        <v/>
      </c>
      <c r="D464" s="81">
        <f>IF(ISNUMBER('Blind Scoring Sheet'!D464),'Blind Scoring Sheet'!D464,VALUE(TRIM(LEFT('Blind Scoring Sheet'!D464,FIND("|",'Blind Scoring Sheet'!D464)-1))))</f>
        <v/>
      </c>
      <c r="E464" s="81">
        <f>IF(ISNUMBER('Blind Scoring Sheet'!F464),'Blind Scoring Sheet'!F464,VALUE(TRIM(LEFT('Blind Scoring Sheet'!F464,FIND("|",'Blind Scoring Sheet'!F464)-1))))</f>
        <v/>
      </c>
      <c r="F464" s="81">
        <f>IF(ISNUMBER('Blind Scoring Sheet'!H464),'Blind Scoring Sheet'!H464,VALUE(TRIM(LEFT('Blind Scoring Sheet'!H464,FIND("|",'Blind Scoring Sheet'!H464)-1))))</f>
        <v/>
      </c>
      <c r="G464" s="81">
        <f>IF(ISNUMBER('Blind Scoring Sheet'!J464),'Blind Scoring Sheet'!J464,VALUE(TRIM(LEFT('Blind Scoring Sheet'!J464,FIND("|",'Blind Scoring Sheet'!J464)-1))))</f>
        <v/>
      </c>
      <c r="H464" s="80">
        <f>IF(ISNUMBER(SEARCH("|",'Blind Scoring Sheet'!K464)),TRIM(LEFT('Blind Scoring Sheet'!K464,FIND("|",'Blind Scoring Sheet'!K464)-1)),TRIM('Blind Scoring Sheet'!K464))</f>
        <v/>
      </c>
    </row>
    <row r="465" ht="15" customHeight="1" s="38">
      <c r="A465" s="80">
        <f>'Blind Scoring Sheet'!A465</f>
        <v/>
      </c>
      <c r="B465" s="80">
        <f>MID(INDEX('Anonymization Key'!$B$4:$B$1003,MATCH(A465,'Anonymization Key'!$A$4:$A$1003,0)),3,2)</f>
        <v/>
      </c>
      <c r="C465" s="81">
        <f>IF(ISNUMBER('Blind Scoring Sheet'!B465),'Blind Scoring Sheet'!B465,VALUE(TRIM(LEFT('Blind Scoring Sheet'!B465,FIND("|",'Blind Scoring Sheet'!B465)-1))))</f>
        <v/>
      </c>
      <c r="D465" s="81">
        <f>IF(ISNUMBER('Blind Scoring Sheet'!D465),'Blind Scoring Sheet'!D465,VALUE(TRIM(LEFT('Blind Scoring Sheet'!D465,FIND("|",'Blind Scoring Sheet'!D465)-1))))</f>
        <v/>
      </c>
      <c r="E465" s="81">
        <f>IF(ISNUMBER('Blind Scoring Sheet'!F465),'Blind Scoring Sheet'!F465,VALUE(TRIM(LEFT('Blind Scoring Sheet'!F465,FIND("|",'Blind Scoring Sheet'!F465)-1))))</f>
        <v/>
      </c>
      <c r="F465" s="81">
        <f>IF(ISNUMBER('Blind Scoring Sheet'!H465),'Blind Scoring Sheet'!H465,VALUE(TRIM(LEFT('Blind Scoring Sheet'!H465,FIND("|",'Blind Scoring Sheet'!H465)-1))))</f>
        <v/>
      </c>
      <c r="G465" s="81">
        <f>IF(ISNUMBER('Blind Scoring Sheet'!J465),'Blind Scoring Sheet'!J465,VALUE(TRIM(LEFT('Blind Scoring Sheet'!J465,FIND("|",'Blind Scoring Sheet'!J465)-1))))</f>
        <v/>
      </c>
      <c r="H465" s="80">
        <f>IF(ISNUMBER(SEARCH("|",'Blind Scoring Sheet'!K465)),TRIM(LEFT('Blind Scoring Sheet'!K465,FIND("|",'Blind Scoring Sheet'!K465)-1)),TRIM('Blind Scoring Sheet'!K465))</f>
        <v/>
      </c>
    </row>
    <row r="466" ht="15" customHeight="1" s="38">
      <c r="A466" s="80">
        <f>'Blind Scoring Sheet'!A466</f>
        <v/>
      </c>
      <c r="B466" s="80">
        <f>MID(INDEX('Anonymization Key'!$B$4:$B$1003,MATCH(A466,'Anonymization Key'!$A$4:$A$1003,0)),3,2)</f>
        <v/>
      </c>
      <c r="C466" s="81">
        <f>IF(ISNUMBER('Blind Scoring Sheet'!B466),'Blind Scoring Sheet'!B466,VALUE(TRIM(LEFT('Blind Scoring Sheet'!B466,FIND("|",'Blind Scoring Sheet'!B466)-1))))</f>
        <v/>
      </c>
      <c r="D466" s="81">
        <f>IF(ISNUMBER('Blind Scoring Sheet'!D466),'Blind Scoring Sheet'!D466,VALUE(TRIM(LEFT('Blind Scoring Sheet'!D466,FIND("|",'Blind Scoring Sheet'!D466)-1))))</f>
        <v/>
      </c>
      <c r="E466" s="81">
        <f>IF(ISNUMBER('Blind Scoring Sheet'!F466),'Blind Scoring Sheet'!F466,VALUE(TRIM(LEFT('Blind Scoring Sheet'!F466,FIND("|",'Blind Scoring Sheet'!F466)-1))))</f>
        <v/>
      </c>
      <c r="F466" s="81">
        <f>IF(ISNUMBER('Blind Scoring Sheet'!H466),'Blind Scoring Sheet'!H466,VALUE(TRIM(LEFT('Blind Scoring Sheet'!H466,FIND("|",'Blind Scoring Sheet'!H466)-1))))</f>
        <v/>
      </c>
      <c r="G466" s="81">
        <f>IF(ISNUMBER('Blind Scoring Sheet'!J466),'Blind Scoring Sheet'!J466,VALUE(TRIM(LEFT('Blind Scoring Sheet'!J466,FIND("|",'Blind Scoring Sheet'!J466)-1))))</f>
        <v/>
      </c>
      <c r="H466" s="80">
        <f>IF(ISNUMBER(SEARCH("|",'Blind Scoring Sheet'!K466)),TRIM(LEFT('Blind Scoring Sheet'!K466,FIND("|",'Blind Scoring Sheet'!K466)-1)),TRIM('Blind Scoring Sheet'!K466))</f>
        <v/>
      </c>
    </row>
    <row r="467" ht="15" customHeight="1" s="38">
      <c r="A467" s="80">
        <f>'Blind Scoring Sheet'!A467</f>
        <v/>
      </c>
      <c r="B467" s="80">
        <f>MID(INDEX('Anonymization Key'!$B$4:$B$1003,MATCH(A467,'Anonymization Key'!$A$4:$A$1003,0)),3,2)</f>
        <v/>
      </c>
      <c r="C467" s="81">
        <f>IF(ISNUMBER('Blind Scoring Sheet'!B467),'Blind Scoring Sheet'!B467,VALUE(TRIM(LEFT('Blind Scoring Sheet'!B467,FIND("|",'Blind Scoring Sheet'!B467)-1))))</f>
        <v/>
      </c>
      <c r="D467" s="81">
        <f>IF(ISNUMBER('Blind Scoring Sheet'!D467),'Blind Scoring Sheet'!D467,VALUE(TRIM(LEFT('Blind Scoring Sheet'!D467,FIND("|",'Blind Scoring Sheet'!D467)-1))))</f>
        <v/>
      </c>
      <c r="E467" s="81">
        <f>IF(ISNUMBER('Blind Scoring Sheet'!F467),'Blind Scoring Sheet'!F467,VALUE(TRIM(LEFT('Blind Scoring Sheet'!F467,FIND("|",'Blind Scoring Sheet'!F467)-1))))</f>
        <v/>
      </c>
      <c r="F467" s="81">
        <f>IF(ISNUMBER('Blind Scoring Sheet'!H467),'Blind Scoring Sheet'!H467,VALUE(TRIM(LEFT('Blind Scoring Sheet'!H467,FIND("|",'Blind Scoring Sheet'!H467)-1))))</f>
        <v/>
      </c>
      <c r="G467" s="81">
        <f>IF(ISNUMBER('Blind Scoring Sheet'!J467),'Blind Scoring Sheet'!J467,VALUE(TRIM(LEFT('Blind Scoring Sheet'!J467,FIND("|",'Blind Scoring Sheet'!J467)-1))))</f>
        <v/>
      </c>
      <c r="H467" s="80">
        <f>IF(ISNUMBER(SEARCH("|",'Blind Scoring Sheet'!K467)),TRIM(LEFT('Blind Scoring Sheet'!K467,FIND("|",'Blind Scoring Sheet'!K467)-1)),TRIM('Blind Scoring Sheet'!K467))</f>
        <v/>
      </c>
    </row>
    <row r="468" ht="15" customHeight="1" s="38">
      <c r="A468" s="80">
        <f>'Blind Scoring Sheet'!A468</f>
        <v/>
      </c>
      <c r="B468" s="80">
        <f>MID(INDEX('Anonymization Key'!$B$4:$B$1003,MATCH(A468,'Anonymization Key'!$A$4:$A$1003,0)),3,2)</f>
        <v/>
      </c>
      <c r="C468" s="81">
        <f>IF(ISNUMBER('Blind Scoring Sheet'!B468),'Blind Scoring Sheet'!B468,VALUE(TRIM(LEFT('Blind Scoring Sheet'!B468,FIND("|",'Blind Scoring Sheet'!B468)-1))))</f>
        <v/>
      </c>
      <c r="D468" s="81">
        <f>IF(ISNUMBER('Blind Scoring Sheet'!D468),'Blind Scoring Sheet'!D468,VALUE(TRIM(LEFT('Blind Scoring Sheet'!D468,FIND("|",'Blind Scoring Sheet'!D468)-1))))</f>
        <v/>
      </c>
      <c r="E468" s="81">
        <f>IF(ISNUMBER('Blind Scoring Sheet'!F468),'Blind Scoring Sheet'!F468,VALUE(TRIM(LEFT('Blind Scoring Sheet'!F468,FIND("|",'Blind Scoring Sheet'!F468)-1))))</f>
        <v/>
      </c>
      <c r="F468" s="81">
        <f>IF(ISNUMBER('Blind Scoring Sheet'!H468),'Blind Scoring Sheet'!H468,VALUE(TRIM(LEFT('Blind Scoring Sheet'!H468,FIND("|",'Blind Scoring Sheet'!H468)-1))))</f>
        <v/>
      </c>
      <c r="G468" s="81">
        <f>IF(ISNUMBER('Blind Scoring Sheet'!J468),'Blind Scoring Sheet'!J468,VALUE(TRIM(LEFT('Blind Scoring Sheet'!J468,FIND("|",'Blind Scoring Sheet'!J468)-1))))</f>
        <v/>
      </c>
      <c r="H468" s="80">
        <f>IF(ISNUMBER(SEARCH("|",'Blind Scoring Sheet'!K468)),TRIM(LEFT('Blind Scoring Sheet'!K468,FIND("|",'Blind Scoring Sheet'!K468)-1)),TRIM('Blind Scoring Sheet'!K468))</f>
        <v/>
      </c>
    </row>
    <row r="469" ht="15" customHeight="1" s="38">
      <c r="A469" s="80">
        <f>'Blind Scoring Sheet'!A469</f>
        <v/>
      </c>
      <c r="B469" s="80">
        <f>MID(INDEX('Anonymization Key'!$B$4:$B$1003,MATCH(A469,'Anonymization Key'!$A$4:$A$1003,0)),3,2)</f>
        <v/>
      </c>
      <c r="C469" s="81">
        <f>IF(ISNUMBER('Blind Scoring Sheet'!B469),'Blind Scoring Sheet'!B469,VALUE(TRIM(LEFT('Blind Scoring Sheet'!B469,FIND("|",'Blind Scoring Sheet'!B469)-1))))</f>
        <v/>
      </c>
      <c r="D469" s="81">
        <f>IF(ISNUMBER('Blind Scoring Sheet'!D469),'Blind Scoring Sheet'!D469,VALUE(TRIM(LEFT('Blind Scoring Sheet'!D469,FIND("|",'Blind Scoring Sheet'!D469)-1))))</f>
        <v/>
      </c>
      <c r="E469" s="81">
        <f>IF(ISNUMBER('Blind Scoring Sheet'!F469),'Blind Scoring Sheet'!F469,VALUE(TRIM(LEFT('Blind Scoring Sheet'!F469,FIND("|",'Blind Scoring Sheet'!F469)-1))))</f>
        <v/>
      </c>
      <c r="F469" s="81">
        <f>IF(ISNUMBER('Blind Scoring Sheet'!H469),'Blind Scoring Sheet'!H469,VALUE(TRIM(LEFT('Blind Scoring Sheet'!H469,FIND("|",'Blind Scoring Sheet'!H469)-1))))</f>
        <v/>
      </c>
      <c r="G469" s="81">
        <f>IF(ISNUMBER('Blind Scoring Sheet'!J469),'Blind Scoring Sheet'!J469,VALUE(TRIM(LEFT('Blind Scoring Sheet'!J469,FIND("|",'Blind Scoring Sheet'!J469)-1))))</f>
        <v/>
      </c>
      <c r="H469" s="80">
        <f>IF(ISNUMBER(SEARCH("|",'Blind Scoring Sheet'!K469)),TRIM(LEFT('Blind Scoring Sheet'!K469,FIND("|",'Blind Scoring Sheet'!K469)-1)),TRIM('Blind Scoring Sheet'!K469))</f>
        <v/>
      </c>
    </row>
    <row r="470" ht="15" customHeight="1" s="38">
      <c r="A470" s="80">
        <f>'Blind Scoring Sheet'!A470</f>
        <v/>
      </c>
      <c r="B470" s="80">
        <f>MID(INDEX('Anonymization Key'!$B$4:$B$1003,MATCH(A470,'Anonymization Key'!$A$4:$A$1003,0)),3,2)</f>
        <v/>
      </c>
      <c r="C470" s="81">
        <f>IF(ISNUMBER('Blind Scoring Sheet'!B470),'Blind Scoring Sheet'!B470,VALUE(TRIM(LEFT('Blind Scoring Sheet'!B470,FIND("|",'Blind Scoring Sheet'!B470)-1))))</f>
        <v/>
      </c>
      <c r="D470" s="81">
        <f>IF(ISNUMBER('Blind Scoring Sheet'!D470),'Blind Scoring Sheet'!D470,VALUE(TRIM(LEFT('Blind Scoring Sheet'!D470,FIND("|",'Blind Scoring Sheet'!D470)-1))))</f>
        <v/>
      </c>
      <c r="E470" s="81">
        <f>IF(ISNUMBER('Blind Scoring Sheet'!F470),'Blind Scoring Sheet'!F470,VALUE(TRIM(LEFT('Blind Scoring Sheet'!F470,FIND("|",'Blind Scoring Sheet'!F470)-1))))</f>
        <v/>
      </c>
      <c r="F470" s="81">
        <f>IF(ISNUMBER('Blind Scoring Sheet'!H470),'Blind Scoring Sheet'!H470,VALUE(TRIM(LEFT('Blind Scoring Sheet'!H470,FIND("|",'Blind Scoring Sheet'!H470)-1))))</f>
        <v/>
      </c>
      <c r="G470" s="81">
        <f>IF(ISNUMBER('Blind Scoring Sheet'!J470),'Blind Scoring Sheet'!J470,VALUE(TRIM(LEFT('Blind Scoring Sheet'!J470,FIND("|",'Blind Scoring Sheet'!J470)-1))))</f>
        <v/>
      </c>
      <c r="H470" s="80">
        <f>IF(ISNUMBER(SEARCH("|",'Blind Scoring Sheet'!K470)),TRIM(LEFT('Blind Scoring Sheet'!K470,FIND("|",'Blind Scoring Sheet'!K470)-1)),TRIM('Blind Scoring Sheet'!K470))</f>
        <v/>
      </c>
    </row>
    <row r="471" ht="15" customHeight="1" s="38">
      <c r="A471" s="80">
        <f>'Blind Scoring Sheet'!A471</f>
        <v/>
      </c>
      <c r="B471" s="80">
        <f>MID(INDEX('Anonymization Key'!$B$4:$B$1003,MATCH(A471,'Anonymization Key'!$A$4:$A$1003,0)),3,2)</f>
        <v/>
      </c>
      <c r="C471" s="81">
        <f>IF(ISNUMBER('Blind Scoring Sheet'!B471),'Blind Scoring Sheet'!B471,VALUE(TRIM(LEFT('Blind Scoring Sheet'!B471,FIND("|",'Blind Scoring Sheet'!B471)-1))))</f>
        <v/>
      </c>
      <c r="D471" s="81">
        <f>IF(ISNUMBER('Blind Scoring Sheet'!D471),'Blind Scoring Sheet'!D471,VALUE(TRIM(LEFT('Blind Scoring Sheet'!D471,FIND("|",'Blind Scoring Sheet'!D471)-1))))</f>
        <v/>
      </c>
      <c r="E471" s="81">
        <f>IF(ISNUMBER('Blind Scoring Sheet'!F471),'Blind Scoring Sheet'!F471,VALUE(TRIM(LEFT('Blind Scoring Sheet'!F471,FIND("|",'Blind Scoring Sheet'!F471)-1))))</f>
        <v/>
      </c>
      <c r="F471" s="81">
        <f>IF(ISNUMBER('Blind Scoring Sheet'!H471),'Blind Scoring Sheet'!H471,VALUE(TRIM(LEFT('Blind Scoring Sheet'!H471,FIND("|",'Blind Scoring Sheet'!H471)-1))))</f>
        <v/>
      </c>
      <c r="G471" s="81">
        <f>IF(ISNUMBER('Blind Scoring Sheet'!J471),'Blind Scoring Sheet'!J471,VALUE(TRIM(LEFT('Blind Scoring Sheet'!J471,FIND("|",'Blind Scoring Sheet'!J471)-1))))</f>
        <v/>
      </c>
      <c r="H471" s="80">
        <f>IF(ISNUMBER(SEARCH("|",'Blind Scoring Sheet'!K471)),TRIM(LEFT('Blind Scoring Sheet'!K471,FIND("|",'Blind Scoring Sheet'!K471)-1)),TRIM('Blind Scoring Sheet'!K471))</f>
        <v/>
      </c>
    </row>
    <row r="472" ht="15" customHeight="1" s="38">
      <c r="A472" s="80">
        <f>'Blind Scoring Sheet'!A472</f>
        <v/>
      </c>
      <c r="B472" s="80">
        <f>MID(INDEX('Anonymization Key'!$B$4:$B$1003,MATCH(A472,'Anonymization Key'!$A$4:$A$1003,0)),3,2)</f>
        <v/>
      </c>
      <c r="C472" s="81">
        <f>IF(ISNUMBER('Blind Scoring Sheet'!B472),'Blind Scoring Sheet'!B472,VALUE(TRIM(LEFT('Blind Scoring Sheet'!B472,FIND("|",'Blind Scoring Sheet'!B472)-1))))</f>
        <v/>
      </c>
      <c r="D472" s="81">
        <f>IF(ISNUMBER('Blind Scoring Sheet'!D472),'Blind Scoring Sheet'!D472,VALUE(TRIM(LEFT('Blind Scoring Sheet'!D472,FIND("|",'Blind Scoring Sheet'!D472)-1))))</f>
        <v/>
      </c>
      <c r="E472" s="81">
        <f>IF(ISNUMBER('Blind Scoring Sheet'!F472),'Blind Scoring Sheet'!F472,VALUE(TRIM(LEFT('Blind Scoring Sheet'!F472,FIND("|",'Blind Scoring Sheet'!F472)-1))))</f>
        <v/>
      </c>
      <c r="F472" s="81">
        <f>IF(ISNUMBER('Blind Scoring Sheet'!H472),'Blind Scoring Sheet'!H472,VALUE(TRIM(LEFT('Blind Scoring Sheet'!H472,FIND("|",'Blind Scoring Sheet'!H472)-1))))</f>
        <v/>
      </c>
      <c r="G472" s="81">
        <f>IF(ISNUMBER('Blind Scoring Sheet'!J472),'Blind Scoring Sheet'!J472,VALUE(TRIM(LEFT('Blind Scoring Sheet'!J472,FIND("|",'Blind Scoring Sheet'!J472)-1))))</f>
        <v/>
      </c>
      <c r="H472" s="80">
        <f>IF(ISNUMBER(SEARCH("|",'Blind Scoring Sheet'!K472)),TRIM(LEFT('Blind Scoring Sheet'!K472,FIND("|",'Blind Scoring Sheet'!K472)-1)),TRIM('Blind Scoring Sheet'!K472))</f>
        <v/>
      </c>
    </row>
    <row r="473" ht="15" customHeight="1" s="38">
      <c r="A473" s="80">
        <f>'Blind Scoring Sheet'!A473</f>
        <v/>
      </c>
      <c r="B473" s="80">
        <f>MID(INDEX('Anonymization Key'!$B$4:$B$1003,MATCH(A473,'Anonymization Key'!$A$4:$A$1003,0)),3,2)</f>
        <v/>
      </c>
      <c r="C473" s="81">
        <f>IF(ISNUMBER('Blind Scoring Sheet'!B473),'Blind Scoring Sheet'!B473,VALUE(TRIM(LEFT('Blind Scoring Sheet'!B473,FIND("|",'Blind Scoring Sheet'!B473)-1))))</f>
        <v/>
      </c>
      <c r="D473" s="81">
        <f>IF(ISNUMBER('Blind Scoring Sheet'!D473),'Blind Scoring Sheet'!D473,VALUE(TRIM(LEFT('Blind Scoring Sheet'!D473,FIND("|",'Blind Scoring Sheet'!D473)-1))))</f>
        <v/>
      </c>
      <c r="E473" s="81">
        <f>IF(ISNUMBER('Blind Scoring Sheet'!F473),'Blind Scoring Sheet'!F473,VALUE(TRIM(LEFT('Blind Scoring Sheet'!F473,FIND("|",'Blind Scoring Sheet'!F473)-1))))</f>
        <v/>
      </c>
      <c r="F473" s="81">
        <f>IF(ISNUMBER('Blind Scoring Sheet'!H473),'Blind Scoring Sheet'!H473,VALUE(TRIM(LEFT('Blind Scoring Sheet'!H473,FIND("|",'Blind Scoring Sheet'!H473)-1))))</f>
        <v/>
      </c>
      <c r="G473" s="81">
        <f>IF(ISNUMBER('Blind Scoring Sheet'!J473),'Blind Scoring Sheet'!J473,VALUE(TRIM(LEFT('Blind Scoring Sheet'!J473,FIND("|",'Blind Scoring Sheet'!J473)-1))))</f>
        <v/>
      </c>
      <c r="H473" s="80">
        <f>IF(ISNUMBER(SEARCH("|",'Blind Scoring Sheet'!K473)),TRIM(LEFT('Blind Scoring Sheet'!K473,FIND("|",'Blind Scoring Sheet'!K473)-1)),TRIM('Blind Scoring Sheet'!K473))</f>
        <v/>
      </c>
    </row>
    <row r="474" ht="15" customHeight="1" s="38">
      <c r="A474" s="80">
        <f>'Blind Scoring Sheet'!A474</f>
        <v/>
      </c>
      <c r="B474" s="80">
        <f>MID(INDEX('Anonymization Key'!$B$4:$B$1003,MATCH(A474,'Anonymization Key'!$A$4:$A$1003,0)),3,2)</f>
        <v/>
      </c>
      <c r="C474" s="81">
        <f>IF(ISNUMBER('Blind Scoring Sheet'!B474),'Blind Scoring Sheet'!B474,VALUE(TRIM(LEFT('Blind Scoring Sheet'!B474,FIND("|",'Blind Scoring Sheet'!B474)-1))))</f>
        <v/>
      </c>
      <c r="D474" s="81">
        <f>IF(ISNUMBER('Blind Scoring Sheet'!D474),'Blind Scoring Sheet'!D474,VALUE(TRIM(LEFT('Blind Scoring Sheet'!D474,FIND("|",'Blind Scoring Sheet'!D474)-1))))</f>
        <v/>
      </c>
      <c r="E474" s="81">
        <f>IF(ISNUMBER('Blind Scoring Sheet'!F474),'Blind Scoring Sheet'!F474,VALUE(TRIM(LEFT('Blind Scoring Sheet'!F474,FIND("|",'Blind Scoring Sheet'!F474)-1))))</f>
        <v/>
      </c>
      <c r="F474" s="81">
        <f>IF(ISNUMBER('Blind Scoring Sheet'!H474),'Blind Scoring Sheet'!H474,VALUE(TRIM(LEFT('Blind Scoring Sheet'!H474,FIND("|",'Blind Scoring Sheet'!H474)-1))))</f>
        <v/>
      </c>
      <c r="G474" s="81">
        <f>IF(ISNUMBER('Blind Scoring Sheet'!J474),'Blind Scoring Sheet'!J474,VALUE(TRIM(LEFT('Blind Scoring Sheet'!J474,FIND("|",'Blind Scoring Sheet'!J474)-1))))</f>
        <v/>
      </c>
      <c r="H474" s="80">
        <f>IF(ISNUMBER(SEARCH("|",'Blind Scoring Sheet'!K474)),TRIM(LEFT('Blind Scoring Sheet'!K474,FIND("|",'Blind Scoring Sheet'!K474)-1)),TRIM('Blind Scoring Sheet'!K474))</f>
        <v/>
      </c>
    </row>
    <row r="475" ht="15" customHeight="1" s="38">
      <c r="A475" s="80">
        <f>'Blind Scoring Sheet'!A475</f>
        <v/>
      </c>
      <c r="B475" s="80">
        <f>MID(INDEX('Anonymization Key'!$B$4:$B$1003,MATCH(A475,'Anonymization Key'!$A$4:$A$1003,0)),3,2)</f>
        <v/>
      </c>
      <c r="C475" s="81">
        <f>IF(ISNUMBER('Blind Scoring Sheet'!B475),'Blind Scoring Sheet'!B475,VALUE(TRIM(LEFT('Blind Scoring Sheet'!B475,FIND("|",'Blind Scoring Sheet'!B475)-1))))</f>
        <v/>
      </c>
      <c r="D475" s="81">
        <f>IF(ISNUMBER('Blind Scoring Sheet'!D475),'Blind Scoring Sheet'!D475,VALUE(TRIM(LEFT('Blind Scoring Sheet'!D475,FIND("|",'Blind Scoring Sheet'!D475)-1))))</f>
        <v/>
      </c>
      <c r="E475" s="81">
        <f>IF(ISNUMBER('Blind Scoring Sheet'!F475),'Blind Scoring Sheet'!F475,VALUE(TRIM(LEFT('Blind Scoring Sheet'!F475,FIND("|",'Blind Scoring Sheet'!F475)-1))))</f>
        <v/>
      </c>
      <c r="F475" s="81">
        <f>IF(ISNUMBER('Blind Scoring Sheet'!H475),'Blind Scoring Sheet'!H475,VALUE(TRIM(LEFT('Blind Scoring Sheet'!H475,FIND("|",'Blind Scoring Sheet'!H475)-1))))</f>
        <v/>
      </c>
      <c r="G475" s="81">
        <f>IF(ISNUMBER('Blind Scoring Sheet'!J475),'Blind Scoring Sheet'!J475,VALUE(TRIM(LEFT('Blind Scoring Sheet'!J475,FIND("|",'Blind Scoring Sheet'!J475)-1))))</f>
        <v/>
      </c>
      <c r="H475" s="80">
        <f>IF(ISNUMBER(SEARCH("|",'Blind Scoring Sheet'!K475)),TRIM(LEFT('Blind Scoring Sheet'!K475,FIND("|",'Blind Scoring Sheet'!K475)-1)),TRIM('Blind Scoring Sheet'!K475))</f>
        <v/>
      </c>
    </row>
    <row r="476" ht="15" customHeight="1" s="38">
      <c r="A476" s="80">
        <f>'Blind Scoring Sheet'!A476</f>
        <v/>
      </c>
      <c r="B476" s="80">
        <f>MID(INDEX('Anonymization Key'!$B$4:$B$1003,MATCH(A476,'Anonymization Key'!$A$4:$A$1003,0)),3,2)</f>
        <v/>
      </c>
      <c r="C476" s="81">
        <f>IF(ISNUMBER('Blind Scoring Sheet'!B476),'Blind Scoring Sheet'!B476,VALUE(TRIM(LEFT('Blind Scoring Sheet'!B476,FIND("|",'Blind Scoring Sheet'!B476)-1))))</f>
        <v/>
      </c>
      <c r="D476" s="81">
        <f>IF(ISNUMBER('Blind Scoring Sheet'!D476),'Blind Scoring Sheet'!D476,VALUE(TRIM(LEFT('Blind Scoring Sheet'!D476,FIND("|",'Blind Scoring Sheet'!D476)-1))))</f>
        <v/>
      </c>
      <c r="E476" s="81">
        <f>IF(ISNUMBER('Blind Scoring Sheet'!F476),'Blind Scoring Sheet'!F476,VALUE(TRIM(LEFT('Blind Scoring Sheet'!F476,FIND("|",'Blind Scoring Sheet'!F476)-1))))</f>
        <v/>
      </c>
      <c r="F476" s="81">
        <f>IF(ISNUMBER('Blind Scoring Sheet'!H476),'Blind Scoring Sheet'!H476,VALUE(TRIM(LEFT('Blind Scoring Sheet'!H476,FIND("|",'Blind Scoring Sheet'!H476)-1))))</f>
        <v/>
      </c>
      <c r="G476" s="81">
        <f>IF(ISNUMBER('Blind Scoring Sheet'!J476),'Blind Scoring Sheet'!J476,VALUE(TRIM(LEFT('Blind Scoring Sheet'!J476,FIND("|",'Blind Scoring Sheet'!J476)-1))))</f>
        <v/>
      </c>
      <c r="H476" s="80">
        <f>IF(ISNUMBER(SEARCH("|",'Blind Scoring Sheet'!K476)),TRIM(LEFT('Blind Scoring Sheet'!K476,FIND("|",'Blind Scoring Sheet'!K476)-1)),TRIM('Blind Scoring Sheet'!K476))</f>
        <v/>
      </c>
    </row>
    <row r="477" ht="15" customHeight="1" s="38">
      <c r="A477" s="80">
        <f>'Blind Scoring Sheet'!A477</f>
        <v/>
      </c>
      <c r="B477" s="80">
        <f>MID(INDEX('Anonymization Key'!$B$4:$B$1003,MATCH(A477,'Anonymization Key'!$A$4:$A$1003,0)),3,2)</f>
        <v/>
      </c>
      <c r="C477" s="81">
        <f>IF(ISNUMBER('Blind Scoring Sheet'!B477),'Blind Scoring Sheet'!B477,VALUE(TRIM(LEFT('Blind Scoring Sheet'!B477,FIND("|",'Blind Scoring Sheet'!B477)-1))))</f>
        <v/>
      </c>
      <c r="D477" s="81">
        <f>IF(ISNUMBER('Blind Scoring Sheet'!D477),'Blind Scoring Sheet'!D477,VALUE(TRIM(LEFT('Blind Scoring Sheet'!D477,FIND("|",'Blind Scoring Sheet'!D477)-1))))</f>
        <v/>
      </c>
      <c r="E477" s="81">
        <f>IF(ISNUMBER('Blind Scoring Sheet'!F477),'Blind Scoring Sheet'!F477,VALUE(TRIM(LEFT('Blind Scoring Sheet'!F477,FIND("|",'Blind Scoring Sheet'!F477)-1))))</f>
        <v/>
      </c>
      <c r="F477" s="81">
        <f>IF(ISNUMBER('Blind Scoring Sheet'!H477),'Blind Scoring Sheet'!H477,VALUE(TRIM(LEFT('Blind Scoring Sheet'!H477,FIND("|",'Blind Scoring Sheet'!H477)-1))))</f>
        <v/>
      </c>
      <c r="G477" s="81">
        <f>IF(ISNUMBER('Blind Scoring Sheet'!J477),'Blind Scoring Sheet'!J477,VALUE(TRIM(LEFT('Blind Scoring Sheet'!J477,FIND("|",'Blind Scoring Sheet'!J477)-1))))</f>
        <v/>
      </c>
      <c r="H477" s="80">
        <f>IF(ISNUMBER(SEARCH("|",'Blind Scoring Sheet'!K477)),TRIM(LEFT('Blind Scoring Sheet'!K477,FIND("|",'Blind Scoring Sheet'!K477)-1)),TRIM('Blind Scoring Sheet'!K477))</f>
        <v/>
      </c>
    </row>
    <row r="478" ht="15" customHeight="1" s="38">
      <c r="A478" s="80">
        <f>'Blind Scoring Sheet'!A478</f>
        <v/>
      </c>
      <c r="B478" s="80">
        <f>MID(INDEX('Anonymization Key'!$B$4:$B$1003,MATCH(A478,'Anonymization Key'!$A$4:$A$1003,0)),3,2)</f>
        <v/>
      </c>
      <c r="C478" s="81">
        <f>IF(ISNUMBER('Blind Scoring Sheet'!B478),'Blind Scoring Sheet'!B478,VALUE(TRIM(LEFT('Blind Scoring Sheet'!B478,FIND("|",'Blind Scoring Sheet'!B478)-1))))</f>
        <v/>
      </c>
      <c r="D478" s="81">
        <f>IF(ISNUMBER('Blind Scoring Sheet'!D478),'Blind Scoring Sheet'!D478,VALUE(TRIM(LEFT('Blind Scoring Sheet'!D478,FIND("|",'Blind Scoring Sheet'!D478)-1))))</f>
        <v/>
      </c>
      <c r="E478" s="81">
        <f>IF(ISNUMBER('Blind Scoring Sheet'!F478),'Blind Scoring Sheet'!F478,VALUE(TRIM(LEFT('Blind Scoring Sheet'!F478,FIND("|",'Blind Scoring Sheet'!F478)-1))))</f>
        <v/>
      </c>
      <c r="F478" s="81">
        <f>IF(ISNUMBER('Blind Scoring Sheet'!H478),'Blind Scoring Sheet'!H478,VALUE(TRIM(LEFT('Blind Scoring Sheet'!H478,FIND("|",'Blind Scoring Sheet'!H478)-1))))</f>
        <v/>
      </c>
      <c r="G478" s="81">
        <f>IF(ISNUMBER('Blind Scoring Sheet'!J478),'Blind Scoring Sheet'!J478,VALUE(TRIM(LEFT('Blind Scoring Sheet'!J478,FIND("|",'Blind Scoring Sheet'!J478)-1))))</f>
        <v/>
      </c>
      <c r="H478" s="80">
        <f>IF(ISNUMBER(SEARCH("|",'Blind Scoring Sheet'!K478)),TRIM(LEFT('Blind Scoring Sheet'!K478,FIND("|",'Blind Scoring Sheet'!K478)-1)),TRIM('Blind Scoring Sheet'!K478))</f>
        <v/>
      </c>
    </row>
    <row r="479" ht="15" customHeight="1" s="38">
      <c r="A479" s="80">
        <f>'Blind Scoring Sheet'!A479</f>
        <v/>
      </c>
      <c r="B479" s="80">
        <f>MID(INDEX('Anonymization Key'!$B$4:$B$1003,MATCH(A479,'Anonymization Key'!$A$4:$A$1003,0)),3,2)</f>
        <v/>
      </c>
      <c r="C479" s="81">
        <f>IF(ISNUMBER('Blind Scoring Sheet'!B479),'Blind Scoring Sheet'!B479,VALUE(TRIM(LEFT('Blind Scoring Sheet'!B479,FIND("|",'Blind Scoring Sheet'!B479)-1))))</f>
        <v/>
      </c>
      <c r="D479" s="81">
        <f>IF(ISNUMBER('Blind Scoring Sheet'!D479),'Blind Scoring Sheet'!D479,VALUE(TRIM(LEFT('Blind Scoring Sheet'!D479,FIND("|",'Blind Scoring Sheet'!D479)-1))))</f>
        <v/>
      </c>
      <c r="E479" s="81">
        <f>IF(ISNUMBER('Blind Scoring Sheet'!F479),'Blind Scoring Sheet'!F479,VALUE(TRIM(LEFT('Blind Scoring Sheet'!F479,FIND("|",'Blind Scoring Sheet'!F479)-1))))</f>
        <v/>
      </c>
      <c r="F479" s="81">
        <f>IF(ISNUMBER('Blind Scoring Sheet'!H479),'Blind Scoring Sheet'!H479,VALUE(TRIM(LEFT('Blind Scoring Sheet'!H479,FIND("|",'Blind Scoring Sheet'!H479)-1))))</f>
        <v/>
      </c>
      <c r="G479" s="81">
        <f>IF(ISNUMBER('Blind Scoring Sheet'!J479),'Blind Scoring Sheet'!J479,VALUE(TRIM(LEFT('Blind Scoring Sheet'!J479,FIND("|",'Blind Scoring Sheet'!J479)-1))))</f>
        <v/>
      </c>
      <c r="H479" s="80">
        <f>IF(ISNUMBER(SEARCH("|",'Blind Scoring Sheet'!K479)),TRIM(LEFT('Blind Scoring Sheet'!K479,FIND("|",'Blind Scoring Sheet'!K479)-1)),TRIM('Blind Scoring Sheet'!K479))</f>
        <v/>
      </c>
    </row>
    <row r="480" ht="15" customHeight="1" s="38">
      <c r="A480" s="80">
        <f>'Blind Scoring Sheet'!A480</f>
        <v/>
      </c>
      <c r="B480" s="80">
        <f>MID(INDEX('Anonymization Key'!$B$4:$B$1003,MATCH(A480,'Anonymization Key'!$A$4:$A$1003,0)),3,2)</f>
        <v/>
      </c>
      <c r="C480" s="81">
        <f>IF(ISNUMBER('Blind Scoring Sheet'!B480),'Blind Scoring Sheet'!B480,VALUE(TRIM(LEFT('Blind Scoring Sheet'!B480,FIND("|",'Blind Scoring Sheet'!B480)-1))))</f>
        <v/>
      </c>
      <c r="D480" s="81">
        <f>IF(ISNUMBER('Blind Scoring Sheet'!D480),'Blind Scoring Sheet'!D480,VALUE(TRIM(LEFT('Blind Scoring Sheet'!D480,FIND("|",'Blind Scoring Sheet'!D480)-1))))</f>
        <v/>
      </c>
      <c r="E480" s="81">
        <f>IF(ISNUMBER('Blind Scoring Sheet'!F480),'Blind Scoring Sheet'!F480,VALUE(TRIM(LEFT('Blind Scoring Sheet'!F480,FIND("|",'Blind Scoring Sheet'!F480)-1))))</f>
        <v/>
      </c>
      <c r="F480" s="81">
        <f>IF(ISNUMBER('Blind Scoring Sheet'!H480),'Blind Scoring Sheet'!H480,VALUE(TRIM(LEFT('Blind Scoring Sheet'!H480,FIND("|",'Blind Scoring Sheet'!H480)-1))))</f>
        <v/>
      </c>
      <c r="G480" s="81">
        <f>IF(ISNUMBER('Blind Scoring Sheet'!J480),'Blind Scoring Sheet'!J480,VALUE(TRIM(LEFT('Blind Scoring Sheet'!J480,FIND("|",'Blind Scoring Sheet'!J480)-1))))</f>
        <v/>
      </c>
      <c r="H480" s="80">
        <f>IF(ISNUMBER(SEARCH("|",'Blind Scoring Sheet'!K480)),TRIM(LEFT('Blind Scoring Sheet'!K480,FIND("|",'Blind Scoring Sheet'!K480)-1)),TRIM('Blind Scoring Sheet'!K480))</f>
        <v/>
      </c>
    </row>
    <row r="481" ht="15" customHeight="1" s="38">
      <c r="A481" s="80">
        <f>'Blind Scoring Sheet'!A481</f>
        <v/>
      </c>
      <c r="B481" s="80">
        <f>MID(INDEX('Anonymization Key'!$B$4:$B$1003,MATCH(A481,'Anonymization Key'!$A$4:$A$1003,0)),3,2)</f>
        <v/>
      </c>
      <c r="C481" s="81">
        <f>IF(ISNUMBER('Blind Scoring Sheet'!B481),'Blind Scoring Sheet'!B481,VALUE(TRIM(LEFT('Blind Scoring Sheet'!B481,FIND("|",'Blind Scoring Sheet'!B481)-1))))</f>
        <v/>
      </c>
      <c r="D481" s="81">
        <f>IF(ISNUMBER('Blind Scoring Sheet'!D481),'Blind Scoring Sheet'!D481,VALUE(TRIM(LEFT('Blind Scoring Sheet'!D481,FIND("|",'Blind Scoring Sheet'!D481)-1))))</f>
        <v/>
      </c>
      <c r="E481" s="81">
        <f>IF(ISNUMBER('Blind Scoring Sheet'!F481),'Blind Scoring Sheet'!F481,VALUE(TRIM(LEFT('Blind Scoring Sheet'!F481,FIND("|",'Blind Scoring Sheet'!F481)-1))))</f>
        <v/>
      </c>
      <c r="F481" s="81">
        <f>IF(ISNUMBER('Blind Scoring Sheet'!H481),'Blind Scoring Sheet'!H481,VALUE(TRIM(LEFT('Blind Scoring Sheet'!H481,FIND("|",'Blind Scoring Sheet'!H481)-1))))</f>
        <v/>
      </c>
      <c r="G481" s="81">
        <f>IF(ISNUMBER('Blind Scoring Sheet'!J481),'Blind Scoring Sheet'!J481,VALUE(TRIM(LEFT('Blind Scoring Sheet'!J481,FIND("|",'Blind Scoring Sheet'!J481)-1))))</f>
        <v/>
      </c>
      <c r="H481" s="80">
        <f>IF(ISNUMBER(SEARCH("|",'Blind Scoring Sheet'!K481)),TRIM(LEFT('Blind Scoring Sheet'!K481,FIND("|",'Blind Scoring Sheet'!K481)-1)),TRIM('Blind Scoring Sheet'!K481))</f>
        <v/>
      </c>
    </row>
    <row r="482" ht="15" customHeight="1" s="38">
      <c r="A482" s="80">
        <f>'Blind Scoring Sheet'!A482</f>
        <v/>
      </c>
      <c r="B482" s="80">
        <f>MID(INDEX('Anonymization Key'!$B$4:$B$1003,MATCH(A482,'Anonymization Key'!$A$4:$A$1003,0)),3,2)</f>
        <v/>
      </c>
      <c r="C482" s="81">
        <f>IF(ISNUMBER('Blind Scoring Sheet'!B482),'Blind Scoring Sheet'!B482,VALUE(TRIM(LEFT('Blind Scoring Sheet'!B482,FIND("|",'Blind Scoring Sheet'!B482)-1))))</f>
        <v/>
      </c>
      <c r="D482" s="81">
        <f>IF(ISNUMBER('Blind Scoring Sheet'!D482),'Blind Scoring Sheet'!D482,VALUE(TRIM(LEFT('Blind Scoring Sheet'!D482,FIND("|",'Blind Scoring Sheet'!D482)-1))))</f>
        <v/>
      </c>
      <c r="E482" s="81">
        <f>IF(ISNUMBER('Blind Scoring Sheet'!F482),'Blind Scoring Sheet'!F482,VALUE(TRIM(LEFT('Blind Scoring Sheet'!F482,FIND("|",'Blind Scoring Sheet'!F482)-1))))</f>
        <v/>
      </c>
      <c r="F482" s="81">
        <f>IF(ISNUMBER('Blind Scoring Sheet'!H482),'Blind Scoring Sheet'!H482,VALUE(TRIM(LEFT('Blind Scoring Sheet'!H482,FIND("|",'Blind Scoring Sheet'!H482)-1))))</f>
        <v/>
      </c>
      <c r="G482" s="81">
        <f>IF(ISNUMBER('Blind Scoring Sheet'!J482),'Blind Scoring Sheet'!J482,VALUE(TRIM(LEFT('Blind Scoring Sheet'!J482,FIND("|",'Blind Scoring Sheet'!J482)-1))))</f>
        <v/>
      </c>
      <c r="H482" s="80">
        <f>IF(ISNUMBER(SEARCH("|",'Blind Scoring Sheet'!K482)),TRIM(LEFT('Blind Scoring Sheet'!K482,FIND("|",'Blind Scoring Sheet'!K482)-1)),TRIM('Blind Scoring Sheet'!K482))</f>
        <v/>
      </c>
    </row>
    <row r="483" ht="15" customHeight="1" s="38">
      <c r="A483" s="80">
        <f>'Blind Scoring Sheet'!A483</f>
        <v/>
      </c>
      <c r="B483" s="80">
        <f>MID(INDEX('Anonymization Key'!$B$4:$B$1003,MATCH(A483,'Anonymization Key'!$A$4:$A$1003,0)),3,2)</f>
        <v/>
      </c>
      <c r="C483" s="81">
        <f>IF(ISNUMBER('Blind Scoring Sheet'!B483),'Blind Scoring Sheet'!B483,VALUE(TRIM(LEFT('Blind Scoring Sheet'!B483,FIND("|",'Blind Scoring Sheet'!B483)-1))))</f>
        <v/>
      </c>
      <c r="D483" s="81">
        <f>IF(ISNUMBER('Blind Scoring Sheet'!D483),'Blind Scoring Sheet'!D483,VALUE(TRIM(LEFT('Blind Scoring Sheet'!D483,FIND("|",'Blind Scoring Sheet'!D483)-1))))</f>
        <v/>
      </c>
      <c r="E483" s="81">
        <f>IF(ISNUMBER('Blind Scoring Sheet'!F483),'Blind Scoring Sheet'!F483,VALUE(TRIM(LEFT('Blind Scoring Sheet'!F483,FIND("|",'Blind Scoring Sheet'!F483)-1))))</f>
        <v/>
      </c>
      <c r="F483" s="81">
        <f>IF(ISNUMBER('Blind Scoring Sheet'!H483),'Blind Scoring Sheet'!H483,VALUE(TRIM(LEFT('Blind Scoring Sheet'!H483,FIND("|",'Blind Scoring Sheet'!H483)-1))))</f>
        <v/>
      </c>
      <c r="G483" s="81">
        <f>IF(ISNUMBER('Blind Scoring Sheet'!J483),'Blind Scoring Sheet'!J483,VALUE(TRIM(LEFT('Blind Scoring Sheet'!J483,FIND("|",'Blind Scoring Sheet'!J483)-1))))</f>
        <v/>
      </c>
      <c r="H483" s="80">
        <f>IF(ISNUMBER(SEARCH("|",'Blind Scoring Sheet'!K483)),TRIM(LEFT('Blind Scoring Sheet'!K483,FIND("|",'Blind Scoring Sheet'!K483)-1)),TRIM('Blind Scoring Sheet'!K483))</f>
        <v/>
      </c>
    </row>
    <row r="484" ht="15" customHeight="1" s="38">
      <c r="A484" s="80">
        <f>'Blind Scoring Sheet'!A484</f>
        <v/>
      </c>
      <c r="B484" s="80">
        <f>MID(INDEX('Anonymization Key'!$B$4:$B$1003,MATCH(A484,'Anonymization Key'!$A$4:$A$1003,0)),3,2)</f>
        <v/>
      </c>
      <c r="C484" s="81">
        <f>IF(ISNUMBER('Blind Scoring Sheet'!B484),'Blind Scoring Sheet'!B484,VALUE(TRIM(LEFT('Blind Scoring Sheet'!B484,FIND("|",'Blind Scoring Sheet'!B484)-1))))</f>
        <v/>
      </c>
      <c r="D484" s="81">
        <f>IF(ISNUMBER('Blind Scoring Sheet'!D484),'Blind Scoring Sheet'!D484,VALUE(TRIM(LEFT('Blind Scoring Sheet'!D484,FIND("|",'Blind Scoring Sheet'!D484)-1))))</f>
        <v/>
      </c>
      <c r="E484" s="81">
        <f>IF(ISNUMBER('Blind Scoring Sheet'!F484),'Blind Scoring Sheet'!F484,VALUE(TRIM(LEFT('Blind Scoring Sheet'!F484,FIND("|",'Blind Scoring Sheet'!F484)-1))))</f>
        <v/>
      </c>
      <c r="F484" s="81">
        <f>IF(ISNUMBER('Blind Scoring Sheet'!H484),'Blind Scoring Sheet'!H484,VALUE(TRIM(LEFT('Blind Scoring Sheet'!H484,FIND("|",'Blind Scoring Sheet'!H484)-1))))</f>
        <v/>
      </c>
      <c r="G484" s="81">
        <f>IF(ISNUMBER('Blind Scoring Sheet'!J484),'Blind Scoring Sheet'!J484,VALUE(TRIM(LEFT('Blind Scoring Sheet'!J484,FIND("|",'Blind Scoring Sheet'!J484)-1))))</f>
        <v/>
      </c>
      <c r="H484" s="80">
        <f>IF(ISNUMBER(SEARCH("|",'Blind Scoring Sheet'!K484)),TRIM(LEFT('Blind Scoring Sheet'!K484,FIND("|",'Blind Scoring Sheet'!K484)-1)),TRIM('Blind Scoring Sheet'!K484))</f>
        <v/>
      </c>
    </row>
    <row r="485" ht="15" customHeight="1" s="38">
      <c r="A485" s="80">
        <f>'Blind Scoring Sheet'!A485</f>
        <v/>
      </c>
      <c r="B485" s="80">
        <f>MID(INDEX('Anonymization Key'!$B$4:$B$1003,MATCH(A485,'Anonymization Key'!$A$4:$A$1003,0)),3,2)</f>
        <v/>
      </c>
      <c r="C485" s="81">
        <f>IF(ISNUMBER('Blind Scoring Sheet'!B485),'Blind Scoring Sheet'!B485,VALUE(TRIM(LEFT('Blind Scoring Sheet'!B485,FIND("|",'Blind Scoring Sheet'!B485)-1))))</f>
        <v/>
      </c>
      <c r="D485" s="81">
        <f>IF(ISNUMBER('Blind Scoring Sheet'!D485),'Blind Scoring Sheet'!D485,VALUE(TRIM(LEFT('Blind Scoring Sheet'!D485,FIND("|",'Blind Scoring Sheet'!D485)-1))))</f>
        <v/>
      </c>
      <c r="E485" s="81">
        <f>IF(ISNUMBER('Blind Scoring Sheet'!F485),'Blind Scoring Sheet'!F485,VALUE(TRIM(LEFT('Blind Scoring Sheet'!F485,FIND("|",'Blind Scoring Sheet'!F485)-1))))</f>
        <v/>
      </c>
      <c r="F485" s="81">
        <f>IF(ISNUMBER('Blind Scoring Sheet'!H485),'Blind Scoring Sheet'!H485,VALUE(TRIM(LEFT('Blind Scoring Sheet'!H485,FIND("|",'Blind Scoring Sheet'!H485)-1))))</f>
        <v/>
      </c>
      <c r="G485" s="81">
        <f>IF(ISNUMBER('Blind Scoring Sheet'!J485),'Blind Scoring Sheet'!J485,VALUE(TRIM(LEFT('Blind Scoring Sheet'!J485,FIND("|",'Blind Scoring Sheet'!J485)-1))))</f>
        <v/>
      </c>
      <c r="H485" s="80">
        <f>IF(ISNUMBER(SEARCH("|",'Blind Scoring Sheet'!K485)),TRIM(LEFT('Blind Scoring Sheet'!K485,FIND("|",'Blind Scoring Sheet'!K485)-1)),TRIM('Blind Scoring Sheet'!K485))</f>
        <v/>
      </c>
    </row>
    <row r="486" ht="15" customHeight="1" s="38">
      <c r="A486" s="80">
        <f>'Blind Scoring Sheet'!A486</f>
        <v/>
      </c>
      <c r="B486" s="80">
        <f>MID(INDEX('Anonymization Key'!$B$4:$B$1003,MATCH(A486,'Anonymization Key'!$A$4:$A$1003,0)),3,2)</f>
        <v/>
      </c>
      <c r="C486" s="81">
        <f>IF(ISNUMBER('Blind Scoring Sheet'!B486),'Blind Scoring Sheet'!B486,VALUE(TRIM(LEFT('Blind Scoring Sheet'!B486,FIND("|",'Blind Scoring Sheet'!B486)-1))))</f>
        <v/>
      </c>
      <c r="D486" s="81">
        <f>IF(ISNUMBER('Blind Scoring Sheet'!D486),'Blind Scoring Sheet'!D486,VALUE(TRIM(LEFT('Blind Scoring Sheet'!D486,FIND("|",'Blind Scoring Sheet'!D486)-1))))</f>
        <v/>
      </c>
      <c r="E486" s="81">
        <f>IF(ISNUMBER('Blind Scoring Sheet'!F486),'Blind Scoring Sheet'!F486,VALUE(TRIM(LEFT('Blind Scoring Sheet'!F486,FIND("|",'Blind Scoring Sheet'!F486)-1))))</f>
        <v/>
      </c>
      <c r="F486" s="81">
        <f>IF(ISNUMBER('Blind Scoring Sheet'!H486),'Blind Scoring Sheet'!H486,VALUE(TRIM(LEFT('Blind Scoring Sheet'!H486,FIND("|",'Blind Scoring Sheet'!H486)-1))))</f>
        <v/>
      </c>
      <c r="G486" s="81">
        <f>IF(ISNUMBER('Blind Scoring Sheet'!J486),'Blind Scoring Sheet'!J486,VALUE(TRIM(LEFT('Blind Scoring Sheet'!J486,FIND("|",'Blind Scoring Sheet'!J486)-1))))</f>
        <v/>
      </c>
      <c r="H486" s="80">
        <f>IF(ISNUMBER(SEARCH("|",'Blind Scoring Sheet'!K486)),TRIM(LEFT('Blind Scoring Sheet'!K486,FIND("|",'Blind Scoring Sheet'!K486)-1)),TRIM('Blind Scoring Sheet'!K486))</f>
        <v/>
      </c>
    </row>
    <row r="487" ht="15" customHeight="1" s="38">
      <c r="A487" s="80">
        <f>'Blind Scoring Sheet'!A487</f>
        <v/>
      </c>
      <c r="B487" s="80">
        <f>MID(INDEX('Anonymization Key'!$B$4:$B$1003,MATCH(A487,'Anonymization Key'!$A$4:$A$1003,0)),3,2)</f>
        <v/>
      </c>
      <c r="C487" s="81">
        <f>IF(ISNUMBER('Blind Scoring Sheet'!B487),'Blind Scoring Sheet'!B487,VALUE(TRIM(LEFT('Blind Scoring Sheet'!B487,FIND("|",'Blind Scoring Sheet'!B487)-1))))</f>
        <v/>
      </c>
      <c r="D487" s="81">
        <f>IF(ISNUMBER('Blind Scoring Sheet'!D487),'Blind Scoring Sheet'!D487,VALUE(TRIM(LEFT('Blind Scoring Sheet'!D487,FIND("|",'Blind Scoring Sheet'!D487)-1))))</f>
        <v/>
      </c>
      <c r="E487" s="81">
        <f>IF(ISNUMBER('Blind Scoring Sheet'!F487),'Blind Scoring Sheet'!F487,VALUE(TRIM(LEFT('Blind Scoring Sheet'!F487,FIND("|",'Blind Scoring Sheet'!F487)-1))))</f>
        <v/>
      </c>
      <c r="F487" s="81">
        <f>IF(ISNUMBER('Blind Scoring Sheet'!H487),'Blind Scoring Sheet'!H487,VALUE(TRIM(LEFT('Blind Scoring Sheet'!H487,FIND("|",'Blind Scoring Sheet'!H487)-1))))</f>
        <v/>
      </c>
      <c r="G487" s="81">
        <f>IF(ISNUMBER('Blind Scoring Sheet'!J487),'Blind Scoring Sheet'!J487,VALUE(TRIM(LEFT('Blind Scoring Sheet'!J487,FIND("|",'Blind Scoring Sheet'!J487)-1))))</f>
        <v/>
      </c>
      <c r="H487" s="80">
        <f>IF(ISNUMBER(SEARCH("|",'Blind Scoring Sheet'!K487)),TRIM(LEFT('Blind Scoring Sheet'!K487,FIND("|",'Blind Scoring Sheet'!K487)-1)),TRIM('Blind Scoring Sheet'!K487))</f>
        <v/>
      </c>
    </row>
    <row r="488" ht="15" customHeight="1" s="38">
      <c r="A488" s="80">
        <f>'Blind Scoring Sheet'!A488</f>
        <v/>
      </c>
      <c r="B488" s="80">
        <f>MID(INDEX('Anonymization Key'!$B$4:$B$1003,MATCH(A488,'Anonymization Key'!$A$4:$A$1003,0)),3,2)</f>
        <v/>
      </c>
      <c r="C488" s="81">
        <f>IF(ISNUMBER('Blind Scoring Sheet'!B488),'Blind Scoring Sheet'!B488,VALUE(TRIM(LEFT('Blind Scoring Sheet'!B488,FIND("|",'Blind Scoring Sheet'!B488)-1))))</f>
        <v/>
      </c>
      <c r="D488" s="81">
        <f>IF(ISNUMBER('Blind Scoring Sheet'!D488),'Blind Scoring Sheet'!D488,VALUE(TRIM(LEFT('Blind Scoring Sheet'!D488,FIND("|",'Blind Scoring Sheet'!D488)-1))))</f>
        <v/>
      </c>
      <c r="E488" s="81">
        <f>IF(ISNUMBER('Blind Scoring Sheet'!F488),'Blind Scoring Sheet'!F488,VALUE(TRIM(LEFT('Blind Scoring Sheet'!F488,FIND("|",'Blind Scoring Sheet'!F488)-1))))</f>
        <v/>
      </c>
      <c r="F488" s="81">
        <f>IF(ISNUMBER('Blind Scoring Sheet'!H488),'Blind Scoring Sheet'!H488,VALUE(TRIM(LEFT('Blind Scoring Sheet'!H488,FIND("|",'Blind Scoring Sheet'!H488)-1))))</f>
        <v/>
      </c>
      <c r="G488" s="81">
        <f>IF(ISNUMBER('Blind Scoring Sheet'!J488),'Blind Scoring Sheet'!J488,VALUE(TRIM(LEFT('Blind Scoring Sheet'!J488,FIND("|",'Blind Scoring Sheet'!J488)-1))))</f>
        <v/>
      </c>
      <c r="H488" s="80">
        <f>IF(ISNUMBER(SEARCH("|",'Blind Scoring Sheet'!K488)),TRIM(LEFT('Blind Scoring Sheet'!K488,FIND("|",'Blind Scoring Sheet'!K488)-1)),TRIM('Blind Scoring Sheet'!K488))</f>
        <v/>
      </c>
    </row>
    <row r="489" ht="15" customHeight="1" s="38">
      <c r="A489" s="80">
        <f>'Blind Scoring Sheet'!A489</f>
        <v/>
      </c>
      <c r="B489" s="80">
        <f>MID(INDEX('Anonymization Key'!$B$4:$B$1003,MATCH(A489,'Anonymization Key'!$A$4:$A$1003,0)),3,2)</f>
        <v/>
      </c>
      <c r="C489" s="81">
        <f>IF(ISNUMBER('Blind Scoring Sheet'!B489),'Blind Scoring Sheet'!B489,VALUE(TRIM(LEFT('Blind Scoring Sheet'!B489,FIND("|",'Blind Scoring Sheet'!B489)-1))))</f>
        <v/>
      </c>
      <c r="D489" s="81">
        <f>IF(ISNUMBER('Blind Scoring Sheet'!D489),'Blind Scoring Sheet'!D489,VALUE(TRIM(LEFT('Blind Scoring Sheet'!D489,FIND("|",'Blind Scoring Sheet'!D489)-1))))</f>
        <v/>
      </c>
      <c r="E489" s="81">
        <f>IF(ISNUMBER('Blind Scoring Sheet'!F489),'Blind Scoring Sheet'!F489,VALUE(TRIM(LEFT('Blind Scoring Sheet'!F489,FIND("|",'Blind Scoring Sheet'!F489)-1))))</f>
        <v/>
      </c>
      <c r="F489" s="81">
        <f>IF(ISNUMBER('Blind Scoring Sheet'!H489),'Blind Scoring Sheet'!H489,VALUE(TRIM(LEFT('Blind Scoring Sheet'!H489,FIND("|",'Blind Scoring Sheet'!H489)-1))))</f>
        <v/>
      </c>
      <c r="G489" s="81">
        <f>IF(ISNUMBER('Blind Scoring Sheet'!J489),'Blind Scoring Sheet'!J489,VALUE(TRIM(LEFT('Blind Scoring Sheet'!J489,FIND("|",'Blind Scoring Sheet'!J489)-1))))</f>
        <v/>
      </c>
      <c r="H489" s="80">
        <f>IF(ISNUMBER(SEARCH("|",'Blind Scoring Sheet'!K489)),TRIM(LEFT('Blind Scoring Sheet'!K489,FIND("|",'Blind Scoring Sheet'!K489)-1)),TRIM('Blind Scoring Sheet'!K489))</f>
        <v/>
      </c>
    </row>
    <row r="490" ht="15" customHeight="1" s="38">
      <c r="A490" s="80">
        <f>'Blind Scoring Sheet'!A490</f>
        <v/>
      </c>
      <c r="B490" s="80">
        <f>MID(INDEX('Anonymization Key'!$B$4:$B$1003,MATCH(A490,'Anonymization Key'!$A$4:$A$1003,0)),3,2)</f>
        <v/>
      </c>
      <c r="C490" s="81">
        <f>IF(ISNUMBER('Blind Scoring Sheet'!B490),'Blind Scoring Sheet'!B490,VALUE(TRIM(LEFT('Blind Scoring Sheet'!B490,FIND("|",'Blind Scoring Sheet'!B490)-1))))</f>
        <v/>
      </c>
      <c r="D490" s="81">
        <f>IF(ISNUMBER('Blind Scoring Sheet'!D490),'Blind Scoring Sheet'!D490,VALUE(TRIM(LEFT('Blind Scoring Sheet'!D490,FIND("|",'Blind Scoring Sheet'!D490)-1))))</f>
        <v/>
      </c>
      <c r="E490" s="81">
        <f>IF(ISNUMBER('Blind Scoring Sheet'!F490),'Blind Scoring Sheet'!F490,VALUE(TRIM(LEFT('Blind Scoring Sheet'!F490,FIND("|",'Blind Scoring Sheet'!F490)-1))))</f>
        <v/>
      </c>
      <c r="F490" s="81">
        <f>IF(ISNUMBER('Blind Scoring Sheet'!H490),'Blind Scoring Sheet'!H490,VALUE(TRIM(LEFT('Blind Scoring Sheet'!H490,FIND("|",'Blind Scoring Sheet'!H490)-1))))</f>
        <v/>
      </c>
      <c r="G490" s="81">
        <f>IF(ISNUMBER('Blind Scoring Sheet'!J490),'Blind Scoring Sheet'!J490,VALUE(TRIM(LEFT('Blind Scoring Sheet'!J490,FIND("|",'Blind Scoring Sheet'!J490)-1))))</f>
        <v/>
      </c>
      <c r="H490" s="80">
        <f>IF(ISNUMBER(SEARCH("|",'Blind Scoring Sheet'!K490)),TRIM(LEFT('Blind Scoring Sheet'!K490,FIND("|",'Blind Scoring Sheet'!K490)-1)),TRIM('Blind Scoring Sheet'!K490))</f>
        <v/>
      </c>
    </row>
    <row r="491" ht="15" customHeight="1" s="38">
      <c r="A491" s="80">
        <f>'Blind Scoring Sheet'!A491</f>
        <v/>
      </c>
      <c r="B491" s="80">
        <f>MID(INDEX('Anonymization Key'!$B$4:$B$1003,MATCH(A491,'Anonymization Key'!$A$4:$A$1003,0)),3,2)</f>
        <v/>
      </c>
      <c r="C491" s="81">
        <f>IF(ISNUMBER('Blind Scoring Sheet'!B491),'Blind Scoring Sheet'!B491,VALUE(TRIM(LEFT('Blind Scoring Sheet'!B491,FIND("|",'Blind Scoring Sheet'!B491)-1))))</f>
        <v/>
      </c>
      <c r="D491" s="81">
        <f>IF(ISNUMBER('Blind Scoring Sheet'!D491),'Blind Scoring Sheet'!D491,VALUE(TRIM(LEFT('Blind Scoring Sheet'!D491,FIND("|",'Blind Scoring Sheet'!D491)-1))))</f>
        <v/>
      </c>
      <c r="E491" s="81">
        <f>IF(ISNUMBER('Blind Scoring Sheet'!F491),'Blind Scoring Sheet'!F491,VALUE(TRIM(LEFT('Blind Scoring Sheet'!F491,FIND("|",'Blind Scoring Sheet'!F491)-1))))</f>
        <v/>
      </c>
      <c r="F491" s="81">
        <f>IF(ISNUMBER('Blind Scoring Sheet'!H491),'Blind Scoring Sheet'!H491,VALUE(TRIM(LEFT('Blind Scoring Sheet'!H491,FIND("|",'Blind Scoring Sheet'!H491)-1))))</f>
        <v/>
      </c>
      <c r="G491" s="81">
        <f>IF(ISNUMBER('Blind Scoring Sheet'!J491),'Blind Scoring Sheet'!J491,VALUE(TRIM(LEFT('Blind Scoring Sheet'!J491,FIND("|",'Blind Scoring Sheet'!J491)-1))))</f>
        <v/>
      </c>
      <c r="H491" s="80">
        <f>IF(ISNUMBER(SEARCH("|",'Blind Scoring Sheet'!K491)),TRIM(LEFT('Blind Scoring Sheet'!K491,FIND("|",'Blind Scoring Sheet'!K491)-1)),TRIM('Blind Scoring Sheet'!K491))</f>
        <v/>
      </c>
    </row>
    <row r="492" ht="15" customHeight="1" s="38">
      <c r="A492" s="80">
        <f>'Blind Scoring Sheet'!A492</f>
        <v/>
      </c>
      <c r="B492" s="80">
        <f>MID(INDEX('Anonymization Key'!$B$4:$B$1003,MATCH(A492,'Anonymization Key'!$A$4:$A$1003,0)),3,2)</f>
        <v/>
      </c>
      <c r="C492" s="81">
        <f>IF(ISNUMBER('Blind Scoring Sheet'!B492),'Blind Scoring Sheet'!B492,VALUE(TRIM(LEFT('Blind Scoring Sheet'!B492,FIND("|",'Blind Scoring Sheet'!B492)-1))))</f>
        <v/>
      </c>
      <c r="D492" s="81">
        <f>IF(ISNUMBER('Blind Scoring Sheet'!D492),'Blind Scoring Sheet'!D492,VALUE(TRIM(LEFT('Blind Scoring Sheet'!D492,FIND("|",'Blind Scoring Sheet'!D492)-1))))</f>
        <v/>
      </c>
      <c r="E492" s="81">
        <f>IF(ISNUMBER('Blind Scoring Sheet'!F492),'Blind Scoring Sheet'!F492,VALUE(TRIM(LEFT('Blind Scoring Sheet'!F492,FIND("|",'Blind Scoring Sheet'!F492)-1))))</f>
        <v/>
      </c>
      <c r="F492" s="81">
        <f>IF(ISNUMBER('Blind Scoring Sheet'!H492),'Blind Scoring Sheet'!H492,VALUE(TRIM(LEFT('Blind Scoring Sheet'!H492,FIND("|",'Blind Scoring Sheet'!H492)-1))))</f>
        <v/>
      </c>
      <c r="G492" s="81">
        <f>IF(ISNUMBER('Blind Scoring Sheet'!J492),'Blind Scoring Sheet'!J492,VALUE(TRIM(LEFT('Blind Scoring Sheet'!J492,FIND("|",'Blind Scoring Sheet'!J492)-1))))</f>
        <v/>
      </c>
      <c r="H492" s="80">
        <f>IF(ISNUMBER(SEARCH("|",'Blind Scoring Sheet'!K492)),TRIM(LEFT('Blind Scoring Sheet'!K492,FIND("|",'Blind Scoring Sheet'!K492)-1)),TRIM('Blind Scoring Sheet'!K492))</f>
        <v/>
      </c>
    </row>
    <row r="493" ht="15" customHeight="1" s="38">
      <c r="A493" s="80">
        <f>'Blind Scoring Sheet'!A493</f>
        <v/>
      </c>
      <c r="B493" s="80">
        <f>MID(INDEX('Anonymization Key'!$B$4:$B$1003,MATCH(A493,'Anonymization Key'!$A$4:$A$1003,0)),3,2)</f>
        <v/>
      </c>
      <c r="C493" s="81">
        <f>IF(ISNUMBER('Blind Scoring Sheet'!B493),'Blind Scoring Sheet'!B493,VALUE(TRIM(LEFT('Blind Scoring Sheet'!B493,FIND("|",'Blind Scoring Sheet'!B493)-1))))</f>
        <v/>
      </c>
      <c r="D493" s="81">
        <f>IF(ISNUMBER('Blind Scoring Sheet'!D493),'Blind Scoring Sheet'!D493,VALUE(TRIM(LEFT('Blind Scoring Sheet'!D493,FIND("|",'Blind Scoring Sheet'!D493)-1))))</f>
        <v/>
      </c>
      <c r="E493" s="81">
        <f>IF(ISNUMBER('Blind Scoring Sheet'!F493),'Blind Scoring Sheet'!F493,VALUE(TRIM(LEFT('Blind Scoring Sheet'!F493,FIND("|",'Blind Scoring Sheet'!F493)-1))))</f>
        <v/>
      </c>
      <c r="F493" s="81">
        <f>IF(ISNUMBER('Blind Scoring Sheet'!H493),'Blind Scoring Sheet'!H493,VALUE(TRIM(LEFT('Blind Scoring Sheet'!H493,FIND("|",'Blind Scoring Sheet'!H493)-1))))</f>
        <v/>
      </c>
      <c r="G493" s="81">
        <f>IF(ISNUMBER('Blind Scoring Sheet'!J493),'Blind Scoring Sheet'!J493,VALUE(TRIM(LEFT('Blind Scoring Sheet'!J493,FIND("|",'Blind Scoring Sheet'!J493)-1))))</f>
        <v/>
      </c>
      <c r="H493" s="80">
        <f>IF(ISNUMBER(SEARCH("|",'Blind Scoring Sheet'!K493)),TRIM(LEFT('Blind Scoring Sheet'!K493,FIND("|",'Blind Scoring Sheet'!K493)-1)),TRIM('Blind Scoring Sheet'!K493))</f>
        <v/>
      </c>
    </row>
    <row r="494" ht="15" customHeight="1" s="38">
      <c r="A494" s="80">
        <f>'Blind Scoring Sheet'!A494</f>
        <v/>
      </c>
      <c r="B494" s="80">
        <f>MID(INDEX('Anonymization Key'!$B$4:$B$1003,MATCH(A494,'Anonymization Key'!$A$4:$A$1003,0)),3,2)</f>
        <v/>
      </c>
      <c r="C494" s="81">
        <f>IF(ISNUMBER('Blind Scoring Sheet'!B494),'Blind Scoring Sheet'!B494,VALUE(TRIM(LEFT('Blind Scoring Sheet'!B494,FIND("|",'Blind Scoring Sheet'!B494)-1))))</f>
        <v/>
      </c>
      <c r="D494" s="81">
        <f>IF(ISNUMBER('Blind Scoring Sheet'!D494),'Blind Scoring Sheet'!D494,VALUE(TRIM(LEFT('Blind Scoring Sheet'!D494,FIND("|",'Blind Scoring Sheet'!D494)-1))))</f>
        <v/>
      </c>
      <c r="E494" s="81">
        <f>IF(ISNUMBER('Blind Scoring Sheet'!F494),'Blind Scoring Sheet'!F494,VALUE(TRIM(LEFT('Blind Scoring Sheet'!F494,FIND("|",'Blind Scoring Sheet'!F494)-1))))</f>
        <v/>
      </c>
      <c r="F494" s="81">
        <f>IF(ISNUMBER('Blind Scoring Sheet'!H494),'Blind Scoring Sheet'!H494,VALUE(TRIM(LEFT('Blind Scoring Sheet'!H494,FIND("|",'Blind Scoring Sheet'!H494)-1))))</f>
        <v/>
      </c>
      <c r="G494" s="81">
        <f>IF(ISNUMBER('Blind Scoring Sheet'!J494),'Blind Scoring Sheet'!J494,VALUE(TRIM(LEFT('Blind Scoring Sheet'!J494,FIND("|",'Blind Scoring Sheet'!J494)-1))))</f>
        <v/>
      </c>
      <c r="H494" s="80">
        <f>IF(ISNUMBER(SEARCH("|",'Blind Scoring Sheet'!K494)),TRIM(LEFT('Blind Scoring Sheet'!K494,FIND("|",'Blind Scoring Sheet'!K494)-1)),TRIM('Blind Scoring Sheet'!K494))</f>
        <v/>
      </c>
    </row>
    <row r="495" ht="15" customHeight="1" s="38">
      <c r="A495" s="80">
        <f>'Blind Scoring Sheet'!A495</f>
        <v/>
      </c>
      <c r="B495" s="80">
        <f>MID(INDEX('Anonymization Key'!$B$4:$B$1003,MATCH(A495,'Anonymization Key'!$A$4:$A$1003,0)),3,2)</f>
        <v/>
      </c>
      <c r="C495" s="81">
        <f>IF(ISNUMBER('Blind Scoring Sheet'!B495),'Blind Scoring Sheet'!B495,VALUE(TRIM(LEFT('Blind Scoring Sheet'!B495,FIND("|",'Blind Scoring Sheet'!B495)-1))))</f>
        <v/>
      </c>
      <c r="D495" s="81">
        <f>IF(ISNUMBER('Blind Scoring Sheet'!D495),'Blind Scoring Sheet'!D495,VALUE(TRIM(LEFT('Blind Scoring Sheet'!D495,FIND("|",'Blind Scoring Sheet'!D495)-1))))</f>
        <v/>
      </c>
      <c r="E495" s="81">
        <f>IF(ISNUMBER('Blind Scoring Sheet'!F495),'Blind Scoring Sheet'!F495,VALUE(TRIM(LEFT('Blind Scoring Sheet'!F495,FIND("|",'Blind Scoring Sheet'!F495)-1))))</f>
        <v/>
      </c>
      <c r="F495" s="81">
        <f>IF(ISNUMBER('Blind Scoring Sheet'!H495),'Blind Scoring Sheet'!H495,VALUE(TRIM(LEFT('Blind Scoring Sheet'!H495,FIND("|",'Blind Scoring Sheet'!H495)-1))))</f>
        <v/>
      </c>
      <c r="G495" s="81">
        <f>IF(ISNUMBER('Blind Scoring Sheet'!J495),'Blind Scoring Sheet'!J495,VALUE(TRIM(LEFT('Blind Scoring Sheet'!J495,FIND("|",'Blind Scoring Sheet'!J495)-1))))</f>
        <v/>
      </c>
      <c r="H495" s="80">
        <f>IF(ISNUMBER(SEARCH("|",'Blind Scoring Sheet'!K495)),TRIM(LEFT('Blind Scoring Sheet'!K495,FIND("|",'Blind Scoring Sheet'!K495)-1)),TRIM('Blind Scoring Sheet'!K495))</f>
        <v/>
      </c>
    </row>
    <row r="496" ht="15" customHeight="1" s="38">
      <c r="A496" s="80">
        <f>'Blind Scoring Sheet'!A496</f>
        <v/>
      </c>
      <c r="B496" s="80">
        <f>MID(INDEX('Anonymization Key'!$B$4:$B$1003,MATCH(A496,'Anonymization Key'!$A$4:$A$1003,0)),3,2)</f>
        <v/>
      </c>
      <c r="C496" s="81">
        <f>IF(ISNUMBER('Blind Scoring Sheet'!B496),'Blind Scoring Sheet'!B496,VALUE(TRIM(LEFT('Blind Scoring Sheet'!B496,FIND("|",'Blind Scoring Sheet'!B496)-1))))</f>
        <v/>
      </c>
      <c r="D496" s="81">
        <f>IF(ISNUMBER('Blind Scoring Sheet'!D496),'Blind Scoring Sheet'!D496,VALUE(TRIM(LEFT('Blind Scoring Sheet'!D496,FIND("|",'Blind Scoring Sheet'!D496)-1))))</f>
        <v/>
      </c>
      <c r="E496" s="81">
        <f>IF(ISNUMBER('Blind Scoring Sheet'!F496),'Blind Scoring Sheet'!F496,VALUE(TRIM(LEFT('Blind Scoring Sheet'!F496,FIND("|",'Blind Scoring Sheet'!F496)-1))))</f>
        <v/>
      </c>
      <c r="F496" s="81">
        <f>IF(ISNUMBER('Blind Scoring Sheet'!H496),'Blind Scoring Sheet'!H496,VALUE(TRIM(LEFT('Blind Scoring Sheet'!H496,FIND("|",'Blind Scoring Sheet'!H496)-1))))</f>
        <v/>
      </c>
      <c r="G496" s="81">
        <f>IF(ISNUMBER('Blind Scoring Sheet'!J496),'Blind Scoring Sheet'!J496,VALUE(TRIM(LEFT('Blind Scoring Sheet'!J496,FIND("|",'Blind Scoring Sheet'!J496)-1))))</f>
        <v/>
      </c>
      <c r="H496" s="80">
        <f>IF(ISNUMBER(SEARCH("|",'Blind Scoring Sheet'!K496)),TRIM(LEFT('Blind Scoring Sheet'!K496,FIND("|",'Blind Scoring Sheet'!K496)-1)),TRIM('Blind Scoring Sheet'!K496))</f>
        <v/>
      </c>
    </row>
    <row r="497" ht="15" customHeight="1" s="38">
      <c r="A497" s="80">
        <f>'Blind Scoring Sheet'!A497</f>
        <v/>
      </c>
      <c r="B497" s="80">
        <f>MID(INDEX('Anonymization Key'!$B$4:$B$1003,MATCH(A497,'Anonymization Key'!$A$4:$A$1003,0)),3,2)</f>
        <v/>
      </c>
      <c r="C497" s="81">
        <f>IF(ISNUMBER('Blind Scoring Sheet'!B497),'Blind Scoring Sheet'!B497,VALUE(TRIM(LEFT('Blind Scoring Sheet'!B497,FIND("|",'Blind Scoring Sheet'!B497)-1))))</f>
        <v/>
      </c>
      <c r="D497" s="81">
        <f>IF(ISNUMBER('Blind Scoring Sheet'!D497),'Blind Scoring Sheet'!D497,VALUE(TRIM(LEFT('Blind Scoring Sheet'!D497,FIND("|",'Blind Scoring Sheet'!D497)-1))))</f>
        <v/>
      </c>
      <c r="E497" s="81">
        <f>IF(ISNUMBER('Blind Scoring Sheet'!F497),'Blind Scoring Sheet'!F497,VALUE(TRIM(LEFT('Blind Scoring Sheet'!F497,FIND("|",'Blind Scoring Sheet'!F497)-1))))</f>
        <v/>
      </c>
      <c r="F497" s="81">
        <f>IF(ISNUMBER('Blind Scoring Sheet'!H497),'Blind Scoring Sheet'!H497,VALUE(TRIM(LEFT('Blind Scoring Sheet'!H497,FIND("|",'Blind Scoring Sheet'!H497)-1))))</f>
        <v/>
      </c>
      <c r="G497" s="81">
        <f>IF(ISNUMBER('Blind Scoring Sheet'!J497),'Blind Scoring Sheet'!J497,VALUE(TRIM(LEFT('Blind Scoring Sheet'!J497,FIND("|",'Blind Scoring Sheet'!J497)-1))))</f>
        <v/>
      </c>
      <c r="H497" s="80">
        <f>IF(ISNUMBER(SEARCH("|",'Blind Scoring Sheet'!K497)),TRIM(LEFT('Blind Scoring Sheet'!K497,FIND("|",'Blind Scoring Sheet'!K497)-1)),TRIM('Blind Scoring Sheet'!K497))</f>
        <v/>
      </c>
    </row>
    <row r="498" ht="15" customHeight="1" s="38">
      <c r="A498" s="80">
        <f>'Blind Scoring Sheet'!A498</f>
        <v/>
      </c>
      <c r="B498" s="80">
        <f>MID(INDEX('Anonymization Key'!$B$4:$B$1003,MATCH(A498,'Anonymization Key'!$A$4:$A$1003,0)),3,2)</f>
        <v/>
      </c>
      <c r="C498" s="81">
        <f>IF(ISNUMBER('Blind Scoring Sheet'!B498),'Blind Scoring Sheet'!B498,VALUE(TRIM(LEFT('Blind Scoring Sheet'!B498,FIND("|",'Blind Scoring Sheet'!B498)-1))))</f>
        <v/>
      </c>
      <c r="D498" s="81">
        <f>IF(ISNUMBER('Blind Scoring Sheet'!D498),'Blind Scoring Sheet'!D498,VALUE(TRIM(LEFT('Blind Scoring Sheet'!D498,FIND("|",'Blind Scoring Sheet'!D498)-1))))</f>
        <v/>
      </c>
      <c r="E498" s="81">
        <f>IF(ISNUMBER('Blind Scoring Sheet'!F498),'Blind Scoring Sheet'!F498,VALUE(TRIM(LEFT('Blind Scoring Sheet'!F498,FIND("|",'Blind Scoring Sheet'!F498)-1))))</f>
        <v/>
      </c>
      <c r="F498" s="81">
        <f>IF(ISNUMBER('Blind Scoring Sheet'!H498),'Blind Scoring Sheet'!H498,VALUE(TRIM(LEFT('Blind Scoring Sheet'!H498,FIND("|",'Blind Scoring Sheet'!H498)-1))))</f>
        <v/>
      </c>
      <c r="G498" s="81">
        <f>IF(ISNUMBER('Blind Scoring Sheet'!J498),'Blind Scoring Sheet'!J498,VALUE(TRIM(LEFT('Blind Scoring Sheet'!J498,FIND("|",'Blind Scoring Sheet'!J498)-1))))</f>
        <v/>
      </c>
      <c r="H498" s="80">
        <f>IF(ISNUMBER(SEARCH("|",'Blind Scoring Sheet'!K498)),TRIM(LEFT('Blind Scoring Sheet'!K498,FIND("|",'Blind Scoring Sheet'!K498)-1)),TRIM('Blind Scoring Sheet'!K498))</f>
        <v/>
      </c>
    </row>
    <row r="499" ht="15" customHeight="1" s="38">
      <c r="A499" s="80">
        <f>'Blind Scoring Sheet'!A499</f>
        <v/>
      </c>
      <c r="B499" s="80">
        <f>MID(INDEX('Anonymization Key'!$B$4:$B$1003,MATCH(A499,'Anonymization Key'!$A$4:$A$1003,0)),3,2)</f>
        <v/>
      </c>
      <c r="C499" s="81">
        <f>IF(ISNUMBER('Blind Scoring Sheet'!B499),'Blind Scoring Sheet'!B499,VALUE(TRIM(LEFT('Blind Scoring Sheet'!B499,FIND("|",'Blind Scoring Sheet'!B499)-1))))</f>
        <v/>
      </c>
      <c r="D499" s="81">
        <f>IF(ISNUMBER('Blind Scoring Sheet'!D499),'Blind Scoring Sheet'!D499,VALUE(TRIM(LEFT('Blind Scoring Sheet'!D499,FIND("|",'Blind Scoring Sheet'!D499)-1))))</f>
        <v/>
      </c>
      <c r="E499" s="81">
        <f>IF(ISNUMBER('Blind Scoring Sheet'!F499),'Blind Scoring Sheet'!F499,VALUE(TRIM(LEFT('Blind Scoring Sheet'!F499,FIND("|",'Blind Scoring Sheet'!F499)-1))))</f>
        <v/>
      </c>
      <c r="F499" s="81">
        <f>IF(ISNUMBER('Blind Scoring Sheet'!H499),'Blind Scoring Sheet'!H499,VALUE(TRIM(LEFT('Blind Scoring Sheet'!H499,FIND("|",'Blind Scoring Sheet'!H499)-1))))</f>
        <v/>
      </c>
      <c r="G499" s="81">
        <f>IF(ISNUMBER('Blind Scoring Sheet'!J499),'Blind Scoring Sheet'!J499,VALUE(TRIM(LEFT('Blind Scoring Sheet'!J499,FIND("|",'Blind Scoring Sheet'!J499)-1))))</f>
        <v/>
      </c>
      <c r="H499" s="80">
        <f>IF(ISNUMBER(SEARCH("|",'Blind Scoring Sheet'!K499)),TRIM(LEFT('Blind Scoring Sheet'!K499,FIND("|",'Blind Scoring Sheet'!K499)-1)),TRIM('Blind Scoring Sheet'!K499))</f>
        <v/>
      </c>
    </row>
    <row r="500" ht="15" customHeight="1" s="38">
      <c r="A500" s="80">
        <f>'Blind Scoring Sheet'!A500</f>
        <v/>
      </c>
      <c r="B500" s="80">
        <f>MID(INDEX('Anonymization Key'!$B$4:$B$1003,MATCH(A500,'Anonymization Key'!$A$4:$A$1003,0)),3,2)</f>
        <v/>
      </c>
      <c r="C500" s="81">
        <f>IF(ISNUMBER('Blind Scoring Sheet'!B500),'Blind Scoring Sheet'!B500,VALUE(TRIM(LEFT('Blind Scoring Sheet'!B500,FIND("|",'Blind Scoring Sheet'!B500)-1))))</f>
        <v/>
      </c>
      <c r="D500" s="81">
        <f>IF(ISNUMBER('Blind Scoring Sheet'!D500),'Blind Scoring Sheet'!D500,VALUE(TRIM(LEFT('Blind Scoring Sheet'!D500,FIND("|",'Blind Scoring Sheet'!D500)-1))))</f>
        <v/>
      </c>
      <c r="E500" s="81">
        <f>IF(ISNUMBER('Blind Scoring Sheet'!F500),'Blind Scoring Sheet'!F500,VALUE(TRIM(LEFT('Blind Scoring Sheet'!F500,FIND("|",'Blind Scoring Sheet'!F500)-1))))</f>
        <v/>
      </c>
      <c r="F500" s="81">
        <f>IF(ISNUMBER('Blind Scoring Sheet'!H500),'Blind Scoring Sheet'!H500,VALUE(TRIM(LEFT('Blind Scoring Sheet'!H500,FIND("|",'Blind Scoring Sheet'!H500)-1))))</f>
        <v/>
      </c>
      <c r="G500" s="81">
        <f>IF(ISNUMBER('Blind Scoring Sheet'!J500),'Blind Scoring Sheet'!J500,VALUE(TRIM(LEFT('Blind Scoring Sheet'!J500,FIND("|",'Blind Scoring Sheet'!J500)-1))))</f>
        <v/>
      </c>
      <c r="H500" s="80">
        <f>IF(ISNUMBER(SEARCH("|",'Blind Scoring Sheet'!K500)),TRIM(LEFT('Blind Scoring Sheet'!K500,FIND("|",'Blind Scoring Sheet'!K500)-1)),TRIM('Blind Scoring Sheet'!K500))</f>
        <v/>
      </c>
    </row>
    <row r="501" ht="15" customHeight="1" s="38">
      <c r="A501" s="80">
        <f>'Blind Scoring Sheet'!A501</f>
        <v/>
      </c>
      <c r="B501" s="80">
        <f>MID(INDEX('Anonymization Key'!$B$4:$B$1003,MATCH(A501,'Anonymization Key'!$A$4:$A$1003,0)),3,2)</f>
        <v/>
      </c>
      <c r="C501" s="81">
        <f>IF(ISNUMBER('Blind Scoring Sheet'!B501),'Blind Scoring Sheet'!B501,VALUE(TRIM(LEFT('Blind Scoring Sheet'!B501,FIND("|",'Blind Scoring Sheet'!B501)-1))))</f>
        <v/>
      </c>
      <c r="D501" s="81">
        <f>IF(ISNUMBER('Blind Scoring Sheet'!D501),'Blind Scoring Sheet'!D501,VALUE(TRIM(LEFT('Blind Scoring Sheet'!D501,FIND("|",'Blind Scoring Sheet'!D501)-1))))</f>
        <v/>
      </c>
      <c r="E501" s="81">
        <f>IF(ISNUMBER('Blind Scoring Sheet'!F501),'Blind Scoring Sheet'!F501,VALUE(TRIM(LEFT('Blind Scoring Sheet'!F501,FIND("|",'Blind Scoring Sheet'!F501)-1))))</f>
        <v/>
      </c>
      <c r="F501" s="81">
        <f>IF(ISNUMBER('Blind Scoring Sheet'!H501),'Blind Scoring Sheet'!H501,VALUE(TRIM(LEFT('Blind Scoring Sheet'!H501,FIND("|",'Blind Scoring Sheet'!H501)-1))))</f>
        <v/>
      </c>
      <c r="G501" s="81">
        <f>IF(ISNUMBER('Blind Scoring Sheet'!J501),'Blind Scoring Sheet'!J501,VALUE(TRIM(LEFT('Blind Scoring Sheet'!J501,FIND("|",'Blind Scoring Sheet'!J501)-1))))</f>
        <v/>
      </c>
      <c r="H501" s="80">
        <f>IF(ISNUMBER(SEARCH("|",'Blind Scoring Sheet'!K501)),TRIM(LEFT('Blind Scoring Sheet'!K501,FIND("|",'Blind Scoring Sheet'!K501)-1)),TRIM('Blind Scoring Sheet'!K501))</f>
        <v/>
      </c>
    </row>
    <row r="502" ht="15" customHeight="1" s="38">
      <c r="A502" s="80">
        <f>'Blind Scoring Sheet'!A502</f>
        <v/>
      </c>
      <c r="B502" s="80">
        <f>MID(INDEX('Anonymization Key'!$B$4:$B$1003,MATCH(A502,'Anonymization Key'!$A$4:$A$1003,0)),3,2)</f>
        <v/>
      </c>
      <c r="C502" s="81">
        <f>IF(ISNUMBER('Blind Scoring Sheet'!B502),'Blind Scoring Sheet'!B502,VALUE(TRIM(LEFT('Blind Scoring Sheet'!B502,FIND("|",'Blind Scoring Sheet'!B502)-1))))</f>
        <v/>
      </c>
      <c r="D502" s="81">
        <f>IF(ISNUMBER('Blind Scoring Sheet'!D502),'Blind Scoring Sheet'!D502,VALUE(TRIM(LEFT('Blind Scoring Sheet'!D502,FIND("|",'Blind Scoring Sheet'!D502)-1))))</f>
        <v/>
      </c>
      <c r="E502" s="81">
        <f>IF(ISNUMBER('Blind Scoring Sheet'!F502),'Blind Scoring Sheet'!F502,VALUE(TRIM(LEFT('Blind Scoring Sheet'!F502,FIND("|",'Blind Scoring Sheet'!F502)-1))))</f>
        <v/>
      </c>
      <c r="F502" s="81">
        <f>IF(ISNUMBER('Blind Scoring Sheet'!H502),'Blind Scoring Sheet'!H502,VALUE(TRIM(LEFT('Blind Scoring Sheet'!H502,FIND("|",'Blind Scoring Sheet'!H502)-1))))</f>
        <v/>
      </c>
      <c r="G502" s="81">
        <f>IF(ISNUMBER('Blind Scoring Sheet'!J502),'Blind Scoring Sheet'!J502,VALUE(TRIM(LEFT('Blind Scoring Sheet'!J502,FIND("|",'Blind Scoring Sheet'!J502)-1))))</f>
        <v/>
      </c>
      <c r="H502" s="80">
        <f>IF(ISNUMBER(SEARCH("|",'Blind Scoring Sheet'!K502)),TRIM(LEFT('Blind Scoring Sheet'!K502,FIND("|",'Blind Scoring Sheet'!K502)-1)),TRIM('Blind Scoring Sheet'!K502))</f>
        <v/>
      </c>
    </row>
    <row r="503" ht="15" customHeight="1" s="38">
      <c r="A503" s="80">
        <f>'Blind Scoring Sheet'!A503</f>
        <v/>
      </c>
      <c r="B503" s="80">
        <f>MID(INDEX('Anonymization Key'!$B$4:$B$1003,MATCH(A503,'Anonymization Key'!$A$4:$A$1003,0)),3,2)</f>
        <v/>
      </c>
      <c r="C503" s="81">
        <f>IF(ISNUMBER('Blind Scoring Sheet'!B503),'Blind Scoring Sheet'!B503,VALUE(TRIM(LEFT('Blind Scoring Sheet'!B503,FIND("|",'Blind Scoring Sheet'!B503)-1))))</f>
        <v/>
      </c>
      <c r="D503" s="81">
        <f>IF(ISNUMBER('Blind Scoring Sheet'!D503),'Blind Scoring Sheet'!D503,VALUE(TRIM(LEFT('Blind Scoring Sheet'!D503,FIND("|",'Blind Scoring Sheet'!D503)-1))))</f>
        <v/>
      </c>
      <c r="E503" s="81">
        <f>IF(ISNUMBER('Blind Scoring Sheet'!F503),'Blind Scoring Sheet'!F503,VALUE(TRIM(LEFT('Blind Scoring Sheet'!F503,FIND("|",'Blind Scoring Sheet'!F503)-1))))</f>
        <v/>
      </c>
      <c r="F503" s="81">
        <f>IF(ISNUMBER('Blind Scoring Sheet'!H503),'Blind Scoring Sheet'!H503,VALUE(TRIM(LEFT('Blind Scoring Sheet'!H503,FIND("|",'Blind Scoring Sheet'!H503)-1))))</f>
        <v/>
      </c>
      <c r="G503" s="81">
        <f>IF(ISNUMBER('Blind Scoring Sheet'!J503),'Blind Scoring Sheet'!J503,VALUE(TRIM(LEFT('Blind Scoring Sheet'!J503,FIND("|",'Blind Scoring Sheet'!J503)-1))))</f>
        <v/>
      </c>
      <c r="H503" s="80">
        <f>IF(ISNUMBER(SEARCH("|",'Blind Scoring Sheet'!K503)),TRIM(LEFT('Blind Scoring Sheet'!K503,FIND("|",'Blind Scoring Sheet'!K503)-1)),TRIM('Blind Scoring Sheet'!K503))</f>
        <v/>
      </c>
    </row>
    <row r="504" ht="15" customHeight="1" s="38">
      <c r="A504" s="80">
        <f>'Blind Scoring Sheet'!A504</f>
        <v/>
      </c>
      <c r="B504" s="80">
        <f>MID(INDEX('Anonymization Key'!$B$4:$B$1003,MATCH(A504,'Anonymization Key'!$A$4:$A$1003,0)),3,2)</f>
        <v/>
      </c>
      <c r="C504" s="81">
        <f>IF(ISNUMBER('Blind Scoring Sheet'!B504),'Blind Scoring Sheet'!B504,VALUE(TRIM(LEFT('Blind Scoring Sheet'!B504,FIND("|",'Blind Scoring Sheet'!B504)-1))))</f>
        <v/>
      </c>
      <c r="D504" s="81">
        <f>IF(ISNUMBER('Blind Scoring Sheet'!D504),'Blind Scoring Sheet'!D504,VALUE(TRIM(LEFT('Blind Scoring Sheet'!D504,FIND("|",'Blind Scoring Sheet'!D504)-1))))</f>
        <v/>
      </c>
      <c r="E504" s="81">
        <f>IF(ISNUMBER('Blind Scoring Sheet'!F504),'Blind Scoring Sheet'!F504,VALUE(TRIM(LEFT('Blind Scoring Sheet'!F504,FIND("|",'Blind Scoring Sheet'!F504)-1))))</f>
        <v/>
      </c>
      <c r="F504" s="81">
        <f>IF(ISNUMBER('Blind Scoring Sheet'!H504),'Blind Scoring Sheet'!H504,VALUE(TRIM(LEFT('Blind Scoring Sheet'!H504,FIND("|",'Blind Scoring Sheet'!H504)-1))))</f>
        <v/>
      </c>
      <c r="G504" s="81">
        <f>IF(ISNUMBER('Blind Scoring Sheet'!J504),'Blind Scoring Sheet'!J504,VALUE(TRIM(LEFT('Blind Scoring Sheet'!J504,FIND("|",'Blind Scoring Sheet'!J504)-1))))</f>
        <v/>
      </c>
      <c r="H504" s="80">
        <f>IF(ISNUMBER(SEARCH("|",'Blind Scoring Sheet'!K504)),TRIM(LEFT('Blind Scoring Sheet'!K504,FIND("|",'Blind Scoring Sheet'!K504)-1)),TRIM('Blind Scoring Sheet'!K504))</f>
        <v/>
      </c>
    </row>
    <row r="505" ht="15" customHeight="1" s="38">
      <c r="A505" s="80">
        <f>'Blind Scoring Sheet'!A505</f>
        <v/>
      </c>
      <c r="B505" s="80">
        <f>MID(INDEX('Anonymization Key'!$B$4:$B$1003,MATCH(A505,'Anonymization Key'!$A$4:$A$1003,0)),3,2)</f>
        <v/>
      </c>
      <c r="C505" s="81">
        <f>IF(ISNUMBER('Blind Scoring Sheet'!B505),'Blind Scoring Sheet'!B505,VALUE(TRIM(LEFT('Blind Scoring Sheet'!B505,FIND("|",'Blind Scoring Sheet'!B505)-1))))</f>
        <v/>
      </c>
      <c r="D505" s="81">
        <f>IF(ISNUMBER('Blind Scoring Sheet'!D505),'Blind Scoring Sheet'!D505,VALUE(TRIM(LEFT('Blind Scoring Sheet'!D505,FIND("|",'Blind Scoring Sheet'!D505)-1))))</f>
        <v/>
      </c>
      <c r="E505" s="81">
        <f>IF(ISNUMBER('Blind Scoring Sheet'!F505),'Blind Scoring Sheet'!F505,VALUE(TRIM(LEFT('Blind Scoring Sheet'!F505,FIND("|",'Blind Scoring Sheet'!F505)-1))))</f>
        <v/>
      </c>
      <c r="F505" s="81">
        <f>IF(ISNUMBER('Blind Scoring Sheet'!H505),'Blind Scoring Sheet'!H505,VALUE(TRIM(LEFT('Blind Scoring Sheet'!H505,FIND("|",'Blind Scoring Sheet'!H505)-1))))</f>
        <v/>
      </c>
      <c r="G505" s="81">
        <f>IF(ISNUMBER('Blind Scoring Sheet'!J505),'Blind Scoring Sheet'!J505,VALUE(TRIM(LEFT('Blind Scoring Sheet'!J505,FIND("|",'Blind Scoring Sheet'!J505)-1))))</f>
        <v/>
      </c>
      <c r="H505" s="80">
        <f>IF(ISNUMBER(SEARCH("|",'Blind Scoring Sheet'!K505)),TRIM(LEFT('Blind Scoring Sheet'!K505,FIND("|",'Blind Scoring Sheet'!K505)-1)),TRIM('Blind Scoring Sheet'!K505))</f>
        <v/>
      </c>
    </row>
    <row r="506" ht="15" customHeight="1" s="38">
      <c r="A506" s="80">
        <f>'Blind Scoring Sheet'!A506</f>
        <v/>
      </c>
      <c r="B506" s="80">
        <f>MID(INDEX('Anonymization Key'!$B$4:$B$1003,MATCH(A506,'Anonymization Key'!$A$4:$A$1003,0)),3,2)</f>
        <v/>
      </c>
      <c r="C506" s="81">
        <f>IF(ISNUMBER('Blind Scoring Sheet'!B506),'Blind Scoring Sheet'!B506,VALUE(TRIM(LEFT('Blind Scoring Sheet'!B506,FIND("|",'Blind Scoring Sheet'!B506)-1))))</f>
        <v/>
      </c>
      <c r="D506" s="81">
        <f>IF(ISNUMBER('Blind Scoring Sheet'!D506),'Blind Scoring Sheet'!D506,VALUE(TRIM(LEFT('Blind Scoring Sheet'!D506,FIND("|",'Blind Scoring Sheet'!D506)-1))))</f>
        <v/>
      </c>
      <c r="E506" s="81">
        <f>IF(ISNUMBER('Blind Scoring Sheet'!F506),'Blind Scoring Sheet'!F506,VALUE(TRIM(LEFT('Blind Scoring Sheet'!F506,FIND("|",'Blind Scoring Sheet'!F506)-1))))</f>
        <v/>
      </c>
      <c r="F506" s="81">
        <f>IF(ISNUMBER('Blind Scoring Sheet'!H506),'Blind Scoring Sheet'!H506,VALUE(TRIM(LEFT('Blind Scoring Sheet'!H506,FIND("|",'Blind Scoring Sheet'!H506)-1))))</f>
        <v/>
      </c>
      <c r="G506" s="81">
        <f>IF(ISNUMBER('Blind Scoring Sheet'!J506),'Blind Scoring Sheet'!J506,VALUE(TRIM(LEFT('Blind Scoring Sheet'!J506,FIND("|",'Blind Scoring Sheet'!J506)-1))))</f>
        <v/>
      </c>
      <c r="H506" s="80">
        <f>IF(ISNUMBER(SEARCH("|",'Blind Scoring Sheet'!K506)),TRIM(LEFT('Blind Scoring Sheet'!K506,FIND("|",'Blind Scoring Sheet'!K506)-1)),TRIM('Blind Scoring Sheet'!K506))</f>
        <v/>
      </c>
    </row>
    <row r="507" ht="15" customHeight="1" s="38">
      <c r="A507" s="80">
        <f>'Blind Scoring Sheet'!A507</f>
        <v/>
      </c>
      <c r="B507" s="80">
        <f>MID(INDEX('Anonymization Key'!$B$4:$B$1003,MATCH(A507,'Anonymization Key'!$A$4:$A$1003,0)),3,2)</f>
        <v/>
      </c>
      <c r="C507" s="81">
        <f>IF(ISNUMBER('Blind Scoring Sheet'!B507),'Blind Scoring Sheet'!B507,VALUE(TRIM(LEFT('Blind Scoring Sheet'!B507,FIND("|",'Blind Scoring Sheet'!B507)-1))))</f>
        <v/>
      </c>
      <c r="D507" s="81">
        <f>IF(ISNUMBER('Blind Scoring Sheet'!D507),'Blind Scoring Sheet'!D507,VALUE(TRIM(LEFT('Blind Scoring Sheet'!D507,FIND("|",'Blind Scoring Sheet'!D507)-1))))</f>
        <v/>
      </c>
      <c r="E507" s="81">
        <f>IF(ISNUMBER('Blind Scoring Sheet'!F507),'Blind Scoring Sheet'!F507,VALUE(TRIM(LEFT('Blind Scoring Sheet'!F507,FIND("|",'Blind Scoring Sheet'!F507)-1))))</f>
        <v/>
      </c>
      <c r="F507" s="81">
        <f>IF(ISNUMBER('Blind Scoring Sheet'!H507),'Blind Scoring Sheet'!H507,VALUE(TRIM(LEFT('Blind Scoring Sheet'!H507,FIND("|",'Blind Scoring Sheet'!H507)-1))))</f>
        <v/>
      </c>
      <c r="G507" s="81">
        <f>IF(ISNUMBER('Blind Scoring Sheet'!J507),'Blind Scoring Sheet'!J507,VALUE(TRIM(LEFT('Blind Scoring Sheet'!J507,FIND("|",'Blind Scoring Sheet'!J507)-1))))</f>
        <v/>
      </c>
      <c r="H507" s="80">
        <f>IF(ISNUMBER(SEARCH("|",'Blind Scoring Sheet'!K507)),TRIM(LEFT('Blind Scoring Sheet'!K507,FIND("|",'Blind Scoring Sheet'!K507)-1)),TRIM('Blind Scoring Sheet'!K507))</f>
        <v/>
      </c>
    </row>
    <row r="508" ht="15" customHeight="1" s="38">
      <c r="A508" s="80">
        <f>'Blind Scoring Sheet'!A508</f>
        <v/>
      </c>
      <c r="B508" s="80">
        <f>MID(INDEX('Anonymization Key'!$B$4:$B$1003,MATCH(A508,'Anonymization Key'!$A$4:$A$1003,0)),3,2)</f>
        <v/>
      </c>
      <c r="C508" s="81">
        <f>IF(ISNUMBER('Blind Scoring Sheet'!B508),'Blind Scoring Sheet'!B508,VALUE(TRIM(LEFT('Blind Scoring Sheet'!B508,FIND("|",'Blind Scoring Sheet'!B508)-1))))</f>
        <v/>
      </c>
      <c r="D508" s="81">
        <f>IF(ISNUMBER('Blind Scoring Sheet'!D508),'Blind Scoring Sheet'!D508,VALUE(TRIM(LEFT('Blind Scoring Sheet'!D508,FIND("|",'Blind Scoring Sheet'!D508)-1))))</f>
        <v/>
      </c>
      <c r="E508" s="81">
        <f>IF(ISNUMBER('Blind Scoring Sheet'!F508),'Blind Scoring Sheet'!F508,VALUE(TRIM(LEFT('Blind Scoring Sheet'!F508,FIND("|",'Blind Scoring Sheet'!F508)-1))))</f>
        <v/>
      </c>
      <c r="F508" s="81">
        <f>IF(ISNUMBER('Blind Scoring Sheet'!H508),'Blind Scoring Sheet'!H508,VALUE(TRIM(LEFT('Blind Scoring Sheet'!H508,FIND("|",'Blind Scoring Sheet'!H508)-1))))</f>
        <v/>
      </c>
      <c r="G508" s="81">
        <f>IF(ISNUMBER('Blind Scoring Sheet'!J508),'Blind Scoring Sheet'!J508,VALUE(TRIM(LEFT('Blind Scoring Sheet'!J508,FIND("|",'Blind Scoring Sheet'!J508)-1))))</f>
        <v/>
      </c>
      <c r="H508" s="80">
        <f>IF(ISNUMBER(SEARCH("|",'Blind Scoring Sheet'!K508)),TRIM(LEFT('Blind Scoring Sheet'!K508,FIND("|",'Blind Scoring Sheet'!K508)-1)),TRIM('Blind Scoring Sheet'!K508))</f>
        <v/>
      </c>
    </row>
    <row r="509" ht="15" customHeight="1" s="38">
      <c r="A509" s="80">
        <f>'Blind Scoring Sheet'!A509</f>
        <v/>
      </c>
      <c r="B509" s="80">
        <f>MID(INDEX('Anonymization Key'!$B$4:$B$1003,MATCH(A509,'Anonymization Key'!$A$4:$A$1003,0)),3,2)</f>
        <v/>
      </c>
      <c r="C509" s="81">
        <f>IF(ISNUMBER('Blind Scoring Sheet'!B509),'Blind Scoring Sheet'!B509,VALUE(TRIM(LEFT('Blind Scoring Sheet'!B509,FIND("|",'Blind Scoring Sheet'!B509)-1))))</f>
        <v/>
      </c>
      <c r="D509" s="81">
        <f>IF(ISNUMBER('Blind Scoring Sheet'!D509),'Blind Scoring Sheet'!D509,VALUE(TRIM(LEFT('Blind Scoring Sheet'!D509,FIND("|",'Blind Scoring Sheet'!D509)-1))))</f>
        <v/>
      </c>
      <c r="E509" s="81">
        <f>IF(ISNUMBER('Blind Scoring Sheet'!F509),'Blind Scoring Sheet'!F509,VALUE(TRIM(LEFT('Blind Scoring Sheet'!F509,FIND("|",'Blind Scoring Sheet'!F509)-1))))</f>
        <v/>
      </c>
      <c r="F509" s="81">
        <f>IF(ISNUMBER('Blind Scoring Sheet'!H509),'Blind Scoring Sheet'!H509,VALUE(TRIM(LEFT('Blind Scoring Sheet'!H509,FIND("|",'Blind Scoring Sheet'!H509)-1))))</f>
        <v/>
      </c>
      <c r="G509" s="81">
        <f>IF(ISNUMBER('Blind Scoring Sheet'!J509),'Blind Scoring Sheet'!J509,VALUE(TRIM(LEFT('Blind Scoring Sheet'!J509,FIND("|",'Blind Scoring Sheet'!J509)-1))))</f>
        <v/>
      </c>
      <c r="H509" s="80">
        <f>IF(ISNUMBER(SEARCH("|",'Blind Scoring Sheet'!K509)),TRIM(LEFT('Blind Scoring Sheet'!K509,FIND("|",'Blind Scoring Sheet'!K509)-1)),TRIM('Blind Scoring Sheet'!K509))</f>
        <v/>
      </c>
    </row>
    <row r="510" ht="15" customHeight="1" s="38">
      <c r="A510" s="80">
        <f>'Blind Scoring Sheet'!A510</f>
        <v/>
      </c>
      <c r="B510" s="80">
        <f>MID(INDEX('Anonymization Key'!$B$4:$B$1003,MATCH(A510,'Anonymization Key'!$A$4:$A$1003,0)),3,2)</f>
        <v/>
      </c>
      <c r="C510" s="81">
        <f>IF(ISNUMBER('Blind Scoring Sheet'!B510),'Blind Scoring Sheet'!B510,VALUE(TRIM(LEFT('Blind Scoring Sheet'!B510,FIND("|",'Blind Scoring Sheet'!B510)-1))))</f>
        <v/>
      </c>
      <c r="D510" s="81">
        <f>IF(ISNUMBER('Blind Scoring Sheet'!D510),'Blind Scoring Sheet'!D510,VALUE(TRIM(LEFT('Blind Scoring Sheet'!D510,FIND("|",'Blind Scoring Sheet'!D510)-1))))</f>
        <v/>
      </c>
      <c r="E510" s="81">
        <f>IF(ISNUMBER('Blind Scoring Sheet'!F510),'Blind Scoring Sheet'!F510,VALUE(TRIM(LEFT('Blind Scoring Sheet'!F510,FIND("|",'Blind Scoring Sheet'!F510)-1))))</f>
        <v/>
      </c>
      <c r="F510" s="81">
        <f>IF(ISNUMBER('Blind Scoring Sheet'!H510),'Blind Scoring Sheet'!H510,VALUE(TRIM(LEFT('Blind Scoring Sheet'!H510,FIND("|",'Blind Scoring Sheet'!H510)-1))))</f>
        <v/>
      </c>
      <c r="G510" s="81">
        <f>IF(ISNUMBER('Blind Scoring Sheet'!J510),'Blind Scoring Sheet'!J510,VALUE(TRIM(LEFT('Blind Scoring Sheet'!J510,FIND("|",'Blind Scoring Sheet'!J510)-1))))</f>
        <v/>
      </c>
      <c r="H510" s="80">
        <f>IF(ISNUMBER(SEARCH("|",'Blind Scoring Sheet'!K510)),TRIM(LEFT('Blind Scoring Sheet'!K510,FIND("|",'Blind Scoring Sheet'!K510)-1)),TRIM('Blind Scoring Sheet'!K510))</f>
        <v/>
      </c>
    </row>
    <row r="511" ht="15" customHeight="1" s="38">
      <c r="A511" s="80">
        <f>'Blind Scoring Sheet'!A511</f>
        <v/>
      </c>
      <c r="B511" s="80">
        <f>MID(INDEX('Anonymization Key'!$B$4:$B$1003,MATCH(A511,'Anonymization Key'!$A$4:$A$1003,0)),3,2)</f>
        <v/>
      </c>
      <c r="C511" s="81">
        <f>IF(ISNUMBER('Blind Scoring Sheet'!B511),'Blind Scoring Sheet'!B511,VALUE(TRIM(LEFT('Blind Scoring Sheet'!B511,FIND("|",'Blind Scoring Sheet'!B511)-1))))</f>
        <v/>
      </c>
      <c r="D511" s="81">
        <f>IF(ISNUMBER('Blind Scoring Sheet'!D511),'Blind Scoring Sheet'!D511,VALUE(TRIM(LEFT('Blind Scoring Sheet'!D511,FIND("|",'Blind Scoring Sheet'!D511)-1))))</f>
        <v/>
      </c>
      <c r="E511" s="81">
        <f>IF(ISNUMBER('Blind Scoring Sheet'!F511),'Blind Scoring Sheet'!F511,VALUE(TRIM(LEFT('Blind Scoring Sheet'!F511,FIND("|",'Blind Scoring Sheet'!F511)-1))))</f>
        <v/>
      </c>
      <c r="F511" s="81">
        <f>IF(ISNUMBER('Blind Scoring Sheet'!H511),'Blind Scoring Sheet'!H511,VALUE(TRIM(LEFT('Blind Scoring Sheet'!H511,FIND("|",'Blind Scoring Sheet'!H511)-1))))</f>
        <v/>
      </c>
      <c r="G511" s="81">
        <f>IF(ISNUMBER('Blind Scoring Sheet'!J511),'Blind Scoring Sheet'!J511,VALUE(TRIM(LEFT('Blind Scoring Sheet'!J511,FIND("|",'Blind Scoring Sheet'!J511)-1))))</f>
        <v/>
      </c>
      <c r="H511" s="80">
        <f>IF(ISNUMBER(SEARCH("|",'Blind Scoring Sheet'!K511)),TRIM(LEFT('Blind Scoring Sheet'!K511,FIND("|",'Blind Scoring Sheet'!K511)-1)),TRIM('Blind Scoring Sheet'!K511))</f>
        <v/>
      </c>
    </row>
    <row r="512" ht="15" customHeight="1" s="38">
      <c r="A512" s="80">
        <f>'Blind Scoring Sheet'!A512</f>
        <v/>
      </c>
      <c r="B512" s="80">
        <f>MID(INDEX('Anonymization Key'!$B$4:$B$1003,MATCH(A512,'Anonymization Key'!$A$4:$A$1003,0)),3,2)</f>
        <v/>
      </c>
      <c r="C512" s="81">
        <f>IF(ISNUMBER('Blind Scoring Sheet'!B512),'Blind Scoring Sheet'!B512,VALUE(TRIM(LEFT('Blind Scoring Sheet'!B512,FIND("|",'Blind Scoring Sheet'!B512)-1))))</f>
        <v/>
      </c>
      <c r="D512" s="81">
        <f>IF(ISNUMBER('Blind Scoring Sheet'!D512),'Blind Scoring Sheet'!D512,VALUE(TRIM(LEFT('Blind Scoring Sheet'!D512,FIND("|",'Blind Scoring Sheet'!D512)-1))))</f>
        <v/>
      </c>
      <c r="E512" s="81">
        <f>IF(ISNUMBER('Blind Scoring Sheet'!F512),'Blind Scoring Sheet'!F512,VALUE(TRIM(LEFT('Blind Scoring Sheet'!F512,FIND("|",'Blind Scoring Sheet'!F512)-1))))</f>
        <v/>
      </c>
      <c r="F512" s="81">
        <f>IF(ISNUMBER('Blind Scoring Sheet'!H512),'Blind Scoring Sheet'!H512,VALUE(TRIM(LEFT('Blind Scoring Sheet'!H512,FIND("|",'Blind Scoring Sheet'!H512)-1))))</f>
        <v/>
      </c>
      <c r="G512" s="81">
        <f>IF(ISNUMBER('Blind Scoring Sheet'!J512),'Blind Scoring Sheet'!J512,VALUE(TRIM(LEFT('Blind Scoring Sheet'!J512,FIND("|",'Blind Scoring Sheet'!J512)-1))))</f>
        <v/>
      </c>
      <c r="H512" s="80">
        <f>IF(ISNUMBER(SEARCH("|",'Blind Scoring Sheet'!K512)),TRIM(LEFT('Blind Scoring Sheet'!K512,FIND("|",'Blind Scoring Sheet'!K512)-1)),TRIM('Blind Scoring Sheet'!K512))</f>
        <v/>
      </c>
    </row>
    <row r="513" ht="15" customHeight="1" s="38">
      <c r="A513" s="80">
        <f>'Blind Scoring Sheet'!A513</f>
        <v/>
      </c>
      <c r="B513" s="80">
        <f>MID(INDEX('Anonymization Key'!$B$4:$B$1003,MATCH(A513,'Anonymization Key'!$A$4:$A$1003,0)),3,2)</f>
        <v/>
      </c>
      <c r="C513" s="81">
        <f>IF(ISNUMBER('Blind Scoring Sheet'!B513),'Blind Scoring Sheet'!B513,VALUE(TRIM(LEFT('Blind Scoring Sheet'!B513,FIND("|",'Blind Scoring Sheet'!B513)-1))))</f>
        <v/>
      </c>
      <c r="D513" s="81">
        <f>IF(ISNUMBER('Blind Scoring Sheet'!D513),'Blind Scoring Sheet'!D513,VALUE(TRIM(LEFT('Blind Scoring Sheet'!D513,FIND("|",'Blind Scoring Sheet'!D513)-1))))</f>
        <v/>
      </c>
      <c r="E513" s="81">
        <f>IF(ISNUMBER('Blind Scoring Sheet'!F513),'Blind Scoring Sheet'!F513,VALUE(TRIM(LEFT('Blind Scoring Sheet'!F513,FIND("|",'Blind Scoring Sheet'!F513)-1))))</f>
        <v/>
      </c>
      <c r="F513" s="81">
        <f>IF(ISNUMBER('Blind Scoring Sheet'!H513),'Blind Scoring Sheet'!H513,VALUE(TRIM(LEFT('Blind Scoring Sheet'!H513,FIND("|",'Blind Scoring Sheet'!H513)-1))))</f>
        <v/>
      </c>
      <c r="G513" s="81">
        <f>IF(ISNUMBER('Blind Scoring Sheet'!J513),'Blind Scoring Sheet'!J513,VALUE(TRIM(LEFT('Blind Scoring Sheet'!J513,FIND("|",'Blind Scoring Sheet'!J513)-1))))</f>
        <v/>
      </c>
      <c r="H513" s="80">
        <f>IF(ISNUMBER(SEARCH("|",'Blind Scoring Sheet'!K513)),TRIM(LEFT('Blind Scoring Sheet'!K513,FIND("|",'Blind Scoring Sheet'!K513)-1)),TRIM('Blind Scoring Sheet'!K513))</f>
        <v/>
      </c>
    </row>
    <row r="514" ht="15" customHeight="1" s="38">
      <c r="A514" s="80">
        <f>'Blind Scoring Sheet'!A514</f>
        <v/>
      </c>
      <c r="B514" s="80">
        <f>MID(INDEX('Anonymization Key'!$B$4:$B$1003,MATCH(A514,'Anonymization Key'!$A$4:$A$1003,0)),3,2)</f>
        <v/>
      </c>
      <c r="C514" s="81">
        <f>IF(ISNUMBER('Blind Scoring Sheet'!B514),'Blind Scoring Sheet'!B514,VALUE(TRIM(LEFT('Blind Scoring Sheet'!B514,FIND("|",'Blind Scoring Sheet'!B514)-1))))</f>
        <v/>
      </c>
      <c r="D514" s="81">
        <f>IF(ISNUMBER('Blind Scoring Sheet'!D514),'Blind Scoring Sheet'!D514,VALUE(TRIM(LEFT('Blind Scoring Sheet'!D514,FIND("|",'Blind Scoring Sheet'!D514)-1))))</f>
        <v/>
      </c>
      <c r="E514" s="81">
        <f>IF(ISNUMBER('Blind Scoring Sheet'!F514),'Blind Scoring Sheet'!F514,VALUE(TRIM(LEFT('Blind Scoring Sheet'!F514,FIND("|",'Blind Scoring Sheet'!F514)-1))))</f>
        <v/>
      </c>
      <c r="F514" s="81">
        <f>IF(ISNUMBER('Blind Scoring Sheet'!H514),'Blind Scoring Sheet'!H514,VALUE(TRIM(LEFT('Blind Scoring Sheet'!H514,FIND("|",'Blind Scoring Sheet'!H514)-1))))</f>
        <v/>
      </c>
      <c r="G514" s="81">
        <f>IF(ISNUMBER('Blind Scoring Sheet'!J514),'Blind Scoring Sheet'!J514,VALUE(TRIM(LEFT('Blind Scoring Sheet'!J514,FIND("|",'Blind Scoring Sheet'!J514)-1))))</f>
        <v/>
      </c>
      <c r="H514" s="80">
        <f>IF(ISNUMBER(SEARCH("|",'Blind Scoring Sheet'!K514)),TRIM(LEFT('Blind Scoring Sheet'!K514,FIND("|",'Blind Scoring Sheet'!K514)-1)),TRIM('Blind Scoring Sheet'!K514))</f>
        <v/>
      </c>
    </row>
    <row r="515" ht="15" customHeight="1" s="38">
      <c r="A515" s="80">
        <f>'Blind Scoring Sheet'!A515</f>
        <v/>
      </c>
      <c r="B515" s="80">
        <f>MID(INDEX('Anonymization Key'!$B$4:$B$1003,MATCH(A515,'Anonymization Key'!$A$4:$A$1003,0)),3,2)</f>
        <v/>
      </c>
      <c r="C515" s="81">
        <f>IF(ISNUMBER('Blind Scoring Sheet'!B515),'Blind Scoring Sheet'!B515,VALUE(TRIM(LEFT('Blind Scoring Sheet'!B515,FIND("|",'Blind Scoring Sheet'!B515)-1))))</f>
        <v/>
      </c>
      <c r="D515" s="81">
        <f>IF(ISNUMBER('Blind Scoring Sheet'!D515),'Blind Scoring Sheet'!D515,VALUE(TRIM(LEFT('Blind Scoring Sheet'!D515,FIND("|",'Blind Scoring Sheet'!D515)-1))))</f>
        <v/>
      </c>
      <c r="E515" s="81">
        <f>IF(ISNUMBER('Blind Scoring Sheet'!F515),'Blind Scoring Sheet'!F515,VALUE(TRIM(LEFT('Blind Scoring Sheet'!F515,FIND("|",'Blind Scoring Sheet'!F515)-1))))</f>
        <v/>
      </c>
      <c r="F515" s="81">
        <f>IF(ISNUMBER('Blind Scoring Sheet'!H515),'Blind Scoring Sheet'!H515,VALUE(TRIM(LEFT('Blind Scoring Sheet'!H515,FIND("|",'Blind Scoring Sheet'!H515)-1))))</f>
        <v/>
      </c>
      <c r="G515" s="81">
        <f>IF(ISNUMBER('Blind Scoring Sheet'!J515),'Blind Scoring Sheet'!J515,VALUE(TRIM(LEFT('Blind Scoring Sheet'!J515,FIND("|",'Blind Scoring Sheet'!J515)-1))))</f>
        <v/>
      </c>
      <c r="H515" s="80">
        <f>IF(ISNUMBER(SEARCH("|",'Blind Scoring Sheet'!K515)),TRIM(LEFT('Blind Scoring Sheet'!K515,FIND("|",'Blind Scoring Sheet'!K515)-1)),TRIM('Blind Scoring Sheet'!K515))</f>
        <v/>
      </c>
    </row>
    <row r="516" ht="15" customHeight="1" s="38">
      <c r="A516" s="80">
        <f>'Blind Scoring Sheet'!A516</f>
        <v/>
      </c>
      <c r="B516" s="80">
        <f>MID(INDEX('Anonymization Key'!$B$4:$B$1003,MATCH(A516,'Anonymization Key'!$A$4:$A$1003,0)),3,2)</f>
        <v/>
      </c>
      <c r="C516" s="81">
        <f>IF(ISNUMBER('Blind Scoring Sheet'!B516),'Blind Scoring Sheet'!B516,VALUE(TRIM(LEFT('Blind Scoring Sheet'!B516,FIND("|",'Blind Scoring Sheet'!B516)-1))))</f>
        <v/>
      </c>
      <c r="D516" s="81">
        <f>IF(ISNUMBER('Blind Scoring Sheet'!D516),'Blind Scoring Sheet'!D516,VALUE(TRIM(LEFT('Blind Scoring Sheet'!D516,FIND("|",'Blind Scoring Sheet'!D516)-1))))</f>
        <v/>
      </c>
      <c r="E516" s="81">
        <f>IF(ISNUMBER('Blind Scoring Sheet'!F516),'Blind Scoring Sheet'!F516,VALUE(TRIM(LEFT('Blind Scoring Sheet'!F516,FIND("|",'Blind Scoring Sheet'!F516)-1))))</f>
        <v/>
      </c>
      <c r="F516" s="81">
        <f>IF(ISNUMBER('Blind Scoring Sheet'!H516),'Blind Scoring Sheet'!H516,VALUE(TRIM(LEFT('Blind Scoring Sheet'!H516,FIND("|",'Blind Scoring Sheet'!H516)-1))))</f>
        <v/>
      </c>
      <c r="G516" s="81">
        <f>IF(ISNUMBER('Blind Scoring Sheet'!J516),'Blind Scoring Sheet'!J516,VALUE(TRIM(LEFT('Blind Scoring Sheet'!J516,FIND("|",'Blind Scoring Sheet'!J516)-1))))</f>
        <v/>
      </c>
      <c r="H516" s="80">
        <f>IF(ISNUMBER(SEARCH("|",'Blind Scoring Sheet'!K516)),TRIM(LEFT('Blind Scoring Sheet'!K516,FIND("|",'Blind Scoring Sheet'!K516)-1)),TRIM('Blind Scoring Sheet'!K516))</f>
        <v/>
      </c>
    </row>
    <row r="517" ht="15" customHeight="1" s="38">
      <c r="A517" s="80">
        <f>'Blind Scoring Sheet'!A517</f>
        <v/>
      </c>
      <c r="B517" s="80">
        <f>MID(INDEX('Anonymization Key'!$B$4:$B$1003,MATCH(A517,'Anonymization Key'!$A$4:$A$1003,0)),3,2)</f>
        <v/>
      </c>
      <c r="C517" s="81">
        <f>IF(ISNUMBER('Blind Scoring Sheet'!B517),'Blind Scoring Sheet'!B517,VALUE(TRIM(LEFT('Blind Scoring Sheet'!B517,FIND("|",'Blind Scoring Sheet'!B517)-1))))</f>
        <v/>
      </c>
      <c r="D517" s="81">
        <f>IF(ISNUMBER('Blind Scoring Sheet'!D517),'Blind Scoring Sheet'!D517,VALUE(TRIM(LEFT('Blind Scoring Sheet'!D517,FIND("|",'Blind Scoring Sheet'!D517)-1))))</f>
        <v/>
      </c>
      <c r="E517" s="81">
        <f>IF(ISNUMBER('Blind Scoring Sheet'!F517),'Blind Scoring Sheet'!F517,VALUE(TRIM(LEFT('Blind Scoring Sheet'!F517,FIND("|",'Blind Scoring Sheet'!F517)-1))))</f>
        <v/>
      </c>
      <c r="F517" s="81">
        <f>IF(ISNUMBER('Blind Scoring Sheet'!H517),'Blind Scoring Sheet'!H517,VALUE(TRIM(LEFT('Blind Scoring Sheet'!H517,FIND("|",'Blind Scoring Sheet'!H517)-1))))</f>
        <v/>
      </c>
      <c r="G517" s="81">
        <f>IF(ISNUMBER('Blind Scoring Sheet'!J517),'Blind Scoring Sheet'!J517,VALUE(TRIM(LEFT('Blind Scoring Sheet'!J517,FIND("|",'Blind Scoring Sheet'!J517)-1))))</f>
        <v/>
      </c>
      <c r="H517" s="80">
        <f>IF(ISNUMBER(SEARCH("|",'Blind Scoring Sheet'!K517)),TRIM(LEFT('Blind Scoring Sheet'!K517,FIND("|",'Blind Scoring Sheet'!K517)-1)),TRIM('Blind Scoring Sheet'!K517))</f>
        <v/>
      </c>
    </row>
    <row r="518" ht="15" customHeight="1" s="38">
      <c r="A518" s="80">
        <f>'Blind Scoring Sheet'!A518</f>
        <v/>
      </c>
      <c r="B518" s="80">
        <f>MID(INDEX('Anonymization Key'!$B$4:$B$1003,MATCH(A518,'Anonymization Key'!$A$4:$A$1003,0)),3,2)</f>
        <v/>
      </c>
      <c r="C518" s="81">
        <f>IF(ISNUMBER('Blind Scoring Sheet'!B518),'Blind Scoring Sheet'!B518,VALUE(TRIM(LEFT('Blind Scoring Sheet'!B518,FIND("|",'Blind Scoring Sheet'!B518)-1))))</f>
        <v/>
      </c>
      <c r="D518" s="81">
        <f>IF(ISNUMBER('Blind Scoring Sheet'!D518),'Blind Scoring Sheet'!D518,VALUE(TRIM(LEFT('Blind Scoring Sheet'!D518,FIND("|",'Blind Scoring Sheet'!D518)-1))))</f>
        <v/>
      </c>
      <c r="E518" s="81">
        <f>IF(ISNUMBER('Blind Scoring Sheet'!F518),'Blind Scoring Sheet'!F518,VALUE(TRIM(LEFT('Blind Scoring Sheet'!F518,FIND("|",'Blind Scoring Sheet'!F518)-1))))</f>
        <v/>
      </c>
      <c r="F518" s="81">
        <f>IF(ISNUMBER('Blind Scoring Sheet'!H518),'Blind Scoring Sheet'!H518,VALUE(TRIM(LEFT('Blind Scoring Sheet'!H518,FIND("|",'Blind Scoring Sheet'!H518)-1))))</f>
        <v/>
      </c>
      <c r="G518" s="81">
        <f>IF(ISNUMBER('Blind Scoring Sheet'!J518),'Blind Scoring Sheet'!J518,VALUE(TRIM(LEFT('Blind Scoring Sheet'!J518,FIND("|",'Blind Scoring Sheet'!J518)-1))))</f>
        <v/>
      </c>
      <c r="H518" s="80">
        <f>IF(ISNUMBER(SEARCH("|",'Blind Scoring Sheet'!K518)),TRIM(LEFT('Blind Scoring Sheet'!K518,FIND("|",'Blind Scoring Sheet'!K518)-1)),TRIM('Blind Scoring Sheet'!K518))</f>
        <v/>
      </c>
    </row>
    <row r="519" ht="15" customHeight="1" s="38">
      <c r="A519" s="80">
        <f>'Blind Scoring Sheet'!A519</f>
        <v/>
      </c>
      <c r="B519" s="80">
        <f>MID(INDEX('Anonymization Key'!$B$4:$B$1003,MATCH(A519,'Anonymization Key'!$A$4:$A$1003,0)),3,2)</f>
        <v/>
      </c>
      <c r="C519" s="81">
        <f>IF(ISNUMBER('Blind Scoring Sheet'!B519),'Blind Scoring Sheet'!B519,VALUE(TRIM(LEFT('Blind Scoring Sheet'!B519,FIND("|",'Blind Scoring Sheet'!B519)-1))))</f>
        <v/>
      </c>
      <c r="D519" s="81">
        <f>IF(ISNUMBER('Blind Scoring Sheet'!D519),'Blind Scoring Sheet'!D519,VALUE(TRIM(LEFT('Blind Scoring Sheet'!D519,FIND("|",'Blind Scoring Sheet'!D519)-1))))</f>
        <v/>
      </c>
      <c r="E519" s="81">
        <f>IF(ISNUMBER('Blind Scoring Sheet'!F519),'Blind Scoring Sheet'!F519,VALUE(TRIM(LEFT('Blind Scoring Sheet'!F519,FIND("|",'Blind Scoring Sheet'!F519)-1))))</f>
        <v/>
      </c>
      <c r="F519" s="81">
        <f>IF(ISNUMBER('Blind Scoring Sheet'!H519),'Blind Scoring Sheet'!H519,VALUE(TRIM(LEFT('Blind Scoring Sheet'!H519,FIND("|",'Blind Scoring Sheet'!H519)-1))))</f>
        <v/>
      </c>
      <c r="G519" s="81">
        <f>IF(ISNUMBER('Blind Scoring Sheet'!J519),'Blind Scoring Sheet'!J519,VALUE(TRIM(LEFT('Blind Scoring Sheet'!J519,FIND("|",'Blind Scoring Sheet'!J519)-1))))</f>
        <v/>
      </c>
      <c r="H519" s="80">
        <f>IF(ISNUMBER(SEARCH("|",'Blind Scoring Sheet'!K519)),TRIM(LEFT('Blind Scoring Sheet'!K519,FIND("|",'Blind Scoring Sheet'!K519)-1)),TRIM('Blind Scoring Sheet'!K519))</f>
        <v/>
      </c>
    </row>
    <row r="520" ht="15" customHeight="1" s="38">
      <c r="A520" s="80">
        <f>'Blind Scoring Sheet'!A520</f>
        <v/>
      </c>
      <c r="B520" s="80">
        <f>MID(INDEX('Anonymization Key'!$B$4:$B$1003,MATCH(A520,'Anonymization Key'!$A$4:$A$1003,0)),3,2)</f>
        <v/>
      </c>
      <c r="C520" s="81">
        <f>IF(ISNUMBER('Blind Scoring Sheet'!B520),'Blind Scoring Sheet'!B520,VALUE(TRIM(LEFT('Blind Scoring Sheet'!B520,FIND("|",'Blind Scoring Sheet'!B520)-1))))</f>
        <v/>
      </c>
      <c r="D520" s="81">
        <f>IF(ISNUMBER('Blind Scoring Sheet'!D520),'Blind Scoring Sheet'!D520,VALUE(TRIM(LEFT('Blind Scoring Sheet'!D520,FIND("|",'Blind Scoring Sheet'!D520)-1))))</f>
        <v/>
      </c>
      <c r="E520" s="81">
        <f>IF(ISNUMBER('Blind Scoring Sheet'!F520),'Blind Scoring Sheet'!F520,VALUE(TRIM(LEFT('Blind Scoring Sheet'!F520,FIND("|",'Blind Scoring Sheet'!F520)-1))))</f>
        <v/>
      </c>
      <c r="F520" s="81">
        <f>IF(ISNUMBER('Blind Scoring Sheet'!H520),'Blind Scoring Sheet'!H520,VALUE(TRIM(LEFT('Blind Scoring Sheet'!H520,FIND("|",'Blind Scoring Sheet'!H520)-1))))</f>
        <v/>
      </c>
      <c r="G520" s="81">
        <f>IF(ISNUMBER('Blind Scoring Sheet'!J520),'Blind Scoring Sheet'!J520,VALUE(TRIM(LEFT('Blind Scoring Sheet'!J520,FIND("|",'Blind Scoring Sheet'!J520)-1))))</f>
        <v/>
      </c>
      <c r="H520" s="80">
        <f>IF(ISNUMBER(SEARCH("|",'Blind Scoring Sheet'!K520)),TRIM(LEFT('Blind Scoring Sheet'!K520,FIND("|",'Blind Scoring Sheet'!K520)-1)),TRIM('Blind Scoring Sheet'!K520))</f>
        <v/>
      </c>
    </row>
    <row r="521" ht="15" customHeight="1" s="38">
      <c r="A521" s="80">
        <f>'Blind Scoring Sheet'!A521</f>
        <v/>
      </c>
      <c r="B521" s="80">
        <f>MID(INDEX('Anonymization Key'!$B$4:$B$1003,MATCH(A521,'Anonymization Key'!$A$4:$A$1003,0)),3,2)</f>
        <v/>
      </c>
      <c r="C521" s="81">
        <f>IF(ISNUMBER('Blind Scoring Sheet'!B521),'Blind Scoring Sheet'!B521,VALUE(TRIM(LEFT('Blind Scoring Sheet'!B521,FIND("|",'Blind Scoring Sheet'!B521)-1))))</f>
        <v/>
      </c>
      <c r="D521" s="81">
        <f>IF(ISNUMBER('Blind Scoring Sheet'!D521),'Blind Scoring Sheet'!D521,VALUE(TRIM(LEFT('Blind Scoring Sheet'!D521,FIND("|",'Blind Scoring Sheet'!D521)-1))))</f>
        <v/>
      </c>
      <c r="E521" s="81">
        <f>IF(ISNUMBER('Blind Scoring Sheet'!F521),'Blind Scoring Sheet'!F521,VALUE(TRIM(LEFT('Blind Scoring Sheet'!F521,FIND("|",'Blind Scoring Sheet'!F521)-1))))</f>
        <v/>
      </c>
      <c r="F521" s="81">
        <f>IF(ISNUMBER('Blind Scoring Sheet'!H521),'Blind Scoring Sheet'!H521,VALUE(TRIM(LEFT('Blind Scoring Sheet'!H521,FIND("|",'Blind Scoring Sheet'!H521)-1))))</f>
        <v/>
      </c>
      <c r="G521" s="81">
        <f>IF(ISNUMBER('Blind Scoring Sheet'!J521),'Blind Scoring Sheet'!J521,VALUE(TRIM(LEFT('Blind Scoring Sheet'!J521,FIND("|",'Blind Scoring Sheet'!J521)-1))))</f>
        <v/>
      </c>
      <c r="H521" s="80">
        <f>IF(ISNUMBER(SEARCH("|",'Blind Scoring Sheet'!K521)),TRIM(LEFT('Blind Scoring Sheet'!K521,FIND("|",'Blind Scoring Sheet'!K521)-1)),TRIM('Blind Scoring Sheet'!K521))</f>
        <v/>
      </c>
    </row>
    <row r="522" ht="15" customHeight="1" s="38">
      <c r="A522" s="80">
        <f>'Blind Scoring Sheet'!A522</f>
        <v/>
      </c>
      <c r="B522" s="80">
        <f>MID(INDEX('Anonymization Key'!$B$4:$B$1003,MATCH(A522,'Anonymization Key'!$A$4:$A$1003,0)),3,2)</f>
        <v/>
      </c>
      <c r="C522" s="81">
        <f>IF(ISNUMBER('Blind Scoring Sheet'!B522),'Blind Scoring Sheet'!B522,VALUE(TRIM(LEFT('Blind Scoring Sheet'!B522,FIND("|",'Blind Scoring Sheet'!B522)-1))))</f>
        <v/>
      </c>
      <c r="D522" s="81">
        <f>IF(ISNUMBER('Blind Scoring Sheet'!D522),'Blind Scoring Sheet'!D522,VALUE(TRIM(LEFT('Blind Scoring Sheet'!D522,FIND("|",'Blind Scoring Sheet'!D522)-1))))</f>
        <v/>
      </c>
      <c r="E522" s="81">
        <f>IF(ISNUMBER('Blind Scoring Sheet'!F522),'Blind Scoring Sheet'!F522,VALUE(TRIM(LEFT('Blind Scoring Sheet'!F522,FIND("|",'Blind Scoring Sheet'!F522)-1))))</f>
        <v/>
      </c>
      <c r="F522" s="81">
        <f>IF(ISNUMBER('Blind Scoring Sheet'!H522),'Blind Scoring Sheet'!H522,VALUE(TRIM(LEFT('Blind Scoring Sheet'!H522,FIND("|",'Blind Scoring Sheet'!H522)-1))))</f>
        <v/>
      </c>
      <c r="G522" s="81">
        <f>IF(ISNUMBER('Blind Scoring Sheet'!J522),'Blind Scoring Sheet'!J522,VALUE(TRIM(LEFT('Blind Scoring Sheet'!J522,FIND("|",'Blind Scoring Sheet'!J522)-1))))</f>
        <v/>
      </c>
      <c r="H522" s="80">
        <f>IF(ISNUMBER(SEARCH("|",'Blind Scoring Sheet'!K522)),TRIM(LEFT('Blind Scoring Sheet'!K522,FIND("|",'Blind Scoring Sheet'!K522)-1)),TRIM('Blind Scoring Sheet'!K522))</f>
        <v/>
      </c>
    </row>
    <row r="523" ht="15" customHeight="1" s="38">
      <c r="A523" s="80">
        <f>'Blind Scoring Sheet'!A523</f>
        <v/>
      </c>
      <c r="B523" s="80">
        <f>MID(INDEX('Anonymization Key'!$B$4:$B$1003,MATCH(A523,'Anonymization Key'!$A$4:$A$1003,0)),3,2)</f>
        <v/>
      </c>
      <c r="C523" s="81">
        <f>IF(ISNUMBER('Blind Scoring Sheet'!B523),'Blind Scoring Sheet'!B523,VALUE(TRIM(LEFT('Blind Scoring Sheet'!B523,FIND("|",'Blind Scoring Sheet'!B523)-1))))</f>
        <v/>
      </c>
      <c r="D523" s="81">
        <f>IF(ISNUMBER('Blind Scoring Sheet'!D523),'Blind Scoring Sheet'!D523,VALUE(TRIM(LEFT('Blind Scoring Sheet'!D523,FIND("|",'Blind Scoring Sheet'!D523)-1))))</f>
        <v/>
      </c>
      <c r="E523" s="81">
        <f>IF(ISNUMBER('Blind Scoring Sheet'!F523),'Blind Scoring Sheet'!F523,VALUE(TRIM(LEFT('Blind Scoring Sheet'!F523,FIND("|",'Blind Scoring Sheet'!F523)-1))))</f>
        <v/>
      </c>
      <c r="F523" s="81">
        <f>IF(ISNUMBER('Blind Scoring Sheet'!H523),'Blind Scoring Sheet'!H523,VALUE(TRIM(LEFT('Blind Scoring Sheet'!H523,FIND("|",'Blind Scoring Sheet'!H523)-1))))</f>
        <v/>
      </c>
      <c r="G523" s="81">
        <f>IF(ISNUMBER('Blind Scoring Sheet'!J523),'Blind Scoring Sheet'!J523,VALUE(TRIM(LEFT('Blind Scoring Sheet'!J523,FIND("|",'Blind Scoring Sheet'!J523)-1))))</f>
        <v/>
      </c>
      <c r="H523" s="80">
        <f>IF(ISNUMBER(SEARCH("|",'Blind Scoring Sheet'!K523)),TRIM(LEFT('Blind Scoring Sheet'!K523,FIND("|",'Blind Scoring Sheet'!K523)-1)),TRIM('Blind Scoring Sheet'!K523))</f>
        <v/>
      </c>
    </row>
    <row r="524" ht="15" customHeight="1" s="38">
      <c r="A524" s="80">
        <f>'Blind Scoring Sheet'!A524</f>
        <v/>
      </c>
      <c r="B524" s="80">
        <f>MID(INDEX('Anonymization Key'!$B$4:$B$1003,MATCH(A524,'Anonymization Key'!$A$4:$A$1003,0)),3,2)</f>
        <v/>
      </c>
      <c r="C524" s="81">
        <f>IF(ISNUMBER('Blind Scoring Sheet'!B524),'Blind Scoring Sheet'!B524,VALUE(TRIM(LEFT('Blind Scoring Sheet'!B524,FIND("|",'Blind Scoring Sheet'!B524)-1))))</f>
        <v/>
      </c>
      <c r="D524" s="81">
        <f>IF(ISNUMBER('Blind Scoring Sheet'!D524),'Blind Scoring Sheet'!D524,VALUE(TRIM(LEFT('Blind Scoring Sheet'!D524,FIND("|",'Blind Scoring Sheet'!D524)-1))))</f>
        <v/>
      </c>
      <c r="E524" s="81">
        <f>IF(ISNUMBER('Blind Scoring Sheet'!F524),'Blind Scoring Sheet'!F524,VALUE(TRIM(LEFT('Blind Scoring Sheet'!F524,FIND("|",'Blind Scoring Sheet'!F524)-1))))</f>
        <v/>
      </c>
      <c r="F524" s="81">
        <f>IF(ISNUMBER('Blind Scoring Sheet'!H524),'Blind Scoring Sheet'!H524,VALUE(TRIM(LEFT('Blind Scoring Sheet'!H524,FIND("|",'Blind Scoring Sheet'!H524)-1))))</f>
        <v/>
      </c>
      <c r="G524" s="81">
        <f>IF(ISNUMBER('Blind Scoring Sheet'!J524),'Blind Scoring Sheet'!J524,VALUE(TRIM(LEFT('Blind Scoring Sheet'!J524,FIND("|",'Blind Scoring Sheet'!J524)-1))))</f>
        <v/>
      </c>
      <c r="H524" s="80">
        <f>IF(ISNUMBER(SEARCH("|",'Blind Scoring Sheet'!K524)),TRIM(LEFT('Blind Scoring Sheet'!K524,FIND("|",'Blind Scoring Sheet'!K524)-1)),TRIM('Blind Scoring Sheet'!K524))</f>
        <v/>
      </c>
    </row>
    <row r="525" ht="15" customHeight="1" s="38">
      <c r="A525" s="80">
        <f>'Blind Scoring Sheet'!A525</f>
        <v/>
      </c>
      <c r="B525" s="80">
        <f>MID(INDEX('Anonymization Key'!$B$4:$B$1003,MATCH(A525,'Anonymization Key'!$A$4:$A$1003,0)),3,2)</f>
        <v/>
      </c>
      <c r="C525" s="81">
        <f>IF(ISNUMBER('Blind Scoring Sheet'!B525),'Blind Scoring Sheet'!B525,VALUE(TRIM(LEFT('Blind Scoring Sheet'!B525,FIND("|",'Blind Scoring Sheet'!B525)-1))))</f>
        <v/>
      </c>
      <c r="D525" s="81">
        <f>IF(ISNUMBER('Blind Scoring Sheet'!D525),'Blind Scoring Sheet'!D525,VALUE(TRIM(LEFT('Blind Scoring Sheet'!D525,FIND("|",'Blind Scoring Sheet'!D525)-1))))</f>
        <v/>
      </c>
      <c r="E525" s="81">
        <f>IF(ISNUMBER('Blind Scoring Sheet'!F525),'Blind Scoring Sheet'!F525,VALUE(TRIM(LEFT('Blind Scoring Sheet'!F525,FIND("|",'Blind Scoring Sheet'!F525)-1))))</f>
        <v/>
      </c>
      <c r="F525" s="81">
        <f>IF(ISNUMBER('Blind Scoring Sheet'!H525),'Blind Scoring Sheet'!H525,VALUE(TRIM(LEFT('Blind Scoring Sheet'!H525,FIND("|",'Blind Scoring Sheet'!H525)-1))))</f>
        <v/>
      </c>
      <c r="G525" s="81">
        <f>IF(ISNUMBER('Blind Scoring Sheet'!J525),'Blind Scoring Sheet'!J525,VALUE(TRIM(LEFT('Blind Scoring Sheet'!J525,FIND("|",'Blind Scoring Sheet'!J525)-1))))</f>
        <v/>
      </c>
      <c r="H525" s="80">
        <f>IF(ISNUMBER(SEARCH("|",'Blind Scoring Sheet'!K525)),TRIM(LEFT('Blind Scoring Sheet'!K525,FIND("|",'Blind Scoring Sheet'!K525)-1)),TRIM('Blind Scoring Sheet'!K525))</f>
        <v/>
      </c>
    </row>
    <row r="526" ht="15" customHeight="1" s="38">
      <c r="A526" s="80">
        <f>'Blind Scoring Sheet'!A526</f>
        <v/>
      </c>
      <c r="B526" s="80">
        <f>MID(INDEX('Anonymization Key'!$B$4:$B$1003,MATCH(A526,'Anonymization Key'!$A$4:$A$1003,0)),3,2)</f>
        <v/>
      </c>
      <c r="C526" s="81">
        <f>IF(ISNUMBER('Blind Scoring Sheet'!B526),'Blind Scoring Sheet'!B526,VALUE(TRIM(LEFT('Blind Scoring Sheet'!B526,FIND("|",'Blind Scoring Sheet'!B526)-1))))</f>
        <v/>
      </c>
      <c r="D526" s="81">
        <f>IF(ISNUMBER('Blind Scoring Sheet'!D526),'Blind Scoring Sheet'!D526,VALUE(TRIM(LEFT('Blind Scoring Sheet'!D526,FIND("|",'Blind Scoring Sheet'!D526)-1))))</f>
        <v/>
      </c>
      <c r="E526" s="81">
        <f>IF(ISNUMBER('Blind Scoring Sheet'!F526),'Blind Scoring Sheet'!F526,VALUE(TRIM(LEFT('Blind Scoring Sheet'!F526,FIND("|",'Blind Scoring Sheet'!F526)-1))))</f>
        <v/>
      </c>
      <c r="F526" s="81">
        <f>IF(ISNUMBER('Blind Scoring Sheet'!H526),'Blind Scoring Sheet'!H526,VALUE(TRIM(LEFT('Blind Scoring Sheet'!H526,FIND("|",'Blind Scoring Sheet'!H526)-1))))</f>
        <v/>
      </c>
      <c r="G526" s="81">
        <f>IF(ISNUMBER('Blind Scoring Sheet'!J526),'Blind Scoring Sheet'!J526,VALUE(TRIM(LEFT('Blind Scoring Sheet'!J526,FIND("|",'Blind Scoring Sheet'!J526)-1))))</f>
        <v/>
      </c>
      <c r="H526" s="80">
        <f>IF(ISNUMBER(SEARCH("|",'Blind Scoring Sheet'!K526)),TRIM(LEFT('Blind Scoring Sheet'!K526,FIND("|",'Blind Scoring Sheet'!K526)-1)),TRIM('Blind Scoring Sheet'!K526))</f>
        <v/>
      </c>
    </row>
    <row r="527" ht="15" customHeight="1" s="38">
      <c r="A527" s="80">
        <f>'Blind Scoring Sheet'!A527</f>
        <v/>
      </c>
      <c r="B527" s="80">
        <f>MID(INDEX('Anonymization Key'!$B$4:$B$1003,MATCH(A527,'Anonymization Key'!$A$4:$A$1003,0)),3,2)</f>
        <v/>
      </c>
      <c r="C527" s="81">
        <f>IF(ISNUMBER('Blind Scoring Sheet'!B527),'Blind Scoring Sheet'!B527,VALUE(TRIM(LEFT('Blind Scoring Sheet'!B527,FIND("|",'Blind Scoring Sheet'!B527)-1))))</f>
        <v/>
      </c>
      <c r="D527" s="81">
        <f>IF(ISNUMBER('Blind Scoring Sheet'!D527),'Blind Scoring Sheet'!D527,VALUE(TRIM(LEFT('Blind Scoring Sheet'!D527,FIND("|",'Blind Scoring Sheet'!D527)-1))))</f>
        <v/>
      </c>
      <c r="E527" s="81">
        <f>IF(ISNUMBER('Blind Scoring Sheet'!F527),'Blind Scoring Sheet'!F527,VALUE(TRIM(LEFT('Blind Scoring Sheet'!F527,FIND("|",'Blind Scoring Sheet'!F527)-1))))</f>
        <v/>
      </c>
      <c r="F527" s="81">
        <f>IF(ISNUMBER('Blind Scoring Sheet'!H527),'Blind Scoring Sheet'!H527,VALUE(TRIM(LEFT('Blind Scoring Sheet'!H527,FIND("|",'Blind Scoring Sheet'!H527)-1))))</f>
        <v/>
      </c>
      <c r="G527" s="81">
        <f>IF(ISNUMBER('Blind Scoring Sheet'!J527),'Blind Scoring Sheet'!J527,VALUE(TRIM(LEFT('Blind Scoring Sheet'!J527,FIND("|",'Blind Scoring Sheet'!J527)-1))))</f>
        <v/>
      </c>
      <c r="H527" s="80">
        <f>IF(ISNUMBER(SEARCH("|",'Blind Scoring Sheet'!K527)),TRIM(LEFT('Blind Scoring Sheet'!K527,FIND("|",'Blind Scoring Sheet'!K527)-1)),TRIM('Blind Scoring Sheet'!K527))</f>
        <v/>
      </c>
    </row>
    <row r="528" ht="15" customHeight="1" s="38">
      <c r="A528" s="80">
        <f>'Blind Scoring Sheet'!A528</f>
        <v/>
      </c>
      <c r="B528" s="80">
        <f>MID(INDEX('Anonymization Key'!$B$4:$B$1003,MATCH(A528,'Anonymization Key'!$A$4:$A$1003,0)),3,2)</f>
        <v/>
      </c>
      <c r="C528" s="81">
        <f>IF(ISNUMBER('Blind Scoring Sheet'!B528),'Blind Scoring Sheet'!B528,VALUE(TRIM(LEFT('Blind Scoring Sheet'!B528,FIND("|",'Blind Scoring Sheet'!B528)-1))))</f>
        <v/>
      </c>
      <c r="D528" s="81">
        <f>IF(ISNUMBER('Blind Scoring Sheet'!D528),'Blind Scoring Sheet'!D528,VALUE(TRIM(LEFT('Blind Scoring Sheet'!D528,FIND("|",'Blind Scoring Sheet'!D528)-1))))</f>
        <v/>
      </c>
      <c r="E528" s="81">
        <f>IF(ISNUMBER('Blind Scoring Sheet'!F528),'Blind Scoring Sheet'!F528,VALUE(TRIM(LEFT('Blind Scoring Sheet'!F528,FIND("|",'Blind Scoring Sheet'!F528)-1))))</f>
        <v/>
      </c>
      <c r="F528" s="81">
        <f>IF(ISNUMBER('Blind Scoring Sheet'!H528),'Blind Scoring Sheet'!H528,VALUE(TRIM(LEFT('Blind Scoring Sheet'!H528,FIND("|",'Blind Scoring Sheet'!H528)-1))))</f>
        <v/>
      </c>
      <c r="G528" s="81">
        <f>IF(ISNUMBER('Blind Scoring Sheet'!J528),'Blind Scoring Sheet'!J528,VALUE(TRIM(LEFT('Blind Scoring Sheet'!J528,FIND("|",'Blind Scoring Sheet'!J528)-1))))</f>
        <v/>
      </c>
      <c r="H528" s="80">
        <f>IF(ISNUMBER(SEARCH("|",'Blind Scoring Sheet'!K528)),TRIM(LEFT('Blind Scoring Sheet'!K528,FIND("|",'Blind Scoring Sheet'!K528)-1)),TRIM('Blind Scoring Sheet'!K528))</f>
        <v/>
      </c>
    </row>
    <row r="529" ht="15" customHeight="1" s="38">
      <c r="A529" s="80">
        <f>'Blind Scoring Sheet'!A529</f>
        <v/>
      </c>
      <c r="B529" s="80">
        <f>MID(INDEX('Anonymization Key'!$B$4:$B$1003,MATCH(A529,'Anonymization Key'!$A$4:$A$1003,0)),3,2)</f>
        <v/>
      </c>
      <c r="C529" s="81">
        <f>IF(ISNUMBER('Blind Scoring Sheet'!B529),'Blind Scoring Sheet'!B529,VALUE(TRIM(LEFT('Blind Scoring Sheet'!B529,FIND("|",'Blind Scoring Sheet'!B529)-1))))</f>
        <v/>
      </c>
      <c r="D529" s="81">
        <f>IF(ISNUMBER('Blind Scoring Sheet'!D529),'Blind Scoring Sheet'!D529,VALUE(TRIM(LEFT('Blind Scoring Sheet'!D529,FIND("|",'Blind Scoring Sheet'!D529)-1))))</f>
        <v/>
      </c>
      <c r="E529" s="81">
        <f>IF(ISNUMBER('Blind Scoring Sheet'!F529),'Blind Scoring Sheet'!F529,VALUE(TRIM(LEFT('Blind Scoring Sheet'!F529,FIND("|",'Blind Scoring Sheet'!F529)-1))))</f>
        <v/>
      </c>
      <c r="F529" s="81">
        <f>IF(ISNUMBER('Blind Scoring Sheet'!H529),'Blind Scoring Sheet'!H529,VALUE(TRIM(LEFT('Blind Scoring Sheet'!H529,FIND("|",'Blind Scoring Sheet'!H529)-1))))</f>
        <v/>
      </c>
      <c r="G529" s="81">
        <f>IF(ISNUMBER('Blind Scoring Sheet'!J529),'Blind Scoring Sheet'!J529,VALUE(TRIM(LEFT('Blind Scoring Sheet'!J529,FIND("|",'Blind Scoring Sheet'!J529)-1))))</f>
        <v/>
      </c>
      <c r="H529" s="80">
        <f>IF(ISNUMBER(SEARCH("|",'Blind Scoring Sheet'!K529)),TRIM(LEFT('Blind Scoring Sheet'!K529,FIND("|",'Blind Scoring Sheet'!K529)-1)),TRIM('Blind Scoring Sheet'!K529))</f>
        <v/>
      </c>
    </row>
    <row r="530" ht="15" customHeight="1" s="38">
      <c r="A530" s="80">
        <f>'Blind Scoring Sheet'!A530</f>
        <v/>
      </c>
      <c r="B530" s="80">
        <f>MID(INDEX('Anonymization Key'!$B$4:$B$1003,MATCH(A530,'Anonymization Key'!$A$4:$A$1003,0)),3,2)</f>
        <v/>
      </c>
      <c r="C530" s="81">
        <f>IF(ISNUMBER('Blind Scoring Sheet'!B530),'Blind Scoring Sheet'!B530,VALUE(TRIM(LEFT('Blind Scoring Sheet'!B530,FIND("|",'Blind Scoring Sheet'!B530)-1))))</f>
        <v/>
      </c>
      <c r="D530" s="81">
        <f>IF(ISNUMBER('Blind Scoring Sheet'!D530),'Blind Scoring Sheet'!D530,VALUE(TRIM(LEFT('Blind Scoring Sheet'!D530,FIND("|",'Blind Scoring Sheet'!D530)-1))))</f>
        <v/>
      </c>
      <c r="E530" s="81">
        <f>IF(ISNUMBER('Blind Scoring Sheet'!F530),'Blind Scoring Sheet'!F530,VALUE(TRIM(LEFT('Blind Scoring Sheet'!F530,FIND("|",'Blind Scoring Sheet'!F530)-1))))</f>
        <v/>
      </c>
      <c r="F530" s="81">
        <f>IF(ISNUMBER('Blind Scoring Sheet'!H530),'Blind Scoring Sheet'!H530,VALUE(TRIM(LEFT('Blind Scoring Sheet'!H530,FIND("|",'Blind Scoring Sheet'!H530)-1))))</f>
        <v/>
      </c>
      <c r="G530" s="81">
        <f>IF(ISNUMBER('Blind Scoring Sheet'!J530),'Blind Scoring Sheet'!J530,VALUE(TRIM(LEFT('Blind Scoring Sheet'!J530,FIND("|",'Blind Scoring Sheet'!J530)-1))))</f>
        <v/>
      </c>
      <c r="H530" s="80">
        <f>IF(ISNUMBER(SEARCH("|",'Blind Scoring Sheet'!K530)),TRIM(LEFT('Blind Scoring Sheet'!K530,FIND("|",'Blind Scoring Sheet'!K530)-1)),TRIM('Blind Scoring Sheet'!K530))</f>
        <v/>
      </c>
    </row>
    <row r="531" ht="15" customHeight="1" s="38">
      <c r="A531" s="80">
        <f>'Blind Scoring Sheet'!A531</f>
        <v/>
      </c>
      <c r="B531" s="80">
        <f>MID(INDEX('Anonymization Key'!$B$4:$B$1003,MATCH(A531,'Anonymization Key'!$A$4:$A$1003,0)),3,2)</f>
        <v/>
      </c>
      <c r="C531" s="81">
        <f>IF(ISNUMBER('Blind Scoring Sheet'!B531),'Blind Scoring Sheet'!B531,VALUE(TRIM(LEFT('Blind Scoring Sheet'!B531,FIND("|",'Blind Scoring Sheet'!B531)-1))))</f>
        <v/>
      </c>
      <c r="D531" s="81">
        <f>IF(ISNUMBER('Blind Scoring Sheet'!D531),'Blind Scoring Sheet'!D531,VALUE(TRIM(LEFT('Blind Scoring Sheet'!D531,FIND("|",'Blind Scoring Sheet'!D531)-1))))</f>
        <v/>
      </c>
      <c r="E531" s="81">
        <f>IF(ISNUMBER('Blind Scoring Sheet'!F531),'Blind Scoring Sheet'!F531,VALUE(TRIM(LEFT('Blind Scoring Sheet'!F531,FIND("|",'Blind Scoring Sheet'!F531)-1))))</f>
        <v/>
      </c>
      <c r="F531" s="81">
        <f>IF(ISNUMBER('Blind Scoring Sheet'!H531),'Blind Scoring Sheet'!H531,VALUE(TRIM(LEFT('Blind Scoring Sheet'!H531,FIND("|",'Blind Scoring Sheet'!H531)-1))))</f>
        <v/>
      </c>
      <c r="G531" s="81">
        <f>IF(ISNUMBER('Blind Scoring Sheet'!J531),'Blind Scoring Sheet'!J531,VALUE(TRIM(LEFT('Blind Scoring Sheet'!J531,FIND("|",'Blind Scoring Sheet'!J531)-1))))</f>
        <v/>
      </c>
      <c r="H531" s="80">
        <f>IF(ISNUMBER(SEARCH("|",'Blind Scoring Sheet'!K531)),TRIM(LEFT('Blind Scoring Sheet'!K531,FIND("|",'Blind Scoring Sheet'!K531)-1)),TRIM('Blind Scoring Sheet'!K531))</f>
        <v/>
      </c>
    </row>
    <row r="532" ht="15" customHeight="1" s="38">
      <c r="A532" s="80">
        <f>'Blind Scoring Sheet'!A532</f>
        <v/>
      </c>
      <c r="B532" s="80">
        <f>MID(INDEX('Anonymization Key'!$B$4:$B$1003,MATCH(A532,'Anonymization Key'!$A$4:$A$1003,0)),3,2)</f>
        <v/>
      </c>
      <c r="C532" s="81">
        <f>IF(ISNUMBER('Blind Scoring Sheet'!B532),'Blind Scoring Sheet'!B532,VALUE(TRIM(LEFT('Blind Scoring Sheet'!B532,FIND("|",'Blind Scoring Sheet'!B532)-1))))</f>
        <v/>
      </c>
      <c r="D532" s="81">
        <f>IF(ISNUMBER('Blind Scoring Sheet'!D532),'Blind Scoring Sheet'!D532,VALUE(TRIM(LEFT('Blind Scoring Sheet'!D532,FIND("|",'Blind Scoring Sheet'!D532)-1))))</f>
        <v/>
      </c>
      <c r="E532" s="81">
        <f>IF(ISNUMBER('Blind Scoring Sheet'!F532),'Blind Scoring Sheet'!F532,VALUE(TRIM(LEFT('Blind Scoring Sheet'!F532,FIND("|",'Blind Scoring Sheet'!F532)-1))))</f>
        <v/>
      </c>
      <c r="F532" s="81">
        <f>IF(ISNUMBER('Blind Scoring Sheet'!H532),'Blind Scoring Sheet'!H532,VALUE(TRIM(LEFT('Blind Scoring Sheet'!H532,FIND("|",'Blind Scoring Sheet'!H532)-1))))</f>
        <v/>
      </c>
      <c r="G532" s="81">
        <f>IF(ISNUMBER('Blind Scoring Sheet'!J532),'Blind Scoring Sheet'!J532,VALUE(TRIM(LEFT('Blind Scoring Sheet'!J532,FIND("|",'Blind Scoring Sheet'!J532)-1))))</f>
        <v/>
      </c>
      <c r="H532" s="80">
        <f>IF(ISNUMBER(SEARCH("|",'Blind Scoring Sheet'!K532)),TRIM(LEFT('Blind Scoring Sheet'!K532,FIND("|",'Blind Scoring Sheet'!K532)-1)),TRIM('Blind Scoring Sheet'!K532))</f>
        <v/>
      </c>
    </row>
    <row r="533" ht="15" customHeight="1" s="38">
      <c r="A533" s="80">
        <f>'Blind Scoring Sheet'!A533</f>
        <v/>
      </c>
      <c r="B533" s="80">
        <f>MID(INDEX('Anonymization Key'!$B$4:$B$1003,MATCH(A533,'Anonymization Key'!$A$4:$A$1003,0)),3,2)</f>
        <v/>
      </c>
      <c r="C533" s="81">
        <f>IF(ISNUMBER('Blind Scoring Sheet'!B533),'Blind Scoring Sheet'!B533,VALUE(TRIM(LEFT('Blind Scoring Sheet'!B533,FIND("|",'Blind Scoring Sheet'!B533)-1))))</f>
        <v/>
      </c>
      <c r="D533" s="81">
        <f>IF(ISNUMBER('Blind Scoring Sheet'!D533),'Blind Scoring Sheet'!D533,VALUE(TRIM(LEFT('Blind Scoring Sheet'!D533,FIND("|",'Blind Scoring Sheet'!D533)-1))))</f>
        <v/>
      </c>
      <c r="E533" s="81">
        <f>IF(ISNUMBER('Blind Scoring Sheet'!F533),'Blind Scoring Sheet'!F533,VALUE(TRIM(LEFT('Blind Scoring Sheet'!F533,FIND("|",'Blind Scoring Sheet'!F533)-1))))</f>
        <v/>
      </c>
      <c r="F533" s="81">
        <f>IF(ISNUMBER('Blind Scoring Sheet'!H533),'Blind Scoring Sheet'!H533,VALUE(TRIM(LEFT('Blind Scoring Sheet'!H533,FIND("|",'Blind Scoring Sheet'!H533)-1))))</f>
        <v/>
      </c>
      <c r="G533" s="81">
        <f>IF(ISNUMBER('Blind Scoring Sheet'!J533),'Blind Scoring Sheet'!J533,VALUE(TRIM(LEFT('Blind Scoring Sheet'!J533,FIND("|",'Blind Scoring Sheet'!J533)-1))))</f>
        <v/>
      </c>
      <c r="H533" s="80">
        <f>IF(ISNUMBER(SEARCH("|",'Blind Scoring Sheet'!K533)),TRIM(LEFT('Blind Scoring Sheet'!K533,FIND("|",'Blind Scoring Sheet'!K533)-1)),TRIM('Blind Scoring Sheet'!K533))</f>
        <v/>
      </c>
    </row>
    <row r="534" ht="15" customHeight="1" s="38">
      <c r="A534" s="80">
        <f>'Blind Scoring Sheet'!A534</f>
        <v/>
      </c>
      <c r="B534" s="80">
        <f>MID(INDEX('Anonymization Key'!$B$4:$B$1003,MATCH(A534,'Anonymization Key'!$A$4:$A$1003,0)),3,2)</f>
        <v/>
      </c>
      <c r="C534" s="81">
        <f>IF(ISNUMBER('Blind Scoring Sheet'!B534),'Blind Scoring Sheet'!B534,VALUE(TRIM(LEFT('Blind Scoring Sheet'!B534,FIND("|",'Blind Scoring Sheet'!B534)-1))))</f>
        <v/>
      </c>
      <c r="D534" s="81">
        <f>IF(ISNUMBER('Blind Scoring Sheet'!D534),'Blind Scoring Sheet'!D534,VALUE(TRIM(LEFT('Blind Scoring Sheet'!D534,FIND("|",'Blind Scoring Sheet'!D534)-1))))</f>
        <v/>
      </c>
      <c r="E534" s="81">
        <f>IF(ISNUMBER('Blind Scoring Sheet'!F534),'Blind Scoring Sheet'!F534,VALUE(TRIM(LEFT('Blind Scoring Sheet'!F534,FIND("|",'Blind Scoring Sheet'!F534)-1))))</f>
        <v/>
      </c>
      <c r="F534" s="81">
        <f>IF(ISNUMBER('Blind Scoring Sheet'!H534),'Blind Scoring Sheet'!H534,VALUE(TRIM(LEFT('Blind Scoring Sheet'!H534,FIND("|",'Blind Scoring Sheet'!H534)-1))))</f>
        <v/>
      </c>
      <c r="G534" s="81">
        <f>IF(ISNUMBER('Blind Scoring Sheet'!J534),'Blind Scoring Sheet'!J534,VALUE(TRIM(LEFT('Blind Scoring Sheet'!J534,FIND("|",'Blind Scoring Sheet'!J534)-1))))</f>
        <v/>
      </c>
      <c r="H534" s="80">
        <f>IF(ISNUMBER(SEARCH("|",'Blind Scoring Sheet'!K534)),TRIM(LEFT('Blind Scoring Sheet'!K534,FIND("|",'Blind Scoring Sheet'!K534)-1)),TRIM('Blind Scoring Sheet'!K534))</f>
        <v/>
      </c>
    </row>
    <row r="535" ht="15" customHeight="1" s="38">
      <c r="A535" s="80">
        <f>'Blind Scoring Sheet'!A535</f>
        <v/>
      </c>
      <c r="B535" s="80">
        <f>MID(INDEX('Anonymization Key'!$B$4:$B$1003,MATCH(A535,'Anonymization Key'!$A$4:$A$1003,0)),3,2)</f>
        <v/>
      </c>
      <c r="C535" s="81">
        <f>IF(ISNUMBER('Blind Scoring Sheet'!B535),'Blind Scoring Sheet'!B535,VALUE(TRIM(LEFT('Blind Scoring Sheet'!B535,FIND("|",'Blind Scoring Sheet'!B535)-1))))</f>
        <v/>
      </c>
      <c r="D535" s="81">
        <f>IF(ISNUMBER('Blind Scoring Sheet'!D535),'Blind Scoring Sheet'!D535,VALUE(TRIM(LEFT('Blind Scoring Sheet'!D535,FIND("|",'Blind Scoring Sheet'!D535)-1))))</f>
        <v/>
      </c>
      <c r="E535" s="81">
        <f>IF(ISNUMBER('Blind Scoring Sheet'!F535),'Blind Scoring Sheet'!F535,VALUE(TRIM(LEFT('Blind Scoring Sheet'!F535,FIND("|",'Blind Scoring Sheet'!F535)-1))))</f>
        <v/>
      </c>
      <c r="F535" s="81">
        <f>IF(ISNUMBER('Blind Scoring Sheet'!H535),'Blind Scoring Sheet'!H535,VALUE(TRIM(LEFT('Blind Scoring Sheet'!H535,FIND("|",'Blind Scoring Sheet'!H535)-1))))</f>
        <v/>
      </c>
      <c r="G535" s="81">
        <f>IF(ISNUMBER('Blind Scoring Sheet'!J535),'Blind Scoring Sheet'!J535,VALUE(TRIM(LEFT('Blind Scoring Sheet'!J535,FIND("|",'Blind Scoring Sheet'!J535)-1))))</f>
        <v/>
      </c>
      <c r="H535" s="80">
        <f>IF(ISNUMBER(SEARCH("|",'Blind Scoring Sheet'!K535)),TRIM(LEFT('Blind Scoring Sheet'!K535,FIND("|",'Blind Scoring Sheet'!K535)-1)),TRIM('Blind Scoring Sheet'!K535))</f>
        <v/>
      </c>
    </row>
    <row r="536" ht="15" customHeight="1" s="38">
      <c r="A536" s="80">
        <f>'Blind Scoring Sheet'!A536</f>
        <v/>
      </c>
      <c r="B536" s="80">
        <f>MID(INDEX('Anonymization Key'!$B$4:$B$1003,MATCH(A536,'Anonymization Key'!$A$4:$A$1003,0)),3,2)</f>
        <v/>
      </c>
      <c r="C536" s="81">
        <f>IF(ISNUMBER('Blind Scoring Sheet'!B536),'Blind Scoring Sheet'!B536,VALUE(TRIM(LEFT('Blind Scoring Sheet'!B536,FIND("|",'Blind Scoring Sheet'!B536)-1))))</f>
        <v/>
      </c>
      <c r="D536" s="81">
        <f>IF(ISNUMBER('Blind Scoring Sheet'!D536),'Blind Scoring Sheet'!D536,VALUE(TRIM(LEFT('Blind Scoring Sheet'!D536,FIND("|",'Blind Scoring Sheet'!D536)-1))))</f>
        <v/>
      </c>
      <c r="E536" s="81">
        <f>IF(ISNUMBER('Blind Scoring Sheet'!F536),'Blind Scoring Sheet'!F536,VALUE(TRIM(LEFT('Blind Scoring Sheet'!F536,FIND("|",'Blind Scoring Sheet'!F536)-1))))</f>
        <v/>
      </c>
      <c r="F536" s="81">
        <f>IF(ISNUMBER('Blind Scoring Sheet'!H536),'Blind Scoring Sheet'!H536,VALUE(TRIM(LEFT('Blind Scoring Sheet'!H536,FIND("|",'Blind Scoring Sheet'!H536)-1))))</f>
        <v/>
      </c>
      <c r="G536" s="81">
        <f>IF(ISNUMBER('Blind Scoring Sheet'!J536),'Blind Scoring Sheet'!J536,VALUE(TRIM(LEFT('Blind Scoring Sheet'!J536,FIND("|",'Blind Scoring Sheet'!J536)-1))))</f>
        <v/>
      </c>
      <c r="H536" s="80">
        <f>IF(ISNUMBER(SEARCH("|",'Blind Scoring Sheet'!K536)),TRIM(LEFT('Blind Scoring Sheet'!K536,FIND("|",'Blind Scoring Sheet'!K536)-1)),TRIM('Blind Scoring Sheet'!K536))</f>
        <v/>
      </c>
    </row>
    <row r="537" ht="15" customHeight="1" s="38">
      <c r="A537" s="80">
        <f>'Blind Scoring Sheet'!A537</f>
        <v/>
      </c>
      <c r="B537" s="80">
        <f>MID(INDEX('Anonymization Key'!$B$4:$B$1003,MATCH(A537,'Anonymization Key'!$A$4:$A$1003,0)),3,2)</f>
        <v/>
      </c>
      <c r="C537" s="81">
        <f>IF(ISNUMBER('Blind Scoring Sheet'!B537),'Blind Scoring Sheet'!B537,VALUE(TRIM(LEFT('Blind Scoring Sheet'!B537,FIND("|",'Blind Scoring Sheet'!B537)-1))))</f>
        <v/>
      </c>
      <c r="D537" s="81">
        <f>IF(ISNUMBER('Blind Scoring Sheet'!D537),'Blind Scoring Sheet'!D537,VALUE(TRIM(LEFT('Blind Scoring Sheet'!D537,FIND("|",'Blind Scoring Sheet'!D537)-1))))</f>
        <v/>
      </c>
      <c r="E537" s="81">
        <f>IF(ISNUMBER('Blind Scoring Sheet'!F537),'Blind Scoring Sheet'!F537,VALUE(TRIM(LEFT('Blind Scoring Sheet'!F537,FIND("|",'Blind Scoring Sheet'!F537)-1))))</f>
        <v/>
      </c>
      <c r="F537" s="81">
        <f>IF(ISNUMBER('Blind Scoring Sheet'!H537),'Blind Scoring Sheet'!H537,VALUE(TRIM(LEFT('Blind Scoring Sheet'!H537,FIND("|",'Blind Scoring Sheet'!H537)-1))))</f>
        <v/>
      </c>
      <c r="G537" s="81">
        <f>IF(ISNUMBER('Blind Scoring Sheet'!J537),'Blind Scoring Sheet'!J537,VALUE(TRIM(LEFT('Blind Scoring Sheet'!J537,FIND("|",'Blind Scoring Sheet'!J537)-1))))</f>
        <v/>
      </c>
      <c r="H537" s="80">
        <f>IF(ISNUMBER(SEARCH("|",'Blind Scoring Sheet'!K537)),TRIM(LEFT('Blind Scoring Sheet'!K537,FIND("|",'Blind Scoring Sheet'!K537)-1)),TRIM('Blind Scoring Sheet'!K537))</f>
        <v/>
      </c>
    </row>
    <row r="538" ht="15" customHeight="1" s="38">
      <c r="A538" s="80">
        <f>'Blind Scoring Sheet'!A538</f>
        <v/>
      </c>
      <c r="B538" s="80">
        <f>MID(INDEX('Anonymization Key'!$B$4:$B$1003,MATCH(A538,'Anonymization Key'!$A$4:$A$1003,0)),3,2)</f>
        <v/>
      </c>
      <c r="C538" s="81">
        <f>IF(ISNUMBER('Blind Scoring Sheet'!B538),'Blind Scoring Sheet'!B538,VALUE(TRIM(LEFT('Blind Scoring Sheet'!B538,FIND("|",'Blind Scoring Sheet'!B538)-1))))</f>
        <v/>
      </c>
      <c r="D538" s="81">
        <f>IF(ISNUMBER('Blind Scoring Sheet'!D538),'Blind Scoring Sheet'!D538,VALUE(TRIM(LEFT('Blind Scoring Sheet'!D538,FIND("|",'Blind Scoring Sheet'!D538)-1))))</f>
        <v/>
      </c>
      <c r="E538" s="81">
        <f>IF(ISNUMBER('Blind Scoring Sheet'!F538),'Blind Scoring Sheet'!F538,VALUE(TRIM(LEFT('Blind Scoring Sheet'!F538,FIND("|",'Blind Scoring Sheet'!F538)-1))))</f>
        <v/>
      </c>
      <c r="F538" s="81">
        <f>IF(ISNUMBER('Blind Scoring Sheet'!H538),'Blind Scoring Sheet'!H538,VALUE(TRIM(LEFT('Blind Scoring Sheet'!H538,FIND("|",'Blind Scoring Sheet'!H538)-1))))</f>
        <v/>
      </c>
      <c r="G538" s="81">
        <f>IF(ISNUMBER('Blind Scoring Sheet'!J538),'Blind Scoring Sheet'!J538,VALUE(TRIM(LEFT('Blind Scoring Sheet'!J538,FIND("|",'Blind Scoring Sheet'!J538)-1))))</f>
        <v/>
      </c>
      <c r="H538" s="80">
        <f>IF(ISNUMBER(SEARCH("|",'Blind Scoring Sheet'!K538)),TRIM(LEFT('Blind Scoring Sheet'!K538,FIND("|",'Blind Scoring Sheet'!K538)-1)),TRIM('Blind Scoring Sheet'!K538))</f>
        <v/>
      </c>
    </row>
    <row r="539" ht="15" customHeight="1" s="38">
      <c r="A539" s="80">
        <f>'Blind Scoring Sheet'!A539</f>
        <v/>
      </c>
      <c r="B539" s="80">
        <f>MID(INDEX('Anonymization Key'!$B$4:$B$1003,MATCH(A539,'Anonymization Key'!$A$4:$A$1003,0)),3,2)</f>
        <v/>
      </c>
      <c r="C539" s="81">
        <f>IF(ISNUMBER('Blind Scoring Sheet'!B539),'Blind Scoring Sheet'!B539,VALUE(TRIM(LEFT('Blind Scoring Sheet'!B539,FIND("|",'Blind Scoring Sheet'!B539)-1))))</f>
        <v/>
      </c>
      <c r="D539" s="81">
        <f>IF(ISNUMBER('Blind Scoring Sheet'!D539),'Blind Scoring Sheet'!D539,VALUE(TRIM(LEFT('Blind Scoring Sheet'!D539,FIND("|",'Blind Scoring Sheet'!D539)-1))))</f>
        <v/>
      </c>
      <c r="E539" s="81">
        <f>IF(ISNUMBER('Blind Scoring Sheet'!F539),'Blind Scoring Sheet'!F539,VALUE(TRIM(LEFT('Blind Scoring Sheet'!F539,FIND("|",'Blind Scoring Sheet'!F539)-1))))</f>
        <v/>
      </c>
      <c r="F539" s="81">
        <f>IF(ISNUMBER('Blind Scoring Sheet'!H539),'Blind Scoring Sheet'!H539,VALUE(TRIM(LEFT('Blind Scoring Sheet'!H539,FIND("|",'Blind Scoring Sheet'!H539)-1))))</f>
        <v/>
      </c>
      <c r="G539" s="81">
        <f>IF(ISNUMBER('Blind Scoring Sheet'!J539),'Blind Scoring Sheet'!J539,VALUE(TRIM(LEFT('Blind Scoring Sheet'!J539,FIND("|",'Blind Scoring Sheet'!J539)-1))))</f>
        <v/>
      </c>
      <c r="H539" s="80">
        <f>IF(ISNUMBER(SEARCH("|",'Blind Scoring Sheet'!K539)),TRIM(LEFT('Blind Scoring Sheet'!K539,FIND("|",'Blind Scoring Sheet'!K539)-1)),TRIM('Blind Scoring Sheet'!K539))</f>
        <v/>
      </c>
    </row>
    <row r="540" ht="15" customHeight="1" s="38">
      <c r="A540" s="80">
        <f>'Blind Scoring Sheet'!A540</f>
        <v/>
      </c>
      <c r="B540" s="80">
        <f>MID(INDEX('Anonymization Key'!$B$4:$B$1003,MATCH(A540,'Anonymization Key'!$A$4:$A$1003,0)),3,2)</f>
        <v/>
      </c>
      <c r="C540" s="81">
        <f>IF(ISNUMBER('Blind Scoring Sheet'!B540),'Blind Scoring Sheet'!B540,VALUE(TRIM(LEFT('Blind Scoring Sheet'!B540,FIND("|",'Blind Scoring Sheet'!B540)-1))))</f>
        <v/>
      </c>
      <c r="D540" s="81">
        <f>IF(ISNUMBER('Blind Scoring Sheet'!D540),'Blind Scoring Sheet'!D540,VALUE(TRIM(LEFT('Blind Scoring Sheet'!D540,FIND("|",'Blind Scoring Sheet'!D540)-1))))</f>
        <v/>
      </c>
      <c r="E540" s="81">
        <f>IF(ISNUMBER('Blind Scoring Sheet'!F540),'Blind Scoring Sheet'!F540,VALUE(TRIM(LEFT('Blind Scoring Sheet'!F540,FIND("|",'Blind Scoring Sheet'!F540)-1))))</f>
        <v/>
      </c>
      <c r="F540" s="81">
        <f>IF(ISNUMBER('Blind Scoring Sheet'!H540),'Blind Scoring Sheet'!H540,VALUE(TRIM(LEFT('Blind Scoring Sheet'!H540,FIND("|",'Blind Scoring Sheet'!H540)-1))))</f>
        <v/>
      </c>
      <c r="G540" s="81">
        <f>IF(ISNUMBER('Blind Scoring Sheet'!J540),'Blind Scoring Sheet'!J540,VALUE(TRIM(LEFT('Blind Scoring Sheet'!J540,FIND("|",'Blind Scoring Sheet'!J540)-1))))</f>
        <v/>
      </c>
      <c r="H540" s="80">
        <f>IF(ISNUMBER(SEARCH("|",'Blind Scoring Sheet'!K540)),TRIM(LEFT('Blind Scoring Sheet'!K540,FIND("|",'Blind Scoring Sheet'!K540)-1)),TRIM('Blind Scoring Sheet'!K540))</f>
        <v/>
      </c>
    </row>
    <row r="541" ht="15" customHeight="1" s="38">
      <c r="A541" s="80">
        <f>'Blind Scoring Sheet'!A541</f>
        <v/>
      </c>
      <c r="B541" s="80">
        <f>MID(INDEX('Anonymization Key'!$B$4:$B$1003,MATCH(A541,'Anonymization Key'!$A$4:$A$1003,0)),3,2)</f>
        <v/>
      </c>
      <c r="C541" s="81">
        <f>IF(ISNUMBER('Blind Scoring Sheet'!B541),'Blind Scoring Sheet'!B541,VALUE(TRIM(LEFT('Blind Scoring Sheet'!B541,FIND("|",'Blind Scoring Sheet'!B541)-1))))</f>
        <v/>
      </c>
      <c r="D541" s="81">
        <f>IF(ISNUMBER('Blind Scoring Sheet'!D541),'Blind Scoring Sheet'!D541,VALUE(TRIM(LEFT('Blind Scoring Sheet'!D541,FIND("|",'Blind Scoring Sheet'!D541)-1))))</f>
        <v/>
      </c>
      <c r="E541" s="81">
        <f>IF(ISNUMBER('Blind Scoring Sheet'!F541),'Blind Scoring Sheet'!F541,VALUE(TRIM(LEFT('Blind Scoring Sheet'!F541,FIND("|",'Blind Scoring Sheet'!F541)-1))))</f>
        <v/>
      </c>
      <c r="F541" s="81">
        <f>IF(ISNUMBER('Blind Scoring Sheet'!H541),'Blind Scoring Sheet'!H541,VALUE(TRIM(LEFT('Blind Scoring Sheet'!H541,FIND("|",'Blind Scoring Sheet'!H541)-1))))</f>
        <v/>
      </c>
      <c r="G541" s="81">
        <f>IF(ISNUMBER('Blind Scoring Sheet'!J541),'Blind Scoring Sheet'!J541,VALUE(TRIM(LEFT('Blind Scoring Sheet'!J541,FIND("|",'Blind Scoring Sheet'!J541)-1))))</f>
        <v/>
      </c>
      <c r="H541" s="80">
        <f>IF(ISNUMBER(SEARCH("|",'Blind Scoring Sheet'!K541)),TRIM(LEFT('Blind Scoring Sheet'!K541,FIND("|",'Blind Scoring Sheet'!K541)-1)),TRIM('Blind Scoring Sheet'!K541))</f>
        <v/>
      </c>
    </row>
    <row r="542" ht="15" customHeight="1" s="38">
      <c r="A542" s="80">
        <f>'Blind Scoring Sheet'!A542</f>
        <v/>
      </c>
      <c r="B542" s="80">
        <f>MID(INDEX('Anonymization Key'!$B$4:$B$1003,MATCH(A542,'Anonymization Key'!$A$4:$A$1003,0)),3,2)</f>
        <v/>
      </c>
      <c r="C542" s="81">
        <f>IF(ISNUMBER('Blind Scoring Sheet'!B542),'Blind Scoring Sheet'!B542,VALUE(TRIM(LEFT('Blind Scoring Sheet'!B542,FIND("|",'Blind Scoring Sheet'!B542)-1))))</f>
        <v/>
      </c>
      <c r="D542" s="81">
        <f>IF(ISNUMBER('Blind Scoring Sheet'!D542),'Blind Scoring Sheet'!D542,VALUE(TRIM(LEFT('Blind Scoring Sheet'!D542,FIND("|",'Blind Scoring Sheet'!D542)-1))))</f>
        <v/>
      </c>
      <c r="E542" s="81">
        <f>IF(ISNUMBER('Blind Scoring Sheet'!F542),'Blind Scoring Sheet'!F542,VALUE(TRIM(LEFT('Blind Scoring Sheet'!F542,FIND("|",'Blind Scoring Sheet'!F542)-1))))</f>
        <v/>
      </c>
      <c r="F542" s="81">
        <f>IF(ISNUMBER('Blind Scoring Sheet'!H542),'Blind Scoring Sheet'!H542,VALUE(TRIM(LEFT('Blind Scoring Sheet'!H542,FIND("|",'Blind Scoring Sheet'!H542)-1))))</f>
        <v/>
      </c>
      <c r="G542" s="81">
        <f>IF(ISNUMBER('Blind Scoring Sheet'!J542),'Blind Scoring Sheet'!J542,VALUE(TRIM(LEFT('Blind Scoring Sheet'!J542,FIND("|",'Blind Scoring Sheet'!J542)-1))))</f>
        <v/>
      </c>
      <c r="H542" s="80">
        <f>IF(ISNUMBER(SEARCH("|",'Blind Scoring Sheet'!K542)),TRIM(LEFT('Blind Scoring Sheet'!K542,FIND("|",'Blind Scoring Sheet'!K542)-1)),TRIM('Blind Scoring Sheet'!K542))</f>
        <v/>
      </c>
    </row>
    <row r="543" ht="15" customHeight="1" s="38">
      <c r="A543" s="80">
        <f>'Blind Scoring Sheet'!A543</f>
        <v/>
      </c>
      <c r="B543" s="80">
        <f>MID(INDEX('Anonymization Key'!$B$4:$B$1003,MATCH(A543,'Anonymization Key'!$A$4:$A$1003,0)),3,2)</f>
        <v/>
      </c>
      <c r="C543" s="81">
        <f>IF(ISNUMBER('Blind Scoring Sheet'!B543),'Blind Scoring Sheet'!B543,VALUE(TRIM(LEFT('Blind Scoring Sheet'!B543,FIND("|",'Blind Scoring Sheet'!B543)-1))))</f>
        <v/>
      </c>
      <c r="D543" s="81">
        <f>IF(ISNUMBER('Blind Scoring Sheet'!D543),'Blind Scoring Sheet'!D543,VALUE(TRIM(LEFT('Blind Scoring Sheet'!D543,FIND("|",'Blind Scoring Sheet'!D543)-1))))</f>
        <v/>
      </c>
      <c r="E543" s="81">
        <f>IF(ISNUMBER('Blind Scoring Sheet'!F543),'Blind Scoring Sheet'!F543,VALUE(TRIM(LEFT('Blind Scoring Sheet'!F543,FIND("|",'Blind Scoring Sheet'!F543)-1))))</f>
        <v/>
      </c>
      <c r="F543" s="81">
        <f>IF(ISNUMBER('Blind Scoring Sheet'!H543),'Blind Scoring Sheet'!H543,VALUE(TRIM(LEFT('Blind Scoring Sheet'!H543,FIND("|",'Blind Scoring Sheet'!H543)-1))))</f>
        <v/>
      </c>
      <c r="G543" s="81">
        <f>IF(ISNUMBER('Blind Scoring Sheet'!J543),'Blind Scoring Sheet'!J543,VALUE(TRIM(LEFT('Blind Scoring Sheet'!J543,FIND("|",'Blind Scoring Sheet'!J543)-1))))</f>
        <v/>
      </c>
      <c r="H543" s="80">
        <f>IF(ISNUMBER(SEARCH("|",'Blind Scoring Sheet'!K543)),TRIM(LEFT('Blind Scoring Sheet'!K543,FIND("|",'Blind Scoring Sheet'!K543)-1)),TRIM('Blind Scoring Sheet'!K543))</f>
        <v/>
      </c>
    </row>
    <row r="544" ht="15" customHeight="1" s="38">
      <c r="A544" s="80">
        <f>'Blind Scoring Sheet'!A544</f>
        <v/>
      </c>
      <c r="B544" s="80">
        <f>MID(INDEX('Anonymization Key'!$B$4:$B$1003,MATCH(A544,'Anonymization Key'!$A$4:$A$1003,0)),3,2)</f>
        <v/>
      </c>
      <c r="C544" s="81">
        <f>IF(ISNUMBER('Blind Scoring Sheet'!B544),'Blind Scoring Sheet'!B544,VALUE(TRIM(LEFT('Blind Scoring Sheet'!B544,FIND("|",'Blind Scoring Sheet'!B544)-1))))</f>
        <v/>
      </c>
      <c r="D544" s="81">
        <f>IF(ISNUMBER('Blind Scoring Sheet'!D544),'Blind Scoring Sheet'!D544,VALUE(TRIM(LEFT('Blind Scoring Sheet'!D544,FIND("|",'Blind Scoring Sheet'!D544)-1))))</f>
        <v/>
      </c>
      <c r="E544" s="81">
        <f>IF(ISNUMBER('Blind Scoring Sheet'!F544),'Blind Scoring Sheet'!F544,VALUE(TRIM(LEFT('Blind Scoring Sheet'!F544,FIND("|",'Blind Scoring Sheet'!F544)-1))))</f>
        <v/>
      </c>
      <c r="F544" s="81">
        <f>IF(ISNUMBER('Blind Scoring Sheet'!H544),'Blind Scoring Sheet'!H544,VALUE(TRIM(LEFT('Blind Scoring Sheet'!H544,FIND("|",'Blind Scoring Sheet'!H544)-1))))</f>
        <v/>
      </c>
      <c r="G544" s="81">
        <f>IF(ISNUMBER('Blind Scoring Sheet'!J544),'Blind Scoring Sheet'!J544,VALUE(TRIM(LEFT('Blind Scoring Sheet'!J544,FIND("|",'Blind Scoring Sheet'!J544)-1))))</f>
        <v/>
      </c>
      <c r="H544" s="80">
        <f>IF(ISNUMBER(SEARCH("|",'Blind Scoring Sheet'!K544)),TRIM(LEFT('Blind Scoring Sheet'!K544,FIND("|",'Blind Scoring Sheet'!K544)-1)),TRIM('Blind Scoring Sheet'!K544))</f>
        <v/>
      </c>
    </row>
    <row r="545" ht="15" customHeight="1" s="38">
      <c r="A545" s="80">
        <f>'Blind Scoring Sheet'!A545</f>
        <v/>
      </c>
      <c r="B545" s="80">
        <f>MID(INDEX('Anonymization Key'!$B$4:$B$1003,MATCH(A545,'Anonymization Key'!$A$4:$A$1003,0)),3,2)</f>
        <v/>
      </c>
      <c r="C545" s="81">
        <f>IF(ISNUMBER('Blind Scoring Sheet'!B545),'Blind Scoring Sheet'!B545,VALUE(TRIM(LEFT('Blind Scoring Sheet'!B545,FIND("|",'Blind Scoring Sheet'!B545)-1))))</f>
        <v/>
      </c>
      <c r="D545" s="81">
        <f>IF(ISNUMBER('Blind Scoring Sheet'!D545),'Blind Scoring Sheet'!D545,VALUE(TRIM(LEFT('Blind Scoring Sheet'!D545,FIND("|",'Blind Scoring Sheet'!D545)-1))))</f>
        <v/>
      </c>
      <c r="E545" s="81">
        <f>IF(ISNUMBER('Blind Scoring Sheet'!F545),'Blind Scoring Sheet'!F545,VALUE(TRIM(LEFT('Blind Scoring Sheet'!F545,FIND("|",'Blind Scoring Sheet'!F545)-1))))</f>
        <v/>
      </c>
      <c r="F545" s="81">
        <f>IF(ISNUMBER('Blind Scoring Sheet'!H545),'Blind Scoring Sheet'!H545,VALUE(TRIM(LEFT('Blind Scoring Sheet'!H545,FIND("|",'Blind Scoring Sheet'!H545)-1))))</f>
        <v/>
      </c>
      <c r="G545" s="81">
        <f>IF(ISNUMBER('Blind Scoring Sheet'!J545),'Blind Scoring Sheet'!J545,VALUE(TRIM(LEFT('Blind Scoring Sheet'!J545,FIND("|",'Blind Scoring Sheet'!J545)-1))))</f>
        <v/>
      </c>
      <c r="H545" s="80">
        <f>IF(ISNUMBER(SEARCH("|",'Blind Scoring Sheet'!K545)),TRIM(LEFT('Blind Scoring Sheet'!K545,FIND("|",'Blind Scoring Sheet'!K545)-1)),TRIM('Blind Scoring Sheet'!K545))</f>
        <v/>
      </c>
    </row>
    <row r="546" ht="15" customHeight="1" s="38">
      <c r="A546" s="80">
        <f>'Blind Scoring Sheet'!A546</f>
        <v/>
      </c>
      <c r="B546" s="80">
        <f>MID(INDEX('Anonymization Key'!$B$4:$B$1003,MATCH(A546,'Anonymization Key'!$A$4:$A$1003,0)),3,2)</f>
        <v/>
      </c>
      <c r="C546" s="81">
        <f>IF(ISNUMBER('Blind Scoring Sheet'!B546),'Blind Scoring Sheet'!B546,VALUE(TRIM(LEFT('Blind Scoring Sheet'!B546,FIND("|",'Blind Scoring Sheet'!B546)-1))))</f>
        <v/>
      </c>
      <c r="D546" s="81">
        <f>IF(ISNUMBER('Blind Scoring Sheet'!D546),'Blind Scoring Sheet'!D546,VALUE(TRIM(LEFT('Blind Scoring Sheet'!D546,FIND("|",'Blind Scoring Sheet'!D546)-1))))</f>
        <v/>
      </c>
      <c r="E546" s="81">
        <f>IF(ISNUMBER('Blind Scoring Sheet'!F546),'Blind Scoring Sheet'!F546,VALUE(TRIM(LEFT('Blind Scoring Sheet'!F546,FIND("|",'Blind Scoring Sheet'!F546)-1))))</f>
        <v/>
      </c>
      <c r="F546" s="81">
        <f>IF(ISNUMBER('Blind Scoring Sheet'!H546),'Blind Scoring Sheet'!H546,VALUE(TRIM(LEFT('Blind Scoring Sheet'!H546,FIND("|",'Blind Scoring Sheet'!H546)-1))))</f>
        <v/>
      </c>
      <c r="G546" s="81">
        <f>IF(ISNUMBER('Blind Scoring Sheet'!J546),'Blind Scoring Sheet'!J546,VALUE(TRIM(LEFT('Blind Scoring Sheet'!J546,FIND("|",'Blind Scoring Sheet'!J546)-1))))</f>
        <v/>
      </c>
      <c r="H546" s="80">
        <f>IF(ISNUMBER(SEARCH("|",'Blind Scoring Sheet'!K546)),TRIM(LEFT('Blind Scoring Sheet'!K546,FIND("|",'Blind Scoring Sheet'!K546)-1)),TRIM('Blind Scoring Sheet'!K546))</f>
        <v/>
      </c>
    </row>
    <row r="547" ht="15" customHeight="1" s="38">
      <c r="A547" s="80">
        <f>'Blind Scoring Sheet'!A547</f>
        <v/>
      </c>
      <c r="B547" s="80">
        <f>MID(INDEX('Anonymization Key'!$B$4:$B$1003,MATCH(A547,'Anonymization Key'!$A$4:$A$1003,0)),3,2)</f>
        <v/>
      </c>
      <c r="C547" s="81">
        <f>IF(ISNUMBER('Blind Scoring Sheet'!B547),'Blind Scoring Sheet'!B547,VALUE(TRIM(LEFT('Blind Scoring Sheet'!B547,FIND("|",'Blind Scoring Sheet'!B547)-1))))</f>
        <v/>
      </c>
      <c r="D547" s="81">
        <f>IF(ISNUMBER('Blind Scoring Sheet'!D547),'Blind Scoring Sheet'!D547,VALUE(TRIM(LEFT('Blind Scoring Sheet'!D547,FIND("|",'Blind Scoring Sheet'!D547)-1))))</f>
        <v/>
      </c>
      <c r="E547" s="81">
        <f>IF(ISNUMBER('Blind Scoring Sheet'!F547),'Blind Scoring Sheet'!F547,VALUE(TRIM(LEFT('Blind Scoring Sheet'!F547,FIND("|",'Blind Scoring Sheet'!F547)-1))))</f>
        <v/>
      </c>
      <c r="F547" s="81">
        <f>IF(ISNUMBER('Blind Scoring Sheet'!H547),'Blind Scoring Sheet'!H547,VALUE(TRIM(LEFT('Blind Scoring Sheet'!H547,FIND("|",'Blind Scoring Sheet'!H547)-1))))</f>
        <v/>
      </c>
      <c r="G547" s="81">
        <f>IF(ISNUMBER('Blind Scoring Sheet'!J547),'Blind Scoring Sheet'!J547,VALUE(TRIM(LEFT('Blind Scoring Sheet'!J547,FIND("|",'Blind Scoring Sheet'!J547)-1))))</f>
        <v/>
      </c>
      <c r="H547" s="80">
        <f>IF(ISNUMBER(SEARCH("|",'Blind Scoring Sheet'!K547)),TRIM(LEFT('Blind Scoring Sheet'!K547,FIND("|",'Blind Scoring Sheet'!K547)-1)),TRIM('Blind Scoring Sheet'!K547))</f>
        <v/>
      </c>
    </row>
    <row r="548" ht="15" customHeight="1" s="38">
      <c r="A548" s="80">
        <f>'Blind Scoring Sheet'!A548</f>
        <v/>
      </c>
      <c r="B548" s="80">
        <f>MID(INDEX('Anonymization Key'!$B$4:$B$1003,MATCH(A548,'Anonymization Key'!$A$4:$A$1003,0)),3,2)</f>
        <v/>
      </c>
      <c r="C548" s="81">
        <f>IF(ISNUMBER('Blind Scoring Sheet'!B548),'Blind Scoring Sheet'!B548,VALUE(TRIM(LEFT('Blind Scoring Sheet'!B548,FIND("|",'Blind Scoring Sheet'!B548)-1))))</f>
        <v/>
      </c>
      <c r="D548" s="81">
        <f>IF(ISNUMBER('Blind Scoring Sheet'!D548),'Blind Scoring Sheet'!D548,VALUE(TRIM(LEFT('Blind Scoring Sheet'!D548,FIND("|",'Blind Scoring Sheet'!D548)-1))))</f>
        <v/>
      </c>
      <c r="E548" s="81">
        <f>IF(ISNUMBER('Blind Scoring Sheet'!F548),'Blind Scoring Sheet'!F548,VALUE(TRIM(LEFT('Blind Scoring Sheet'!F548,FIND("|",'Blind Scoring Sheet'!F548)-1))))</f>
        <v/>
      </c>
      <c r="F548" s="81">
        <f>IF(ISNUMBER('Blind Scoring Sheet'!H548),'Blind Scoring Sheet'!H548,VALUE(TRIM(LEFT('Blind Scoring Sheet'!H548,FIND("|",'Blind Scoring Sheet'!H548)-1))))</f>
        <v/>
      </c>
      <c r="G548" s="81">
        <f>IF(ISNUMBER('Blind Scoring Sheet'!J548),'Blind Scoring Sheet'!J548,VALUE(TRIM(LEFT('Blind Scoring Sheet'!J548,FIND("|",'Blind Scoring Sheet'!J548)-1))))</f>
        <v/>
      </c>
      <c r="H548" s="80">
        <f>IF(ISNUMBER(SEARCH("|",'Blind Scoring Sheet'!K548)),TRIM(LEFT('Blind Scoring Sheet'!K548,FIND("|",'Blind Scoring Sheet'!K548)-1)),TRIM('Blind Scoring Sheet'!K548))</f>
        <v/>
      </c>
    </row>
    <row r="549" ht="15" customHeight="1" s="38">
      <c r="A549" s="80">
        <f>'Blind Scoring Sheet'!A549</f>
        <v/>
      </c>
      <c r="B549" s="80">
        <f>MID(INDEX('Anonymization Key'!$B$4:$B$1003,MATCH(A549,'Anonymization Key'!$A$4:$A$1003,0)),3,2)</f>
        <v/>
      </c>
      <c r="C549" s="81">
        <f>IF(ISNUMBER('Blind Scoring Sheet'!B549),'Blind Scoring Sheet'!B549,VALUE(TRIM(LEFT('Blind Scoring Sheet'!B549,FIND("|",'Blind Scoring Sheet'!B549)-1))))</f>
        <v/>
      </c>
      <c r="D549" s="81">
        <f>IF(ISNUMBER('Blind Scoring Sheet'!D549),'Blind Scoring Sheet'!D549,VALUE(TRIM(LEFT('Blind Scoring Sheet'!D549,FIND("|",'Blind Scoring Sheet'!D549)-1))))</f>
        <v/>
      </c>
      <c r="E549" s="81">
        <f>IF(ISNUMBER('Blind Scoring Sheet'!F549),'Blind Scoring Sheet'!F549,VALUE(TRIM(LEFT('Blind Scoring Sheet'!F549,FIND("|",'Blind Scoring Sheet'!F549)-1))))</f>
        <v/>
      </c>
      <c r="F549" s="81">
        <f>IF(ISNUMBER('Blind Scoring Sheet'!H549),'Blind Scoring Sheet'!H549,VALUE(TRIM(LEFT('Blind Scoring Sheet'!H549,FIND("|",'Blind Scoring Sheet'!H549)-1))))</f>
        <v/>
      </c>
      <c r="G549" s="81">
        <f>IF(ISNUMBER('Blind Scoring Sheet'!J549),'Blind Scoring Sheet'!J549,VALUE(TRIM(LEFT('Blind Scoring Sheet'!J549,FIND("|",'Blind Scoring Sheet'!J549)-1))))</f>
        <v/>
      </c>
      <c r="H549" s="80">
        <f>IF(ISNUMBER(SEARCH("|",'Blind Scoring Sheet'!K549)),TRIM(LEFT('Blind Scoring Sheet'!K549,FIND("|",'Blind Scoring Sheet'!K549)-1)),TRIM('Blind Scoring Sheet'!K549))</f>
        <v/>
      </c>
    </row>
    <row r="550" ht="15" customHeight="1" s="38">
      <c r="A550" s="80">
        <f>'Blind Scoring Sheet'!A550</f>
        <v/>
      </c>
      <c r="B550" s="80">
        <f>MID(INDEX('Anonymization Key'!$B$4:$B$1003,MATCH(A550,'Anonymization Key'!$A$4:$A$1003,0)),3,2)</f>
        <v/>
      </c>
      <c r="C550" s="81">
        <f>IF(ISNUMBER('Blind Scoring Sheet'!B550),'Blind Scoring Sheet'!B550,VALUE(TRIM(LEFT('Blind Scoring Sheet'!B550,FIND("|",'Blind Scoring Sheet'!B550)-1))))</f>
        <v/>
      </c>
      <c r="D550" s="81">
        <f>IF(ISNUMBER('Blind Scoring Sheet'!D550),'Blind Scoring Sheet'!D550,VALUE(TRIM(LEFT('Blind Scoring Sheet'!D550,FIND("|",'Blind Scoring Sheet'!D550)-1))))</f>
        <v/>
      </c>
      <c r="E550" s="81">
        <f>IF(ISNUMBER('Blind Scoring Sheet'!F550),'Blind Scoring Sheet'!F550,VALUE(TRIM(LEFT('Blind Scoring Sheet'!F550,FIND("|",'Blind Scoring Sheet'!F550)-1))))</f>
        <v/>
      </c>
      <c r="F550" s="81">
        <f>IF(ISNUMBER('Blind Scoring Sheet'!H550),'Blind Scoring Sheet'!H550,VALUE(TRIM(LEFT('Blind Scoring Sheet'!H550,FIND("|",'Blind Scoring Sheet'!H550)-1))))</f>
        <v/>
      </c>
      <c r="G550" s="81">
        <f>IF(ISNUMBER('Blind Scoring Sheet'!J550),'Blind Scoring Sheet'!J550,VALUE(TRIM(LEFT('Blind Scoring Sheet'!J550,FIND("|",'Blind Scoring Sheet'!J550)-1))))</f>
        <v/>
      </c>
      <c r="H550" s="80">
        <f>IF(ISNUMBER(SEARCH("|",'Blind Scoring Sheet'!K550)),TRIM(LEFT('Blind Scoring Sheet'!K550,FIND("|",'Blind Scoring Sheet'!K550)-1)),TRIM('Blind Scoring Sheet'!K550))</f>
        <v/>
      </c>
    </row>
    <row r="551" ht="15" customHeight="1" s="38">
      <c r="A551" s="80">
        <f>'Blind Scoring Sheet'!A551</f>
        <v/>
      </c>
      <c r="B551" s="80">
        <f>MID(INDEX('Anonymization Key'!$B$4:$B$1003,MATCH(A551,'Anonymization Key'!$A$4:$A$1003,0)),3,2)</f>
        <v/>
      </c>
      <c r="C551" s="81">
        <f>IF(ISNUMBER('Blind Scoring Sheet'!B551),'Blind Scoring Sheet'!B551,VALUE(TRIM(LEFT('Blind Scoring Sheet'!B551,FIND("|",'Blind Scoring Sheet'!B551)-1))))</f>
        <v/>
      </c>
      <c r="D551" s="81">
        <f>IF(ISNUMBER('Blind Scoring Sheet'!D551),'Blind Scoring Sheet'!D551,VALUE(TRIM(LEFT('Blind Scoring Sheet'!D551,FIND("|",'Blind Scoring Sheet'!D551)-1))))</f>
        <v/>
      </c>
      <c r="E551" s="81">
        <f>IF(ISNUMBER('Blind Scoring Sheet'!F551),'Blind Scoring Sheet'!F551,VALUE(TRIM(LEFT('Blind Scoring Sheet'!F551,FIND("|",'Blind Scoring Sheet'!F551)-1))))</f>
        <v/>
      </c>
      <c r="F551" s="81">
        <f>IF(ISNUMBER('Blind Scoring Sheet'!H551),'Blind Scoring Sheet'!H551,VALUE(TRIM(LEFT('Blind Scoring Sheet'!H551,FIND("|",'Blind Scoring Sheet'!H551)-1))))</f>
        <v/>
      </c>
      <c r="G551" s="81">
        <f>IF(ISNUMBER('Blind Scoring Sheet'!J551),'Blind Scoring Sheet'!J551,VALUE(TRIM(LEFT('Blind Scoring Sheet'!J551,FIND("|",'Blind Scoring Sheet'!J551)-1))))</f>
        <v/>
      </c>
      <c r="H551" s="80">
        <f>IF(ISNUMBER(SEARCH("|",'Blind Scoring Sheet'!K551)),TRIM(LEFT('Blind Scoring Sheet'!K551,FIND("|",'Blind Scoring Sheet'!K551)-1)),TRIM('Blind Scoring Sheet'!K551))</f>
        <v/>
      </c>
    </row>
    <row r="552" ht="15" customHeight="1" s="38">
      <c r="A552" s="80">
        <f>'Blind Scoring Sheet'!A552</f>
        <v/>
      </c>
      <c r="B552" s="80">
        <f>MID(INDEX('Anonymization Key'!$B$4:$B$1003,MATCH(A552,'Anonymization Key'!$A$4:$A$1003,0)),3,2)</f>
        <v/>
      </c>
      <c r="C552" s="81">
        <f>IF(ISNUMBER('Blind Scoring Sheet'!B552),'Blind Scoring Sheet'!B552,VALUE(TRIM(LEFT('Blind Scoring Sheet'!B552,FIND("|",'Blind Scoring Sheet'!B552)-1))))</f>
        <v/>
      </c>
      <c r="D552" s="81">
        <f>IF(ISNUMBER('Blind Scoring Sheet'!D552),'Blind Scoring Sheet'!D552,VALUE(TRIM(LEFT('Blind Scoring Sheet'!D552,FIND("|",'Blind Scoring Sheet'!D552)-1))))</f>
        <v/>
      </c>
      <c r="E552" s="81">
        <f>IF(ISNUMBER('Blind Scoring Sheet'!F552),'Blind Scoring Sheet'!F552,VALUE(TRIM(LEFT('Blind Scoring Sheet'!F552,FIND("|",'Blind Scoring Sheet'!F552)-1))))</f>
        <v/>
      </c>
      <c r="F552" s="81">
        <f>IF(ISNUMBER('Blind Scoring Sheet'!H552),'Blind Scoring Sheet'!H552,VALUE(TRIM(LEFT('Blind Scoring Sheet'!H552,FIND("|",'Blind Scoring Sheet'!H552)-1))))</f>
        <v/>
      </c>
      <c r="G552" s="81">
        <f>IF(ISNUMBER('Blind Scoring Sheet'!J552),'Blind Scoring Sheet'!J552,VALUE(TRIM(LEFT('Blind Scoring Sheet'!J552,FIND("|",'Blind Scoring Sheet'!J552)-1))))</f>
        <v/>
      </c>
      <c r="H552" s="80">
        <f>IF(ISNUMBER(SEARCH("|",'Blind Scoring Sheet'!K552)),TRIM(LEFT('Blind Scoring Sheet'!K552,FIND("|",'Blind Scoring Sheet'!K552)-1)),TRIM('Blind Scoring Sheet'!K552))</f>
        <v/>
      </c>
    </row>
    <row r="553" ht="15" customHeight="1" s="38">
      <c r="A553" s="80">
        <f>'Blind Scoring Sheet'!A553</f>
        <v/>
      </c>
      <c r="B553" s="80">
        <f>MID(INDEX('Anonymization Key'!$B$4:$B$1003,MATCH(A553,'Anonymization Key'!$A$4:$A$1003,0)),3,2)</f>
        <v/>
      </c>
      <c r="C553" s="81">
        <f>IF(ISNUMBER('Blind Scoring Sheet'!B553),'Blind Scoring Sheet'!B553,VALUE(TRIM(LEFT('Blind Scoring Sheet'!B553,FIND("|",'Blind Scoring Sheet'!B553)-1))))</f>
        <v/>
      </c>
      <c r="D553" s="81">
        <f>IF(ISNUMBER('Blind Scoring Sheet'!D553),'Blind Scoring Sheet'!D553,VALUE(TRIM(LEFT('Blind Scoring Sheet'!D553,FIND("|",'Blind Scoring Sheet'!D553)-1))))</f>
        <v/>
      </c>
      <c r="E553" s="81">
        <f>IF(ISNUMBER('Blind Scoring Sheet'!F553),'Blind Scoring Sheet'!F553,VALUE(TRIM(LEFT('Blind Scoring Sheet'!F553,FIND("|",'Blind Scoring Sheet'!F553)-1))))</f>
        <v/>
      </c>
      <c r="F553" s="81">
        <f>IF(ISNUMBER('Blind Scoring Sheet'!H553),'Blind Scoring Sheet'!H553,VALUE(TRIM(LEFT('Blind Scoring Sheet'!H553,FIND("|",'Blind Scoring Sheet'!H553)-1))))</f>
        <v/>
      </c>
      <c r="G553" s="81">
        <f>IF(ISNUMBER('Blind Scoring Sheet'!J553),'Blind Scoring Sheet'!J553,VALUE(TRIM(LEFT('Blind Scoring Sheet'!J553,FIND("|",'Blind Scoring Sheet'!J553)-1))))</f>
        <v/>
      </c>
      <c r="H553" s="80">
        <f>IF(ISNUMBER(SEARCH("|",'Blind Scoring Sheet'!K553)),TRIM(LEFT('Blind Scoring Sheet'!K553,FIND("|",'Blind Scoring Sheet'!K553)-1)),TRIM('Blind Scoring Sheet'!K553))</f>
        <v/>
      </c>
    </row>
    <row r="554" ht="15" customHeight="1" s="38">
      <c r="A554" s="80">
        <f>'Blind Scoring Sheet'!A554</f>
        <v/>
      </c>
      <c r="B554" s="80">
        <f>MID(INDEX('Anonymization Key'!$B$4:$B$1003,MATCH(A554,'Anonymization Key'!$A$4:$A$1003,0)),3,2)</f>
        <v/>
      </c>
      <c r="C554" s="81">
        <f>IF(ISNUMBER('Blind Scoring Sheet'!B554),'Blind Scoring Sheet'!B554,VALUE(TRIM(LEFT('Blind Scoring Sheet'!B554,FIND("|",'Blind Scoring Sheet'!B554)-1))))</f>
        <v/>
      </c>
      <c r="D554" s="81">
        <f>IF(ISNUMBER('Blind Scoring Sheet'!D554),'Blind Scoring Sheet'!D554,VALUE(TRIM(LEFT('Blind Scoring Sheet'!D554,FIND("|",'Blind Scoring Sheet'!D554)-1))))</f>
        <v/>
      </c>
      <c r="E554" s="81">
        <f>IF(ISNUMBER('Blind Scoring Sheet'!F554),'Blind Scoring Sheet'!F554,VALUE(TRIM(LEFT('Blind Scoring Sheet'!F554,FIND("|",'Blind Scoring Sheet'!F554)-1))))</f>
        <v/>
      </c>
      <c r="F554" s="81">
        <f>IF(ISNUMBER('Blind Scoring Sheet'!H554),'Blind Scoring Sheet'!H554,VALUE(TRIM(LEFT('Blind Scoring Sheet'!H554,FIND("|",'Blind Scoring Sheet'!H554)-1))))</f>
        <v/>
      </c>
      <c r="G554" s="81">
        <f>IF(ISNUMBER('Blind Scoring Sheet'!J554),'Blind Scoring Sheet'!J554,VALUE(TRIM(LEFT('Blind Scoring Sheet'!J554,FIND("|",'Blind Scoring Sheet'!J554)-1))))</f>
        <v/>
      </c>
      <c r="H554" s="80">
        <f>IF(ISNUMBER(SEARCH("|",'Blind Scoring Sheet'!K554)),TRIM(LEFT('Blind Scoring Sheet'!K554,FIND("|",'Blind Scoring Sheet'!K554)-1)),TRIM('Blind Scoring Sheet'!K554))</f>
        <v/>
      </c>
    </row>
    <row r="555" ht="15" customHeight="1" s="38">
      <c r="A555" s="80">
        <f>'Blind Scoring Sheet'!A555</f>
        <v/>
      </c>
      <c r="B555" s="80">
        <f>MID(INDEX('Anonymization Key'!$B$4:$B$1003,MATCH(A555,'Anonymization Key'!$A$4:$A$1003,0)),3,2)</f>
        <v/>
      </c>
      <c r="C555" s="81">
        <f>IF(ISNUMBER('Blind Scoring Sheet'!B555),'Blind Scoring Sheet'!B555,VALUE(TRIM(LEFT('Blind Scoring Sheet'!B555,FIND("|",'Blind Scoring Sheet'!B555)-1))))</f>
        <v/>
      </c>
      <c r="D555" s="81">
        <f>IF(ISNUMBER('Blind Scoring Sheet'!D555),'Blind Scoring Sheet'!D555,VALUE(TRIM(LEFT('Blind Scoring Sheet'!D555,FIND("|",'Blind Scoring Sheet'!D555)-1))))</f>
        <v/>
      </c>
      <c r="E555" s="81">
        <f>IF(ISNUMBER('Blind Scoring Sheet'!F555),'Blind Scoring Sheet'!F555,VALUE(TRIM(LEFT('Blind Scoring Sheet'!F555,FIND("|",'Blind Scoring Sheet'!F555)-1))))</f>
        <v/>
      </c>
      <c r="F555" s="81">
        <f>IF(ISNUMBER('Blind Scoring Sheet'!H555),'Blind Scoring Sheet'!H555,VALUE(TRIM(LEFT('Blind Scoring Sheet'!H555,FIND("|",'Blind Scoring Sheet'!H555)-1))))</f>
        <v/>
      </c>
      <c r="G555" s="81">
        <f>IF(ISNUMBER('Blind Scoring Sheet'!J555),'Blind Scoring Sheet'!J555,VALUE(TRIM(LEFT('Blind Scoring Sheet'!J555,FIND("|",'Blind Scoring Sheet'!J555)-1))))</f>
        <v/>
      </c>
      <c r="H555" s="80">
        <f>IF(ISNUMBER(SEARCH("|",'Blind Scoring Sheet'!K555)),TRIM(LEFT('Blind Scoring Sheet'!K555,FIND("|",'Blind Scoring Sheet'!K555)-1)),TRIM('Blind Scoring Sheet'!K555))</f>
        <v/>
      </c>
    </row>
    <row r="556" ht="15" customHeight="1" s="38">
      <c r="A556" s="80">
        <f>'Blind Scoring Sheet'!A556</f>
        <v/>
      </c>
      <c r="B556" s="80">
        <f>MID(INDEX('Anonymization Key'!$B$4:$B$1003,MATCH(A556,'Anonymization Key'!$A$4:$A$1003,0)),3,2)</f>
        <v/>
      </c>
      <c r="C556" s="81">
        <f>IF(ISNUMBER('Blind Scoring Sheet'!B556),'Blind Scoring Sheet'!B556,VALUE(TRIM(LEFT('Blind Scoring Sheet'!B556,FIND("|",'Blind Scoring Sheet'!B556)-1))))</f>
        <v/>
      </c>
      <c r="D556" s="81">
        <f>IF(ISNUMBER('Blind Scoring Sheet'!D556),'Blind Scoring Sheet'!D556,VALUE(TRIM(LEFT('Blind Scoring Sheet'!D556,FIND("|",'Blind Scoring Sheet'!D556)-1))))</f>
        <v/>
      </c>
      <c r="E556" s="81">
        <f>IF(ISNUMBER('Blind Scoring Sheet'!F556),'Blind Scoring Sheet'!F556,VALUE(TRIM(LEFT('Blind Scoring Sheet'!F556,FIND("|",'Blind Scoring Sheet'!F556)-1))))</f>
        <v/>
      </c>
      <c r="F556" s="81">
        <f>IF(ISNUMBER('Blind Scoring Sheet'!H556),'Blind Scoring Sheet'!H556,VALUE(TRIM(LEFT('Blind Scoring Sheet'!H556,FIND("|",'Blind Scoring Sheet'!H556)-1))))</f>
        <v/>
      </c>
      <c r="G556" s="81">
        <f>IF(ISNUMBER('Blind Scoring Sheet'!J556),'Blind Scoring Sheet'!J556,VALUE(TRIM(LEFT('Blind Scoring Sheet'!J556,FIND("|",'Blind Scoring Sheet'!J556)-1))))</f>
        <v/>
      </c>
      <c r="H556" s="80">
        <f>IF(ISNUMBER(SEARCH("|",'Blind Scoring Sheet'!K556)),TRIM(LEFT('Blind Scoring Sheet'!K556,FIND("|",'Blind Scoring Sheet'!K556)-1)),TRIM('Blind Scoring Sheet'!K556))</f>
        <v/>
      </c>
    </row>
    <row r="557" ht="15" customHeight="1" s="38">
      <c r="A557" s="80">
        <f>'Blind Scoring Sheet'!A557</f>
        <v/>
      </c>
      <c r="B557" s="80">
        <f>MID(INDEX('Anonymization Key'!$B$4:$B$1003,MATCH(A557,'Anonymization Key'!$A$4:$A$1003,0)),3,2)</f>
        <v/>
      </c>
      <c r="C557" s="81">
        <f>IF(ISNUMBER('Blind Scoring Sheet'!B557),'Blind Scoring Sheet'!B557,VALUE(TRIM(LEFT('Blind Scoring Sheet'!B557,FIND("|",'Blind Scoring Sheet'!B557)-1))))</f>
        <v/>
      </c>
      <c r="D557" s="81">
        <f>IF(ISNUMBER('Blind Scoring Sheet'!D557),'Blind Scoring Sheet'!D557,VALUE(TRIM(LEFT('Blind Scoring Sheet'!D557,FIND("|",'Blind Scoring Sheet'!D557)-1))))</f>
        <v/>
      </c>
      <c r="E557" s="81">
        <f>IF(ISNUMBER('Blind Scoring Sheet'!F557),'Blind Scoring Sheet'!F557,VALUE(TRIM(LEFT('Blind Scoring Sheet'!F557,FIND("|",'Blind Scoring Sheet'!F557)-1))))</f>
        <v/>
      </c>
      <c r="F557" s="81">
        <f>IF(ISNUMBER('Blind Scoring Sheet'!H557),'Blind Scoring Sheet'!H557,VALUE(TRIM(LEFT('Blind Scoring Sheet'!H557,FIND("|",'Blind Scoring Sheet'!H557)-1))))</f>
        <v/>
      </c>
      <c r="G557" s="81">
        <f>IF(ISNUMBER('Blind Scoring Sheet'!J557),'Blind Scoring Sheet'!J557,VALUE(TRIM(LEFT('Blind Scoring Sheet'!J557,FIND("|",'Blind Scoring Sheet'!J557)-1))))</f>
        <v/>
      </c>
      <c r="H557" s="80">
        <f>IF(ISNUMBER(SEARCH("|",'Blind Scoring Sheet'!K557)),TRIM(LEFT('Blind Scoring Sheet'!K557,FIND("|",'Blind Scoring Sheet'!K557)-1)),TRIM('Blind Scoring Sheet'!K557))</f>
        <v/>
      </c>
    </row>
    <row r="558" ht="15" customHeight="1" s="38">
      <c r="A558" s="80">
        <f>'Blind Scoring Sheet'!A558</f>
        <v/>
      </c>
      <c r="B558" s="80">
        <f>MID(INDEX('Anonymization Key'!$B$4:$B$1003,MATCH(A558,'Anonymization Key'!$A$4:$A$1003,0)),3,2)</f>
        <v/>
      </c>
      <c r="C558" s="81">
        <f>IF(ISNUMBER('Blind Scoring Sheet'!B558),'Blind Scoring Sheet'!B558,VALUE(TRIM(LEFT('Blind Scoring Sheet'!B558,FIND("|",'Blind Scoring Sheet'!B558)-1))))</f>
        <v/>
      </c>
      <c r="D558" s="81">
        <f>IF(ISNUMBER('Blind Scoring Sheet'!D558),'Blind Scoring Sheet'!D558,VALUE(TRIM(LEFT('Blind Scoring Sheet'!D558,FIND("|",'Blind Scoring Sheet'!D558)-1))))</f>
        <v/>
      </c>
      <c r="E558" s="81">
        <f>IF(ISNUMBER('Blind Scoring Sheet'!F558),'Blind Scoring Sheet'!F558,VALUE(TRIM(LEFT('Blind Scoring Sheet'!F558,FIND("|",'Blind Scoring Sheet'!F558)-1))))</f>
        <v/>
      </c>
      <c r="F558" s="81">
        <f>IF(ISNUMBER('Blind Scoring Sheet'!H558),'Blind Scoring Sheet'!H558,VALUE(TRIM(LEFT('Blind Scoring Sheet'!H558,FIND("|",'Blind Scoring Sheet'!H558)-1))))</f>
        <v/>
      </c>
      <c r="G558" s="81">
        <f>IF(ISNUMBER('Blind Scoring Sheet'!J558),'Blind Scoring Sheet'!J558,VALUE(TRIM(LEFT('Blind Scoring Sheet'!J558,FIND("|",'Blind Scoring Sheet'!J558)-1))))</f>
        <v/>
      </c>
      <c r="H558" s="80">
        <f>IF(ISNUMBER(SEARCH("|",'Blind Scoring Sheet'!K558)),TRIM(LEFT('Blind Scoring Sheet'!K558,FIND("|",'Blind Scoring Sheet'!K558)-1)),TRIM('Blind Scoring Sheet'!K558))</f>
        <v/>
      </c>
    </row>
    <row r="559" ht="15" customHeight="1" s="38">
      <c r="A559" s="80">
        <f>'Blind Scoring Sheet'!A559</f>
        <v/>
      </c>
      <c r="B559" s="80">
        <f>MID(INDEX('Anonymization Key'!$B$4:$B$1003,MATCH(A559,'Anonymization Key'!$A$4:$A$1003,0)),3,2)</f>
        <v/>
      </c>
      <c r="C559" s="81">
        <f>IF(ISNUMBER('Blind Scoring Sheet'!B559),'Blind Scoring Sheet'!B559,VALUE(TRIM(LEFT('Blind Scoring Sheet'!B559,FIND("|",'Blind Scoring Sheet'!B559)-1))))</f>
        <v/>
      </c>
      <c r="D559" s="81">
        <f>IF(ISNUMBER('Blind Scoring Sheet'!D559),'Blind Scoring Sheet'!D559,VALUE(TRIM(LEFT('Blind Scoring Sheet'!D559,FIND("|",'Blind Scoring Sheet'!D559)-1))))</f>
        <v/>
      </c>
      <c r="E559" s="81">
        <f>IF(ISNUMBER('Blind Scoring Sheet'!F559),'Blind Scoring Sheet'!F559,VALUE(TRIM(LEFT('Blind Scoring Sheet'!F559,FIND("|",'Blind Scoring Sheet'!F559)-1))))</f>
        <v/>
      </c>
      <c r="F559" s="81">
        <f>IF(ISNUMBER('Blind Scoring Sheet'!H559),'Blind Scoring Sheet'!H559,VALUE(TRIM(LEFT('Blind Scoring Sheet'!H559,FIND("|",'Blind Scoring Sheet'!H559)-1))))</f>
        <v/>
      </c>
      <c r="G559" s="81">
        <f>IF(ISNUMBER('Blind Scoring Sheet'!J559),'Blind Scoring Sheet'!J559,VALUE(TRIM(LEFT('Blind Scoring Sheet'!J559,FIND("|",'Blind Scoring Sheet'!J559)-1))))</f>
        <v/>
      </c>
      <c r="H559" s="80">
        <f>IF(ISNUMBER(SEARCH("|",'Blind Scoring Sheet'!K559)),TRIM(LEFT('Blind Scoring Sheet'!K559,FIND("|",'Blind Scoring Sheet'!K559)-1)),TRIM('Blind Scoring Sheet'!K559))</f>
        <v/>
      </c>
    </row>
    <row r="560" ht="15" customHeight="1" s="38">
      <c r="A560" s="80">
        <f>'Blind Scoring Sheet'!A560</f>
        <v/>
      </c>
      <c r="B560" s="80">
        <f>MID(INDEX('Anonymization Key'!$B$4:$B$1003,MATCH(A560,'Anonymization Key'!$A$4:$A$1003,0)),3,2)</f>
        <v/>
      </c>
      <c r="C560" s="81">
        <f>IF(ISNUMBER('Blind Scoring Sheet'!B560),'Blind Scoring Sheet'!B560,VALUE(TRIM(LEFT('Blind Scoring Sheet'!B560,FIND("|",'Blind Scoring Sheet'!B560)-1))))</f>
        <v/>
      </c>
      <c r="D560" s="81">
        <f>IF(ISNUMBER('Blind Scoring Sheet'!D560),'Blind Scoring Sheet'!D560,VALUE(TRIM(LEFT('Blind Scoring Sheet'!D560,FIND("|",'Blind Scoring Sheet'!D560)-1))))</f>
        <v/>
      </c>
      <c r="E560" s="81">
        <f>IF(ISNUMBER('Blind Scoring Sheet'!F560),'Blind Scoring Sheet'!F560,VALUE(TRIM(LEFT('Blind Scoring Sheet'!F560,FIND("|",'Blind Scoring Sheet'!F560)-1))))</f>
        <v/>
      </c>
      <c r="F560" s="81">
        <f>IF(ISNUMBER('Blind Scoring Sheet'!H560),'Blind Scoring Sheet'!H560,VALUE(TRIM(LEFT('Blind Scoring Sheet'!H560,FIND("|",'Blind Scoring Sheet'!H560)-1))))</f>
        <v/>
      </c>
      <c r="G560" s="81">
        <f>IF(ISNUMBER('Blind Scoring Sheet'!J560),'Blind Scoring Sheet'!J560,VALUE(TRIM(LEFT('Blind Scoring Sheet'!J560,FIND("|",'Blind Scoring Sheet'!J560)-1))))</f>
        <v/>
      </c>
      <c r="H560" s="80">
        <f>IF(ISNUMBER(SEARCH("|",'Blind Scoring Sheet'!K560)),TRIM(LEFT('Blind Scoring Sheet'!K560,FIND("|",'Blind Scoring Sheet'!K560)-1)),TRIM('Blind Scoring Sheet'!K560))</f>
        <v/>
      </c>
    </row>
    <row r="561" ht="15" customHeight="1" s="38">
      <c r="A561" s="80">
        <f>'Blind Scoring Sheet'!A561</f>
        <v/>
      </c>
      <c r="B561" s="80">
        <f>MID(INDEX('Anonymization Key'!$B$4:$B$1003,MATCH(A561,'Anonymization Key'!$A$4:$A$1003,0)),3,2)</f>
        <v/>
      </c>
      <c r="C561" s="81">
        <f>IF(ISNUMBER('Blind Scoring Sheet'!B561),'Blind Scoring Sheet'!B561,VALUE(TRIM(LEFT('Blind Scoring Sheet'!B561,FIND("|",'Blind Scoring Sheet'!B561)-1))))</f>
        <v/>
      </c>
      <c r="D561" s="81">
        <f>IF(ISNUMBER('Blind Scoring Sheet'!D561),'Blind Scoring Sheet'!D561,VALUE(TRIM(LEFT('Blind Scoring Sheet'!D561,FIND("|",'Blind Scoring Sheet'!D561)-1))))</f>
        <v/>
      </c>
      <c r="E561" s="81">
        <f>IF(ISNUMBER('Blind Scoring Sheet'!F561),'Blind Scoring Sheet'!F561,VALUE(TRIM(LEFT('Blind Scoring Sheet'!F561,FIND("|",'Blind Scoring Sheet'!F561)-1))))</f>
        <v/>
      </c>
      <c r="F561" s="81">
        <f>IF(ISNUMBER('Blind Scoring Sheet'!H561),'Blind Scoring Sheet'!H561,VALUE(TRIM(LEFT('Blind Scoring Sheet'!H561,FIND("|",'Blind Scoring Sheet'!H561)-1))))</f>
        <v/>
      </c>
      <c r="G561" s="81">
        <f>IF(ISNUMBER('Blind Scoring Sheet'!J561),'Blind Scoring Sheet'!J561,VALUE(TRIM(LEFT('Blind Scoring Sheet'!J561,FIND("|",'Blind Scoring Sheet'!J561)-1))))</f>
        <v/>
      </c>
      <c r="H561" s="80">
        <f>IF(ISNUMBER(SEARCH("|",'Blind Scoring Sheet'!K561)),TRIM(LEFT('Blind Scoring Sheet'!K561,FIND("|",'Blind Scoring Sheet'!K561)-1)),TRIM('Blind Scoring Sheet'!K561))</f>
        <v/>
      </c>
    </row>
    <row r="562" ht="15" customHeight="1" s="38">
      <c r="A562" s="80">
        <f>'Blind Scoring Sheet'!A562</f>
        <v/>
      </c>
      <c r="B562" s="80">
        <f>MID(INDEX('Anonymization Key'!$B$4:$B$1003,MATCH(A562,'Anonymization Key'!$A$4:$A$1003,0)),3,2)</f>
        <v/>
      </c>
      <c r="C562" s="81">
        <f>IF(ISNUMBER('Blind Scoring Sheet'!B562),'Blind Scoring Sheet'!B562,VALUE(TRIM(LEFT('Blind Scoring Sheet'!B562,FIND("|",'Blind Scoring Sheet'!B562)-1))))</f>
        <v/>
      </c>
      <c r="D562" s="81">
        <f>IF(ISNUMBER('Blind Scoring Sheet'!D562),'Blind Scoring Sheet'!D562,VALUE(TRIM(LEFT('Blind Scoring Sheet'!D562,FIND("|",'Blind Scoring Sheet'!D562)-1))))</f>
        <v/>
      </c>
      <c r="E562" s="81">
        <f>IF(ISNUMBER('Blind Scoring Sheet'!F562),'Blind Scoring Sheet'!F562,VALUE(TRIM(LEFT('Blind Scoring Sheet'!F562,FIND("|",'Blind Scoring Sheet'!F562)-1))))</f>
        <v/>
      </c>
      <c r="F562" s="81">
        <f>IF(ISNUMBER('Blind Scoring Sheet'!H562),'Blind Scoring Sheet'!H562,VALUE(TRIM(LEFT('Blind Scoring Sheet'!H562,FIND("|",'Blind Scoring Sheet'!H562)-1))))</f>
        <v/>
      </c>
      <c r="G562" s="81">
        <f>IF(ISNUMBER('Blind Scoring Sheet'!J562),'Blind Scoring Sheet'!J562,VALUE(TRIM(LEFT('Blind Scoring Sheet'!J562,FIND("|",'Blind Scoring Sheet'!J562)-1))))</f>
        <v/>
      </c>
      <c r="H562" s="80">
        <f>IF(ISNUMBER(SEARCH("|",'Blind Scoring Sheet'!K562)),TRIM(LEFT('Blind Scoring Sheet'!K562,FIND("|",'Blind Scoring Sheet'!K562)-1)),TRIM('Blind Scoring Sheet'!K562))</f>
        <v/>
      </c>
    </row>
    <row r="563" ht="15" customHeight="1" s="38">
      <c r="A563" s="80">
        <f>'Blind Scoring Sheet'!A563</f>
        <v/>
      </c>
      <c r="B563" s="80">
        <f>MID(INDEX('Anonymization Key'!$B$4:$B$1003,MATCH(A563,'Anonymization Key'!$A$4:$A$1003,0)),3,2)</f>
        <v/>
      </c>
      <c r="C563" s="81">
        <f>IF(ISNUMBER('Blind Scoring Sheet'!B563),'Blind Scoring Sheet'!B563,VALUE(TRIM(LEFT('Blind Scoring Sheet'!B563,FIND("|",'Blind Scoring Sheet'!B563)-1))))</f>
        <v/>
      </c>
      <c r="D563" s="81">
        <f>IF(ISNUMBER('Blind Scoring Sheet'!D563),'Blind Scoring Sheet'!D563,VALUE(TRIM(LEFT('Blind Scoring Sheet'!D563,FIND("|",'Blind Scoring Sheet'!D563)-1))))</f>
        <v/>
      </c>
      <c r="E563" s="81">
        <f>IF(ISNUMBER('Blind Scoring Sheet'!F563),'Blind Scoring Sheet'!F563,VALUE(TRIM(LEFT('Blind Scoring Sheet'!F563,FIND("|",'Blind Scoring Sheet'!F563)-1))))</f>
        <v/>
      </c>
      <c r="F563" s="81">
        <f>IF(ISNUMBER('Blind Scoring Sheet'!H563),'Blind Scoring Sheet'!H563,VALUE(TRIM(LEFT('Blind Scoring Sheet'!H563,FIND("|",'Blind Scoring Sheet'!H563)-1))))</f>
        <v/>
      </c>
      <c r="G563" s="81">
        <f>IF(ISNUMBER('Blind Scoring Sheet'!J563),'Blind Scoring Sheet'!J563,VALUE(TRIM(LEFT('Blind Scoring Sheet'!J563,FIND("|",'Blind Scoring Sheet'!J563)-1))))</f>
        <v/>
      </c>
      <c r="H563" s="80">
        <f>IF(ISNUMBER(SEARCH("|",'Blind Scoring Sheet'!K563)),TRIM(LEFT('Blind Scoring Sheet'!K563,FIND("|",'Blind Scoring Sheet'!K563)-1)),TRIM('Blind Scoring Sheet'!K563))</f>
        <v/>
      </c>
    </row>
    <row r="564" ht="15" customHeight="1" s="38">
      <c r="A564" s="80">
        <f>'Blind Scoring Sheet'!A564</f>
        <v/>
      </c>
      <c r="B564" s="80">
        <f>MID(INDEX('Anonymization Key'!$B$4:$B$1003,MATCH(A564,'Anonymization Key'!$A$4:$A$1003,0)),3,2)</f>
        <v/>
      </c>
      <c r="C564" s="81">
        <f>IF(ISNUMBER('Blind Scoring Sheet'!B564),'Blind Scoring Sheet'!B564,VALUE(TRIM(LEFT('Blind Scoring Sheet'!B564,FIND("|",'Blind Scoring Sheet'!B564)-1))))</f>
        <v/>
      </c>
      <c r="D564" s="81">
        <f>IF(ISNUMBER('Blind Scoring Sheet'!D564),'Blind Scoring Sheet'!D564,VALUE(TRIM(LEFT('Blind Scoring Sheet'!D564,FIND("|",'Blind Scoring Sheet'!D564)-1))))</f>
        <v/>
      </c>
      <c r="E564" s="81">
        <f>IF(ISNUMBER('Blind Scoring Sheet'!F564),'Blind Scoring Sheet'!F564,VALUE(TRIM(LEFT('Blind Scoring Sheet'!F564,FIND("|",'Blind Scoring Sheet'!F564)-1))))</f>
        <v/>
      </c>
      <c r="F564" s="81">
        <f>IF(ISNUMBER('Blind Scoring Sheet'!H564),'Blind Scoring Sheet'!H564,VALUE(TRIM(LEFT('Blind Scoring Sheet'!H564,FIND("|",'Blind Scoring Sheet'!H564)-1))))</f>
        <v/>
      </c>
      <c r="G564" s="81">
        <f>IF(ISNUMBER('Blind Scoring Sheet'!J564),'Blind Scoring Sheet'!J564,VALUE(TRIM(LEFT('Blind Scoring Sheet'!J564,FIND("|",'Blind Scoring Sheet'!J564)-1))))</f>
        <v/>
      </c>
      <c r="H564" s="80">
        <f>IF(ISNUMBER(SEARCH("|",'Blind Scoring Sheet'!K564)),TRIM(LEFT('Blind Scoring Sheet'!K564,FIND("|",'Blind Scoring Sheet'!K564)-1)),TRIM('Blind Scoring Sheet'!K564))</f>
        <v/>
      </c>
    </row>
    <row r="565" ht="15" customHeight="1" s="38">
      <c r="A565" s="80">
        <f>'Blind Scoring Sheet'!A565</f>
        <v/>
      </c>
      <c r="B565" s="80">
        <f>MID(INDEX('Anonymization Key'!$B$4:$B$1003,MATCH(A565,'Anonymization Key'!$A$4:$A$1003,0)),3,2)</f>
        <v/>
      </c>
      <c r="C565" s="81">
        <f>IF(ISNUMBER('Blind Scoring Sheet'!B565),'Blind Scoring Sheet'!B565,VALUE(TRIM(LEFT('Blind Scoring Sheet'!B565,FIND("|",'Blind Scoring Sheet'!B565)-1))))</f>
        <v/>
      </c>
      <c r="D565" s="81">
        <f>IF(ISNUMBER('Blind Scoring Sheet'!D565),'Blind Scoring Sheet'!D565,VALUE(TRIM(LEFT('Blind Scoring Sheet'!D565,FIND("|",'Blind Scoring Sheet'!D565)-1))))</f>
        <v/>
      </c>
      <c r="E565" s="81">
        <f>IF(ISNUMBER('Blind Scoring Sheet'!F565),'Blind Scoring Sheet'!F565,VALUE(TRIM(LEFT('Blind Scoring Sheet'!F565,FIND("|",'Blind Scoring Sheet'!F565)-1))))</f>
        <v/>
      </c>
      <c r="F565" s="81">
        <f>IF(ISNUMBER('Blind Scoring Sheet'!H565),'Blind Scoring Sheet'!H565,VALUE(TRIM(LEFT('Blind Scoring Sheet'!H565,FIND("|",'Blind Scoring Sheet'!H565)-1))))</f>
        <v/>
      </c>
      <c r="G565" s="81">
        <f>IF(ISNUMBER('Blind Scoring Sheet'!J565),'Blind Scoring Sheet'!J565,VALUE(TRIM(LEFT('Blind Scoring Sheet'!J565,FIND("|",'Blind Scoring Sheet'!J565)-1))))</f>
        <v/>
      </c>
      <c r="H565" s="80">
        <f>IF(ISNUMBER(SEARCH("|",'Blind Scoring Sheet'!K565)),TRIM(LEFT('Blind Scoring Sheet'!K565,FIND("|",'Blind Scoring Sheet'!K565)-1)),TRIM('Blind Scoring Sheet'!K565))</f>
        <v/>
      </c>
    </row>
    <row r="566" ht="15" customHeight="1" s="38">
      <c r="A566" s="80">
        <f>'Blind Scoring Sheet'!A566</f>
        <v/>
      </c>
      <c r="B566" s="80">
        <f>MID(INDEX('Anonymization Key'!$B$4:$B$1003,MATCH(A566,'Anonymization Key'!$A$4:$A$1003,0)),3,2)</f>
        <v/>
      </c>
      <c r="C566" s="81">
        <f>IF(ISNUMBER('Blind Scoring Sheet'!B566),'Blind Scoring Sheet'!B566,VALUE(TRIM(LEFT('Blind Scoring Sheet'!B566,FIND("|",'Blind Scoring Sheet'!B566)-1))))</f>
        <v/>
      </c>
      <c r="D566" s="81">
        <f>IF(ISNUMBER('Blind Scoring Sheet'!D566),'Blind Scoring Sheet'!D566,VALUE(TRIM(LEFT('Blind Scoring Sheet'!D566,FIND("|",'Blind Scoring Sheet'!D566)-1))))</f>
        <v/>
      </c>
      <c r="E566" s="81">
        <f>IF(ISNUMBER('Blind Scoring Sheet'!F566),'Blind Scoring Sheet'!F566,VALUE(TRIM(LEFT('Blind Scoring Sheet'!F566,FIND("|",'Blind Scoring Sheet'!F566)-1))))</f>
        <v/>
      </c>
      <c r="F566" s="81">
        <f>IF(ISNUMBER('Blind Scoring Sheet'!H566),'Blind Scoring Sheet'!H566,VALUE(TRIM(LEFT('Blind Scoring Sheet'!H566,FIND("|",'Blind Scoring Sheet'!H566)-1))))</f>
        <v/>
      </c>
      <c r="G566" s="81">
        <f>IF(ISNUMBER('Blind Scoring Sheet'!J566),'Blind Scoring Sheet'!J566,VALUE(TRIM(LEFT('Blind Scoring Sheet'!J566,FIND("|",'Blind Scoring Sheet'!J566)-1))))</f>
        <v/>
      </c>
      <c r="H566" s="80">
        <f>IF(ISNUMBER(SEARCH("|",'Blind Scoring Sheet'!K566)),TRIM(LEFT('Blind Scoring Sheet'!K566,FIND("|",'Blind Scoring Sheet'!K566)-1)),TRIM('Blind Scoring Sheet'!K566))</f>
        <v/>
      </c>
    </row>
    <row r="567" ht="15" customHeight="1" s="38">
      <c r="A567" s="80">
        <f>'Blind Scoring Sheet'!A567</f>
        <v/>
      </c>
      <c r="B567" s="80">
        <f>MID(INDEX('Anonymization Key'!$B$4:$B$1003,MATCH(A567,'Anonymization Key'!$A$4:$A$1003,0)),3,2)</f>
        <v/>
      </c>
      <c r="C567" s="81">
        <f>IF(ISNUMBER('Blind Scoring Sheet'!B567),'Blind Scoring Sheet'!B567,VALUE(TRIM(LEFT('Blind Scoring Sheet'!B567,FIND("|",'Blind Scoring Sheet'!B567)-1))))</f>
        <v/>
      </c>
      <c r="D567" s="81">
        <f>IF(ISNUMBER('Blind Scoring Sheet'!D567),'Blind Scoring Sheet'!D567,VALUE(TRIM(LEFT('Blind Scoring Sheet'!D567,FIND("|",'Blind Scoring Sheet'!D567)-1))))</f>
        <v/>
      </c>
      <c r="E567" s="81">
        <f>IF(ISNUMBER('Blind Scoring Sheet'!F567),'Blind Scoring Sheet'!F567,VALUE(TRIM(LEFT('Blind Scoring Sheet'!F567,FIND("|",'Blind Scoring Sheet'!F567)-1))))</f>
        <v/>
      </c>
      <c r="F567" s="81">
        <f>IF(ISNUMBER('Blind Scoring Sheet'!H567),'Blind Scoring Sheet'!H567,VALUE(TRIM(LEFT('Blind Scoring Sheet'!H567,FIND("|",'Blind Scoring Sheet'!H567)-1))))</f>
        <v/>
      </c>
      <c r="G567" s="81">
        <f>IF(ISNUMBER('Blind Scoring Sheet'!J567),'Blind Scoring Sheet'!J567,VALUE(TRIM(LEFT('Blind Scoring Sheet'!J567,FIND("|",'Blind Scoring Sheet'!J567)-1))))</f>
        <v/>
      </c>
      <c r="H567" s="80">
        <f>IF(ISNUMBER(SEARCH("|",'Blind Scoring Sheet'!K567)),TRIM(LEFT('Blind Scoring Sheet'!K567,FIND("|",'Blind Scoring Sheet'!K567)-1)),TRIM('Blind Scoring Sheet'!K567))</f>
        <v/>
      </c>
    </row>
    <row r="568" ht="15" customHeight="1" s="38">
      <c r="A568" s="80">
        <f>'Blind Scoring Sheet'!A568</f>
        <v/>
      </c>
      <c r="B568" s="80">
        <f>MID(INDEX('Anonymization Key'!$B$4:$B$1003,MATCH(A568,'Anonymization Key'!$A$4:$A$1003,0)),3,2)</f>
        <v/>
      </c>
      <c r="C568" s="81">
        <f>IF(ISNUMBER('Blind Scoring Sheet'!B568),'Blind Scoring Sheet'!B568,VALUE(TRIM(LEFT('Blind Scoring Sheet'!B568,FIND("|",'Blind Scoring Sheet'!B568)-1))))</f>
        <v/>
      </c>
      <c r="D568" s="81">
        <f>IF(ISNUMBER('Blind Scoring Sheet'!D568),'Blind Scoring Sheet'!D568,VALUE(TRIM(LEFT('Blind Scoring Sheet'!D568,FIND("|",'Blind Scoring Sheet'!D568)-1))))</f>
        <v/>
      </c>
      <c r="E568" s="81">
        <f>IF(ISNUMBER('Blind Scoring Sheet'!F568),'Blind Scoring Sheet'!F568,VALUE(TRIM(LEFT('Blind Scoring Sheet'!F568,FIND("|",'Blind Scoring Sheet'!F568)-1))))</f>
        <v/>
      </c>
      <c r="F568" s="81">
        <f>IF(ISNUMBER('Blind Scoring Sheet'!H568),'Blind Scoring Sheet'!H568,VALUE(TRIM(LEFT('Blind Scoring Sheet'!H568,FIND("|",'Blind Scoring Sheet'!H568)-1))))</f>
        <v/>
      </c>
      <c r="G568" s="81">
        <f>IF(ISNUMBER('Blind Scoring Sheet'!J568),'Blind Scoring Sheet'!J568,VALUE(TRIM(LEFT('Blind Scoring Sheet'!J568,FIND("|",'Blind Scoring Sheet'!J568)-1))))</f>
        <v/>
      </c>
      <c r="H568" s="80">
        <f>IF(ISNUMBER(SEARCH("|",'Blind Scoring Sheet'!K568)),TRIM(LEFT('Blind Scoring Sheet'!K568,FIND("|",'Blind Scoring Sheet'!K568)-1)),TRIM('Blind Scoring Sheet'!K568))</f>
        <v/>
      </c>
    </row>
    <row r="569" ht="15" customHeight="1" s="38">
      <c r="A569" s="80">
        <f>'Blind Scoring Sheet'!A569</f>
        <v/>
      </c>
      <c r="B569" s="80">
        <f>MID(INDEX('Anonymization Key'!$B$4:$B$1003,MATCH(A569,'Anonymization Key'!$A$4:$A$1003,0)),3,2)</f>
        <v/>
      </c>
      <c r="C569" s="81">
        <f>IF(ISNUMBER('Blind Scoring Sheet'!B569),'Blind Scoring Sheet'!B569,VALUE(TRIM(LEFT('Blind Scoring Sheet'!B569,FIND("|",'Blind Scoring Sheet'!B569)-1))))</f>
        <v/>
      </c>
      <c r="D569" s="81">
        <f>IF(ISNUMBER('Blind Scoring Sheet'!D569),'Blind Scoring Sheet'!D569,VALUE(TRIM(LEFT('Blind Scoring Sheet'!D569,FIND("|",'Blind Scoring Sheet'!D569)-1))))</f>
        <v/>
      </c>
      <c r="E569" s="81">
        <f>IF(ISNUMBER('Blind Scoring Sheet'!F569),'Blind Scoring Sheet'!F569,VALUE(TRIM(LEFT('Blind Scoring Sheet'!F569,FIND("|",'Blind Scoring Sheet'!F569)-1))))</f>
        <v/>
      </c>
      <c r="F569" s="81">
        <f>IF(ISNUMBER('Blind Scoring Sheet'!H569),'Blind Scoring Sheet'!H569,VALUE(TRIM(LEFT('Blind Scoring Sheet'!H569,FIND("|",'Blind Scoring Sheet'!H569)-1))))</f>
        <v/>
      </c>
      <c r="G569" s="81">
        <f>IF(ISNUMBER('Blind Scoring Sheet'!J569),'Blind Scoring Sheet'!J569,VALUE(TRIM(LEFT('Blind Scoring Sheet'!J569,FIND("|",'Blind Scoring Sheet'!J569)-1))))</f>
        <v/>
      </c>
      <c r="H569" s="80">
        <f>IF(ISNUMBER(SEARCH("|",'Blind Scoring Sheet'!K569)),TRIM(LEFT('Blind Scoring Sheet'!K569,FIND("|",'Blind Scoring Sheet'!K569)-1)),TRIM('Blind Scoring Sheet'!K569))</f>
        <v/>
      </c>
    </row>
    <row r="570" ht="15" customHeight="1" s="38">
      <c r="A570" s="80">
        <f>'Blind Scoring Sheet'!A570</f>
        <v/>
      </c>
      <c r="B570" s="80">
        <f>MID(INDEX('Anonymization Key'!$B$4:$B$1003,MATCH(A570,'Anonymization Key'!$A$4:$A$1003,0)),3,2)</f>
        <v/>
      </c>
      <c r="C570" s="81">
        <f>IF(ISNUMBER('Blind Scoring Sheet'!B570),'Blind Scoring Sheet'!B570,VALUE(TRIM(LEFT('Blind Scoring Sheet'!B570,FIND("|",'Blind Scoring Sheet'!B570)-1))))</f>
        <v/>
      </c>
      <c r="D570" s="81">
        <f>IF(ISNUMBER('Blind Scoring Sheet'!D570),'Blind Scoring Sheet'!D570,VALUE(TRIM(LEFT('Blind Scoring Sheet'!D570,FIND("|",'Blind Scoring Sheet'!D570)-1))))</f>
        <v/>
      </c>
      <c r="E570" s="81">
        <f>IF(ISNUMBER('Blind Scoring Sheet'!F570),'Blind Scoring Sheet'!F570,VALUE(TRIM(LEFT('Blind Scoring Sheet'!F570,FIND("|",'Blind Scoring Sheet'!F570)-1))))</f>
        <v/>
      </c>
      <c r="F570" s="81">
        <f>IF(ISNUMBER('Blind Scoring Sheet'!H570),'Blind Scoring Sheet'!H570,VALUE(TRIM(LEFT('Blind Scoring Sheet'!H570,FIND("|",'Blind Scoring Sheet'!H570)-1))))</f>
        <v/>
      </c>
      <c r="G570" s="81">
        <f>IF(ISNUMBER('Blind Scoring Sheet'!J570),'Blind Scoring Sheet'!J570,VALUE(TRIM(LEFT('Blind Scoring Sheet'!J570,FIND("|",'Blind Scoring Sheet'!J570)-1))))</f>
        <v/>
      </c>
      <c r="H570" s="80">
        <f>IF(ISNUMBER(SEARCH("|",'Blind Scoring Sheet'!K570)),TRIM(LEFT('Blind Scoring Sheet'!K570,FIND("|",'Blind Scoring Sheet'!K570)-1)),TRIM('Blind Scoring Sheet'!K570))</f>
        <v/>
      </c>
    </row>
    <row r="571" ht="15" customHeight="1" s="38">
      <c r="A571" s="80">
        <f>'Blind Scoring Sheet'!A571</f>
        <v/>
      </c>
      <c r="B571" s="80">
        <f>MID(INDEX('Anonymization Key'!$B$4:$B$1003,MATCH(A571,'Anonymization Key'!$A$4:$A$1003,0)),3,2)</f>
        <v/>
      </c>
      <c r="C571" s="81">
        <f>IF(ISNUMBER('Blind Scoring Sheet'!B571),'Blind Scoring Sheet'!B571,VALUE(TRIM(LEFT('Blind Scoring Sheet'!B571,FIND("|",'Blind Scoring Sheet'!B571)-1))))</f>
        <v/>
      </c>
      <c r="D571" s="81">
        <f>IF(ISNUMBER('Blind Scoring Sheet'!D571),'Blind Scoring Sheet'!D571,VALUE(TRIM(LEFT('Blind Scoring Sheet'!D571,FIND("|",'Blind Scoring Sheet'!D571)-1))))</f>
        <v/>
      </c>
      <c r="E571" s="81">
        <f>IF(ISNUMBER('Blind Scoring Sheet'!F571),'Blind Scoring Sheet'!F571,VALUE(TRIM(LEFT('Blind Scoring Sheet'!F571,FIND("|",'Blind Scoring Sheet'!F571)-1))))</f>
        <v/>
      </c>
      <c r="F571" s="81">
        <f>IF(ISNUMBER('Blind Scoring Sheet'!H571),'Blind Scoring Sheet'!H571,VALUE(TRIM(LEFT('Blind Scoring Sheet'!H571,FIND("|",'Blind Scoring Sheet'!H571)-1))))</f>
        <v/>
      </c>
      <c r="G571" s="81">
        <f>IF(ISNUMBER('Blind Scoring Sheet'!J571),'Blind Scoring Sheet'!J571,VALUE(TRIM(LEFT('Blind Scoring Sheet'!J571,FIND("|",'Blind Scoring Sheet'!J571)-1))))</f>
        <v/>
      </c>
      <c r="H571" s="80">
        <f>IF(ISNUMBER(SEARCH("|",'Blind Scoring Sheet'!K571)),TRIM(LEFT('Blind Scoring Sheet'!K571,FIND("|",'Blind Scoring Sheet'!K571)-1)),TRIM('Blind Scoring Sheet'!K571))</f>
        <v/>
      </c>
    </row>
    <row r="572" ht="15" customHeight="1" s="38">
      <c r="A572" s="80">
        <f>'Blind Scoring Sheet'!A572</f>
        <v/>
      </c>
      <c r="B572" s="80">
        <f>MID(INDEX('Anonymization Key'!$B$4:$B$1003,MATCH(A572,'Anonymization Key'!$A$4:$A$1003,0)),3,2)</f>
        <v/>
      </c>
      <c r="C572" s="81">
        <f>IF(ISNUMBER('Blind Scoring Sheet'!B572),'Blind Scoring Sheet'!B572,VALUE(TRIM(LEFT('Blind Scoring Sheet'!B572,FIND("|",'Blind Scoring Sheet'!B572)-1))))</f>
        <v/>
      </c>
      <c r="D572" s="81">
        <f>IF(ISNUMBER('Blind Scoring Sheet'!D572),'Blind Scoring Sheet'!D572,VALUE(TRIM(LEFT('Blind Scoring Sheet'!D572,FIND("|",'Blind Scoring Sheet'!D572)-1))))</f>
        <v/>
      </c>
      <c r="E572" s="81">
        <f>IF(ISNUMBER('Blind Scoring Sheet'!F572),'Blind Scoring Sheet'!F572,VALUE(TRIM(LEFT('Blind Scoring Sheet'!F572,FIND("|",'Blind Scoring Sheet'!F572)-1))))</f>
        <v/>
      </c>
      <c r="F572" s="81">
        <f>IF(ISNUMBER('Blind Scoring Sheet'!H572),'Blind Scoring Sheet'!H572,VALUE(TRIM(LEFT('Blind Scoring Sheet'!H572,FIND("|",'Blind Scoring Sheet'!H572)-1))))</f>
        <v/>
      </c>
      <c r="G572" s="81">
        <f>IF(ISNUMBER('Blind Scoring Sheet'!J572),'Blind Scoring Sheet'!J572,VALUE(TRIM(LEFT('Blind Scoring Sheet'!J572,FIND("|",'Blind Scoring Sheet'!J572)-1))))</f>
        <v/>
      </c>
      <c r="H572" s="80">
        <f>IF(ISNUMBER(SEARCH("|",'Blind Scoring Sheet'!K572)),TRIM(LEFT('Blind Scoring Sheet'!K572,FIND("|",'Blind Scoring Sheet'!K572)-1)),TRIM('Blind Scoring Sheet'!K572))</f>
        <v/>
      </c>
    </row>
    <row r="573" ht="15" customHeight="1" s="38">
      <c r="A573" s="80">
        <f>'Blind Scoring Sheet'!A573</f>
        <v/>
      </c>
      <c r="B573" s="80">
        <f>MID(INDEX('Anonymization Key'!$B$4:$B$1003,MATCH(A573,'Anonymization Key'!$A$4:$A$1003,0)),3,2)</f>
        <v/>
      </c>
      <c r="C573" s="81">
        <f>IF(ISNUMBER('Blind Scoring Sheet'!B573),'Blind Scoring Sheet'!B573,VALUE(TRIM(LEFT('Blind Scoring Sheet'!B573,FIND("|",'Blind Scoring Sheet'!B573)-1))))</f>
        <v/>
      </c>
      <c r="D573" s="81">
        <f>IF(ISNUMBER('Blind Scoring Sheet'!D573),'Blind Scoring Sheet'!D573,VALUE(TRIM(LEFT('Blind Scoring Sheet'!D573,FIND("|",'Blind Scoring Sheet'!D573)-1))))</f>
        <v/>
      </c>
      <c r="E573" s="81">
        <f>IF(ISNUMBER('Blind Scoring Sheet'!F573),'Blind Scoring Sheet'!F573,VALUE(TRIM(LEFT('Blind Scoring Sheet'!F573,FIND("|",'Blind Scoring Sheet'!F573)-1))))</f>
        <v/>
      </c>
      <c r="F573" s="81">
        <f>IF(ISNUMBER('Blind Scoring Sheet'!H573),'Blind Scoring Sheet'!H573,VALUE(TRIM(LEFT('Blind Scoring Sheet'!H573,FIND("|",'Blind Scoring Sheet'!H573)-1))))</f>
        <v/>
      </c>
      <c r="G573" s="81">
        <f>IF(ISNUMBER('Blind Scoring Sheet'!J573),'Blind Scoring Sheet'!J573,VALUE(TRIM(LEFT('Blind Scoring Sheet'!J573,FIND("|",'Blind Scoring Sheet'!J573)-1))))</f>
        <v/>
      </c>
      <c r="H573" s="80">
        <f>IF(ISNUMBER(SEARCH("|",'Blind Scoring Sheet'!K573)),TRIM(LEFT('Blind Scoring Sheet'!K573,FIND("|",'Blind Scoring Sheet'!K573)-1)),TRIM('Blind Scoring Sheet'!K573))</f>
        <v/>
      </c>
    </row>
    <row r="574" ht="15" customHeight="1" s="38">
      <c r="A574" s="80">
        <f>'Blind Scoring Sheet'!A574</f>
        <v/>
      </c>
      <c r="B574" s="80">
        <f>MID(INDEX('Anonymization Key'!$B$4:$B$1003,MATCH(A574,'Anonymization Key'!$A$4:$A$1003,0)),3,2)</f>
        <v/>
      </c>
      <c r="C574" s="81">
        <f>IF(ISNUMBER('Blind Scoring Sheet'!B574),'Blind Scoring Sheet'!B574,VALUE(TRIM(LEFT('Blind Scoring Sheet'!B574,FIND("|",'Blind Scoring Sheet'!B574)-1))))</f>
        <v/>
      </c>
      <c r="D574" s="81">
        <f>IF(ISNUMBER('Blind Scoring Sheet'!D574),'Blind Scoring Sheet'!D574,VALUE(TRIM(LEFT('Blind Scoring Sheet'!D574,FIND("|",'Blind Scoring Sheet'!D574)-1))))</f>
        <v/>
      </c>
      <c r="E574" s="81">
        <f>IF(ISNUMBER('Blind Scoring Sheet'!F574),'Blind Scoring Sheet'!F574,VALUE(TRIM(LEFT('Blind Scoring Sheet'!F574,FIND("|",'Blind Scoring Sheet'!F574)-1))))</f>
        <v/>
      </c>
      <c r="F574" s="81">
        <f>IF(ISNUMBER('Blind Scoring Sheet'!H574),'Blind Scoring Sheet'!H574,VALUE(TRIM(LEFT('Blind Scoring Sheet'!H574,FIND("|",'Blind Scoring Sheet'!H574)-1))))</f>
        <v/>
      </c>
      <c r="G574" s="81">
        <f>IF(ISNUMBER('Blind Scoring Sheet'!J574),'Blind Scoring Sheet'!J574,VALUE(TRIM(LEFT('Blind Scoring Sheet'!J574,FIND("|",'Blind Scoring Sheet'!J574)-1))))</f>
        <v/>
      </c>
      <c r="H574" s="80">
        <f>IF(ISNUMBER(SEARCH("|",'Blind Scoring Sheet'!K574)),TRIM(LEFT('Blind Scoring Sheet'!K574,FIND("|",'Blind Scoring Sheet'!K574)-1)),TRIM('Blind Scoring Sheet'!K574))</f>
        <v/>
      </c>
    </row>
    <row r="575" ht="15" customHeight="1" s="38">
      <c r="A575" s="80">
        <f>'Blind Scoring Sheet'!A575</f>
        <v/>
      </c>
      <c r="B575" s="80">
        <f>MID(INDEX('Anonymization Key'!$B$4:$B$1003,MATCH(A575,'Anonymization Key'!$A$4:$A$1003,0)),3,2)</f>
        <v/>
      </c>
      <c r="C575" s="81">
        <f>IF(ISNUMBER('Blind Scoring Sheet'!B575),'Blind Scoring Sheet'!B575,VALUE(TRIM(LEFT('Blind Scoring Sheet'!B575,FIND("|",'Blind Scoring Sheet'!B575)-1))))</f>
        <v/>
      </c>
      <c r="D575" s="81">
        <f>IF(ISNUMBER('Blind Scoring Sheet'!D575),'Blind Scoring Sheet'!D575,VALUE(TRIM(LEFT('Blind Scoring Sheet'!D575,FIND("|",'Blind Scoring Sheet'!D575)-1))))</f>
        <v/>
      </c>
      <c r="E575" s="81">
        <f>IF(ISNUMBER('Blind Scoring Sheet'!F575),'Blind Scoring Sheet'!F575,VALUE(TRIM(LEFT('Blind Scoring Sheet'!F575,FIND("|",'Blind Scoring Sheet'!F575)-1))))</f>
        <v/>
      </c>
      <c r="F575" s="81">
        <f>IF(ISNUMBER('Blind Scoring Sheet'!H575),'Blind Scoring Sheet'!H575,VALUE(TRIM(LEFT('Blind Scoring Sheet'!H575,FIND("|",'Blind Scoring Sheet'!H575)-1))))</f>
        <v/>
      </c>
      <c r="G575" s="81">
        <f>IF(ISNUMBER('Blind Scoring Sheet'!J575),'Blind Scoring Sheet'!J575,VALUE(TRIM(LEFT('Blind Scoring Sheet'!J575,FIND("|",'Blind Scoring Sheet'!J575)-1))))</f>
        <v/>
      </c>
      <c r="H575" s="80">
        <f>IF(ISNUMBER(SEARCH("|",'Blind Scoring Sheet'!K575)),TRIM(LEFT('Blind Scoring Sheet'!K575,FIND("|",'Blind Scoring Sheet'!K575)-1)),TRIM('Blind Scoring Sheet'!K575))</f>
        <v/>
      </c>
    </row>
    <row r="576" ht="15" customHeight="1" s="38">
      <c r="A576" s="80">
        <f>'Blind Scoring Sheet'!A576</f>
        <v/>
      </c>
      <c r="B576" s="80">
        <f>MID(INDEX('Anonymization Key'!$B$4:$B$1003,MATCH(A576,'Anonymization Key'!$A$4:$A$1003,0)),3,2)</f>
        <v/>
      </c>
      <c r="C576" s="81">
        <f>IF(ISNUMBER('Blind Scoring Sheet'!B576),'Blind Scoring Sheet'!B576,VALUE(TRIM(LEFT('Blind Scoring Sheet'!B576,FIND("|",'Blind Scoring Sheet'!B576)-1))))</f>
        <v/>
      </c>
      <c r="D576" s="81">
        <f>IF(ISNUMBER('Blind Scoring Sheet'!D576),'Blind Scoring Sheet'!D576,VALUE(TRIM(LEFT('Blind Scoring Sheet'!D576,FIND("|",'Blind Scoring Sheet'!D576)-1))))</f>
        <v/>
      </c>
      <c r="E576" s="81">
        <f>IF(ISNUMBER('Blind Scoring Sheet'!F576),'Blind Scoring Sheet'!F576,VALUE(TRIM(LEFT('Blind Scoring Sheet'!F576,FIND("|",'Blind Scoring Sheet'!F576)-1))))</f>
        <v/>
      </c>
      <c r="F576" s="81">
        <f>IF(ISNUMBER('Blind Scoring Sheet'!H576),'Blind Scoring Sheet'!H576,VALUE(TRIM(LEFT('Blind Scoring Sheet'!H576,FIND("|",'Blind Scoring Sheet'!H576)-1))))</f>
        <v/>
      </c>
      <c r="G576" s="81">
        <f>IF(ISNUMBER('Blind Scoring Sheet'!J576),'Blind Scoring Sheet'!J576,VALUE(TRIM(LEFT('Blind Scoring Sheet'!J576,FIND("|",'Blind Scoring Sheet'!J576)-1))))</f>
        <v/>
      </c>
      <c r="H576" s="80">
        <f>IF(ISNUMBER(SEARCH("|",'Blind Scoring Sheet'!K576)),TRIM(LEFT('Blind Scoring Sheet'!K576,FIND("|",'Blind Scoring Sheet'!K576)-1)),TRIM('Blind Scoring Sheet'!K576))</f>
        <v/>
      </c>
    </row>
    <row r="577" ht="15" customHeight="1" s="38">
      <c r="A577" s="80">
        <f>'Blind Scoring Sheet'!A577</f>
        <v/>
      </c>
      <c r="B577" s="80">
        <f>MID(INDEX('Anonymization Key'!$B$4:$B$1003,MATCH(A577,'Anonymization Key'!$A$4:$A$1003,0)),3,2)</f>
        <v/>
      </c>
      <c r="C577" s="81">
        <f>IF(ISNUMBER('Blind Scoring Sheet'!B577),'Blind Scoring Sheet'!B577,VALUE(TRIM(LEFT('Blind Scoring Sheet'!B577,FIND("|",'Blind Scoring Sheet'!B577)-1))))</f>
        <v/>
      </c>
      <c r="D577" s="81">
        <f>IF(ISNUMBER('Blind Scoring Sheet'!D577),'Blind Scoring Sheet'!D577,VALUE(TRIM(LEFT('Blind Scoring Sheet'!D577,FIND("|",'Blind Scoring Sheet'!D577)-1))))</f>
        <v/>
      </c>
      <c r="E577" s="81">
        <f>IF(ISNUMBER('Blind Scoring Sheet'!F577),'Blind Scoring Sheet'!F577,VALUE(TRIM(LEFT('Blind Scoring Sheet'!F577,FIND("|",'Blind Scoring Sheet'!F577)-1))))</f>
        <v/>
      </c>
      <c r="F577" s="81">
        <f>IF(ISNUMBER('Blind Scoring Sheet'!H577),'Blind Scoring Sheet'!H577,VALUE(TRIM(LEFT('Blind Scoring Sheet'!H577,FIND("|",'Blind Scoring Sheet'!H577)-1))))</f>
        <v/>
      </c>
      <c r="G577" s="81">
        <f>IF(ISNUMBER('Blind Scoring Sheet'!J577),'Blind Scoring Sheet'!J577,VALUE(TRIM(LEFT('Blind Scoring Sheet'!J577,FIND("|",'Blind Scoring Sheet'!J577)-1))))</f>
        <v/>
      </c>
      <c r="H577" s="80">
        <f>IF(ISNUMBER(SEARCH("|",'Blind Scoring Sheet'!K577)),TRIM(LEFT('Blind Scoring Sheet'!K577,FIND("|",'Blind Scoring Sheet'!K577)-1)),TRIM('Blind Scoring Sheet'!K577))</f>
        <v/>
      </c>
    </row>
    <row r="578" ht="15" customHeight="1" s="38">
      <c r="A578" s="80">
        <f>'Blind Scoring Sheet'!A578</f>
        <v/>
      </c>
      <c r="B578" s="80">
        <f>MID(INDEX('Anonymization Key'!$B$4:$B$1003,MATCH(A578,'Anonymization Key'!$A$4:$A$1003,0)),3,2)</f>
        <v/>
      </c>
      <c r="C578" s="81">
        <f>IF(ISNUMBER('Blind Scoring Sheet'!B578),'Blind Scoring Sheet'!B578,VALUE(TRIM(LEFT('Blind Scoring Sheet'!B578,FIND("|",'Blind Scoring Sheet'!B578)-1))))</f>
        <v/>
      </c>
      <c r="D578" s="81">
        <f>IF(ISNUMBER('Blind Scoring Sheet'!D578),'Blind Scoring Sheet'!D578,VALUE(TRIM(LEFT('Blind Scoring Sheet'!D578,FIND("|",'Blind Scoring Sheet'!D578)-1))))</f>
        <v/>
      </c>
      <c r="E578" s="81">
        <f>IF(ISNUMBER('Blind Scoring Sheet'!F578),'Blind Scoring Sheet'!F578,VALUE(TRIM(LEFT('Blind Scoring Sheet'!F578,FIND("|",'Blind Scoring Sheet'!F578)-1))))</f>
        <v/>
      </c>
      <c r="F578" s="81">
        <f>IF(ISNUMBER('Blind Scoring Sheet'!H578),'Blind Scoring Sheet'!H578,VALUE(TRIM(LEFT('Blind Scoring Sheet'!H578,FIND("|",'Blind Scoring Sheet'!H578)-1))))</f>
        <v/>
      </c>
      <c r="G578" s="81">
        <f>IF(ISNUMBER('Blind Scoring Sheet'!J578),'Blind Scoring Sheet'!J578,VALUE(TRIM(LEFT('Blind Scoring Sheet'!J578,FIND("|",'Blind Scoring Sheet'!J578)-1))))</f>
        <v/>
      </c>
      <c r="H578" s="80">
        <f>IF(ISNUMBER(SEARCH("|",'Blind Scoring Sheet'!K578)),TRIM(LEFT('Blind Scoring Sheet'!K578,FIND("|",'Blind Scoring Sheet'!K578)-1)),TRIM('Blind Scoring Sheet'!K578))</f>
        <v/>
      </c>
    </row>
    <row r="579" ht="15" customHeight="1" s="38">
      <c r="A579" s="80">
        <f>'Blind Scoring Sheet'!A579</f>
        <v/>
      </c>
      <c r="B579" s="80">
        <f>MID(INDEX('Anonymization Key'!$B$4:$B$1003,MATCH(A579,'Anonymization Key'!$A$4:$A$1003,0)),3,2)</f>
        <v/>
      </c>
      <c r="C579" s="81">
        <f>IF(ISNUMBER('Blind Scoring Sheet'!B579),'Blind Scoring Sheet'!B579,VALUE(TRIM(LEFT('Blind Scoring Sheet'!B579,FIND("|",'Blind Scoring Sheet'!B579)-1))))</f>
        <v/>
      </c>
      <c r="D579" s="81">
        <f>IF(ISNUMBER('Blind Scoring Sheet'!D579),'Blind Scoring Sheet'!D579,VALUE(TRIM(LEFT('Blind Scoring Sheet'!D579,FIND("|",'Blind Scoring Sheet'!D579)-1))))</f>
        <v/>
      </c>
      <c r="E579" s="81">
        <f>IF(ISNUMBER('Blind Scoring Sheet'!F579),'Blind Scoring Sheet'!F579,VALUE(TRIM(LEFT('Blind Scoring Sheet'!F579,FIND("|",'Blind Scoring Sheet'!F579)-1))))</f>
        <v/>
      </c>
      <c r="F579" s="81">
        <f>IF(ISNUMBER('Blind Scoring Sheet'!H579),'Blind Scoring Sheet'!H579,VALUE(TRIM(LEFT('Blind Scoring Sheet'!H579,FIND("|",'Blind Scoring Sheet'!H579)-1))))</f>
        <v/>
      </c>
      <c r="G579" s="81">
        <f>IF(ISNUMBER('Blind Scoring Sheet'!J579),'Blind Scoring Sheet'!J579,VALUE(TRIM(LEFT('Blind Scoring Sheet'!J579,FIND("|",'Blind Scoring Sheet'!J579)-1))))</f>
        <v/>
      </c>
      <c r="H579" s="80">
        <f>IF(ISNUMBER(SEARCH("|",'Blind Scoring Sheet'!K579)),TRIM(LEFT('Blind Scoring Sheet'!K579,FIND("|",'Blind Scoring Sheet'!K579)-1)),TRIM('Blind Scoring Sheet'!K579))</f>
        <v/>
      </c>
    </row>
    <row r="580" ht="15" customHeight="1" s="38">
      <c r="A580" s="80">
        <f>'Blind Scoring Sheet'!A580</f>
        <v/>
      </c>
      <c r="B580" s="80">
        <f>MID(INDEX('Anonymization Key'!$B$4:$B$1003,MATCH(A580,'Anonymization Key'!$A$4:$A$1003,0)),3,2)</f>
        <v/>
      </c>
      <c r="C580" s="81">
        <f>IF(ISNUMBER('Blind Scoring Sheet'!B580),'Blind Scoring Sheet'!B580,VALUE(TRIM(LEFT('Blind Scoring Sheet'!B580,FIND("|",'Blind Scoring Sheet'!B580)-1))))</f>
        <v/>
      </c>
      <c r="D580" s="81">
        <f>IF(ISNUMBER('Blind Scoring Sheet'!D580),'Blind Scoring Sheet'!D580,VALUE(TRIM(LEFT('Blind Scoring Sheet'!D580,FIND("|",'Blind Scoring Sheet'!D580)-1))))</f>
        <v/>
      </c>
      <c r="E580" s="81">
        <f>IF(ISNUMBER('Blind Scoring Sheet'!F580),'Blind Scoring Sheet'!F580,VALUE(TRIM(LEFT('Blind Scoring Sheet'!F580,FIND("|",'Blind Scoring Sheet'!F580)-1))))</f>
        <v/>
      </c>
      <c r="F580" s="81">
        <f>IF(ISNUMBER('Blind Scoring Sheet'!H580),'Blind Scoring Sheet'!H580,VALUE(TRIM(LEFT('Blind Scoring Sheet'!H580,FIND("|",'Blind Scoring Sheet'!H580)-1))))</f>
        <v/>
      </c>
      <c r="G580" s="81">
        <f>IF(ISNUMBER('Blind Scoring Sheet'!J580),'Blind Scoring Sheet'!J580,VALUE(TRIM(LEFT('Blind Scoring Sheet'!J580,FIND("|",'Blind Scoring Sheet'!J580)-1))))</f>
        <v/>
      </c>
      <c r="H580" s="80">
        <f>IF(ISNUMBER(SEARCH("|",'Blind Scoring Sheet'!K580)),TRIM(LEFT('Blind Scoring Sheet'!K580,FIND("|",'Blind Scoring Sheet'!K580)-1)),TRIM('Blind Scoring Sheet'!K580))</f>
        <v/>
      </c>
    </row>
    <row r="581" ht="15" customHeight="1" s="38">
      <c r="A581" s="80">
        <f>'Blind Scoring Sheet'!A581</f>
        <v/>
      </c>
      <c r="B581" s="80">
        <f>MID(INDEX('Anonymization Key'!$B$4:$B$1003,MATCH(A581,'Anonymization Key'!$A$4:$A$1003,0)),3,2)</f>
        <v/>
      </c>
      <c r="C581" s="81">
        <f>IF(ISNUMBER('Blind Scoring Sheet'!B581),'Blind Scoring Sheet'!B581,VALUE(TRIM(LEFT('Blind Scoring Sheet'!B581,FIND("|",'Blind Scoring Sheet'!B581)-1))))</f>
        <v/>
      </c>
      <c r="D581" s="81">
        <f>IF(ISNUMBER('Blind Scoring Sheet'!D581),'Blind Scoring Sheet'!D581,VALUE(TRIM(LEFT('Blind Scoring Sheet'!D581,FIND("|",'Blind Scoring Sheet'!D581)-1))))</f>
        <v/>
      </c>
      <c r="E581" s="81">
        <f>IF(ISNUMBER('Blind Scoring Sheet'!F581),'Blind Scoring Sheet'!F581,VALUE(TRIM(LEFT('Blind Scoring Sheet'!F581,FIND("|",'Blind Scoring Sheet'!F581)-1))))</f>
        <v/>
      </c>
      <c r="F581" s="81">
        <f>IF(ISNUMBER('Blind Scoring Sheet'!H581),'Blind Scoring Sheet'!H581,VALUE(TRIM(LEFT('Blind Scoring Sheet'!H581,FIND("|",'Blind Scoring Sheet'!H581)-1))))</f>
        <v/>
      </c>
      <c r="G581" s="81">
        <f>IF(ISNUMBER('Blind Scoring Sheet'!J581),'Blind Scoring Sheet'!J581,VALUE(TRIM(LEFT('Blind Scoring Sheet'!J581,FIND("|",'Blind Scoring Sheet'!J581)-1))))</f>
        <v/>
      </c>
      <c r="H581" s="80">
        <f>IF(ISNUMBER(SEARCH("|",'Blind Scoring Sheet'!K581)),TRIM(LEFT('Blind Scoring Sheet'!K581,FIND("|",'Blind Scoring Sheet'!K581)-1)),TRIM('Blind Scoring Sheet'!K581))</f>
        <v/>
      </c>
    </row>
    <row r="582" ht="15" customHeight="1" s="38">
      <c r="A582" s="80">
        <f>'Blind Scoring Sheet'!A582</f>
        <v/>
      </c>
      <c r="B582" s="80">
        <f>MID(INDEX('Anonymization Key'!$B$4:$B$1003,MATCH(A582,'Anonymization Key'!$A$4:$A$1003,0)),3,2)</f>
        <v/>
      </c>
      <c r="C582" s="81">
        <f>IF(ISNUMBER('Blind Scoring Sheet'!B582),'Blind Scoring Sheet'!B582,VALUE(TRIM(LEFT('Blind Scoring Sheet'!B582,FIND("|",'Blind Scoring Sheet'!B582)-1))))</f>
        <v/>
      </c>
      <c r="D582" s="81">
        <f>IF(ISNUMBER('Blind Scoring Sheet'!D582),'Blind Scoring Sheet'!D582,VALUE(TRIM(LEFT('Blind Scoring Sheet'!D582,FIND("|",'Blind Scoring Sheet'!D582)-1))))</f>
        <v/>
      </c>
      <c r="E582" s="81">
        <f>IF(ISNUMBER('Blind Scoring Sheet'!F582),'Blind Scoring Sheet'!F582,VALUE(TRIM(LEFT('Blind Scoring Sheet'!F582,FIND("|",'Blind Scoring Sheet'!F582)-1))))</f>
        <v/>
      </c>
      <c r="F582" s="81">
        <f>IF(ISNUMBER('Blind Scoring Sheet'!H582),'Blind Scoring Sheet'!H582,VALUE(TRIM(LEFT('Blind Scoring Sheet'!H582,FIND("|",'Blind Scoring Sheet'!H582)-1))))</f>
        <v/>
      </c>
      <c r="G582" s="81">
        <f>IF(ISNUMBER('Blind Scoring Sheet'!J582),'Blind Scoring Sheet'!J582,VALUE(TRIM(LEFT('Blind Scoring Sheet'!J582,FIND("|",'Blind Scoring Sheet'!J582)-1))))</f>
        <v/>
      </c>
      <c r="H582" s="80">
        <f>IF(ISNUMBER(SEARCH("|",'Blind Scoring Sheet'!K582)),TRIM(LEFT('Blind Scoring Sheet'!K582,FIND("|",'Blind Scoring Sheet'!K582)-1)),TRIM('Blind Scoring Sheet'!K582))</f>
        <v/>
      </c>
    </row>
    <row r="583" ht="15" customHeight="1" s="38">
      <c r="A583" s="80">
        <f>'Blind Scoring Sheet'!A583</f>
        <v/>
      </c>
      <c r="B583" s="80">
        <f>MID(INDEX('Anonymization Key'!$B$4:$B$1003,MATCH(A583,'Anonymization Key'!$A$4:$A$1003,0)),3,2)</f>
        <v/>
      </c>
      <c r="C583" s="81">
        <f>IF(ISNUMBER('Blind Scoring Sheet'!B583),'Blind Scoring Sheet'!B583,VALUE(TRIM(LEFT('Blind Scoring Sheet'!B583,FIND("|",'Blind Scoring Sheet'!B583)-1))))</f>
        <v/>
      </c>
      <c r="D583" s="81">
        <f>IF(ISNUMBER('Blind Scoring Sheet'!D583),'Blind Scoring Sheet'!D583,VALUE(TRIM(LEFT('Blind Scoring Sheet'!D583,FIND("|",'Blind Scoring Sheet'!D583)-1))))</f>
        <v/>
      </c>
      <c r="E583" s="81">
        <f>IF(ISNUMBER('Blind Scoring Sheet'!F583),'Blind Scoring Sheet'!F583,VALUE(TRIM(LEFT('Blind Scoring Sheet'!F583,FIND("|",'Blind Scoring Sheet'!F583)-1))))</f>
        <v/>
      </c>
      <c r="F583" s="81">
        <f>IF(ISNUMBER('Blind Scoring Sheet'!H583),'Blind Scoring Sheet'!H583,VALUE(TRIM(LEFT('Blind Scoring Sheet'!H583,FIND("|",'Blind Scoring Sheet'!H583)-1))))</f>
        <v/>
      </c>
      <c r="G583" s="81">
        <f>IF(ISNUMBER('Blind Scoring Sheet'!J583),'Blind Scoring Sheet'!J583,VALUE(TRIM(LEFT('Blind Scoring Sheet'!J583,FIND("|",'Blind Scoring Sheet'!J583)-1))))</f>
        <v/>
      </c>
      <c r="H583" s="80">
        <f>IF(ISNUMBER(SEARCH("|",'Blind Scoring Sheet'!K583)),TRIM(LEFT('Blind Scoring Sheet'!K583,FIND("|",'Blind Scoring Sheet'!K583)-1)),TRIM('Blind Scoring Sheet'!K583))</f>
        <v/>
      </c>
    </row>
    <row r="584" ht="15" customHeight="1" s="38">
      <c r="A584" s="80">
        <f>'Blind Scoring Sheet'!A584</f>
        <v/>
      </c>
      <c r="B584" s="80">
        <f>MID(INDEX('Anonymization Key'!$B$4:$B$1003,MATCH(A584,'Anonymization Key'!$A$4:$A$1003,0)),3,2)</f>
        <v/>
      </c>
      <c r="C584" s="81">
        <f>IF(ISNUMBER('Blind Scoring Sheet'!B584),'Blind Scoring Sheet'!B584,VALUE(TRIM(LEFT('Blind Scoring Sheet'!B584,FIND("|",'Blind Scoring Sheet'!B584)-1))))</f>
        <v/>
      </c>
      <c r="D584" s="81">
        <f>IF(ISNUMBER('Blind Scoring Sheet'!D584),'Blind Scoring Sheet'!D584,VALUE(TRIM(LEFT('Blind Scoring Sheet'!D584,FIND("|",'Blind Scoring Sheet'!D584)-1))))</f>
        <v/>
      </c>
      <c r="E584" s="81">
        <f>IF(ISNUMBER('Blind Scoring Sheet'!F584),'Blind Scoring Sheet'!F584,VALUE(TRIM(LEFT('Blind Scoring Sheet'!F584,FIND("|",'Blind Scoring Sheet'!F584)-1))))</f>
        <v/>
      </c>
      <c r="F584" s="81">
        <f>IF(ISNUMBER('Blind Scoring Sheet'!H584),'Blind Scoring Sheet'!H584,VALUE(TRIM(LEFT('Blind Scoring Sheet'!H584,FIND("|",'Blind Scoring Sheet'!H584)-1))))</f>
        <v/>
      </c>
      <c r="G584" s="81">
        <f>IF(ISNUMBER('Blind Scoring Sheet'!J584),'Blind Scoring Sheet'!J584,VALUE(TRIM(LEFT('Blind Scoring Sheet'!J584,FIND("|",'Blind Scoring Sheet'!J584)-1))))</f>
        <v/>
      </c>
      <c r="H584" s="80">
        <f>IF(ISNUMBER(SEARCH("|",'Blind Scoring Sheet'!K584)),TRIM(LEFT('Blind Scoring Sheet'!K584,FIND("|",'Blind Scoring Sheet'!K584)-1)),TRIM('Blind Scoring Sheet'!K584))</f>
        <v/>
      </c>
    </row>
    <row r="585" ht="15" customHeight="1" s="38">
      <c r="A585" s="80">
        <f>'Blind Scoring Sheet'!A585</f>
        <v/>
      </c>
      <c r="B585" s="80">
        <f>MID(INDEX('Anonymization Key'!$B$4:$B$1003,MATCH(A585,'Anonymization Key'!$A$4:$A$1003,0)),3,2)</f>
        <v/>
      </c>
      <c r="C585" s="81">
        <f>IF(ISNUMBER('Blind Scoring Sheet'!B585),'Blind Scoring Sheet'!B585,VALUE(TRIM(LEFT('Blind Scoring Sheet'!B585,FIND("|",'Blind Scoring Sheet'!B585)-1))))</f>
        <v/>
      </c>
      <c r="D585" s="81">
        <f>IF(ISNUMBER('Blind Scoring Sheet'!D585),'Blind Scoring Sheet'!D585,VALUE(TRIM(LEFT('Blind Scoring Sheet'!D585,FIND("|",'Blind Scoring Sheet'!D585)-1))))</f>
        <v/>
      </c>
      <c r="E585" s="81">
        <f>IF(ISNUMBER('Blind Scoring Sheet'!F585),'Blind Scoring Sheet'!F585,VALUE(TRIM(LEFT('Blind Scoring Sheet'!F585,FIND("|",'Blind Scoring Sheet'!F585)-1))))</f>
        <v/>
      </c>
      <c r="F585" s="81">
        <f>IF(ISNUMBER('Blind Scoring Sheet'!H585),'Blind Scoring Sheet'!H585,VALUE(TRIM(LEFT('Blind Scoring Sheet'!H585,FIND("|",'Blind Scoring Sheet'!H585)-1))))</f>
        <v/>
      </c>
      <c r="G585" s="81">
        <f>IF(ISNUMBER('Blind Scoring Sheet'!J585),'Blind Scoring Sheet'!J585,VALUE(TRIM(LEFT('Blind Scoring Sheet'!J585,FIND("|",'Blind Scoring Sheet'!J585)-1))))</f>
        <v/>
      </c>
      <c r="H585" s="80">
        <f>IF(ISNUMBER(SEARCH("|",'Blind Scoring Sheet'!K585)),TRIM(LEFT('Blind Scoring Sheet'!K585,FIND("|",'Blind Scoring Sheet'!K585)-1)),TRIM('Blind Scoring Sheet'!K585))</f>
        <v/>
      </c>
    </row>
    <row r="586" ht="15" customHeight="1" s="38">
      <c r="A586" s="80">
        <f>'Blind Scoring Sheet'!A586</f>
        <v/>
      </c>
      <c r="B586" s="80">
        <f>MID(INDEX('Anonymization Key'!$B$4:$B$1003,MATCH(A586,'Anonymization Key'!$A$4:$A$1003,0)),3,2)</f>
        <v/>
      </c>
      <c r="C586" s="81">
        <f>IF(ISNUMBER('Blind Scoring Sheet'!B586),'Blind Scoring Sheet'!B586,VALUE(TRIM(LEFT('Blind Scoring Sheet'!B586,FIND("|",'Blind Scoring Sheet'!B586)-1))))</f>
        <v/>
      </c>
      <c r="D586" s="81">
        <f>IF(ISNUMBER('Blind Scoring Sheet'!D586),'Blind Scoring Sheet'!D586,VALUE(TRIM(LEFT('Blind Scoring Sheet'!D586,FIND("|",'Blind Scoring Sheet'!D586)-1))))</f>
        <v/>
      </c>
      <c r="E586" s="81">
        <f>IF(ISNUMBER('Blind Scoring Sheet'!F586),'Blind Scoring Sheet'!F586,VALUE(TRIM(LEFT('Blind Scoring Sheet'!F586,FIND("|",'Blind Scoring Sheet'!F586)-1))))</f>
        <v/>
      </c>
      <c r="F586" s="81">
        <f>IF(ISNUMBER('Blind Scoring Sheet'!H586),'Blind Scoring Sheet'!H586,VALUE(TRIM(LEFT('Blind Scoring Sheet'!H586,FIND("|",'Blind Scoring Sheet'!H586)-1))))</f>
        <v/>
      </c>
      <c r="G586" s="81">
        <f>IF(ISNUMBER('Blind Scoring Sheet'!J586),'Blind Scoring Sheet'!J586,VALUE(TRIM(LEFT('Blind Scoring Sheet'!J586,FIND("|",'Blind Scoring Sheet'!J586)-1))))</f>
        <v/>
      </c>
      <c r="H586" s="80">
        <f>IF(ISNUMBER(SEARCH("|",'Blind Scoring Sheet'!K586)),TRIM(LEFT('Blind Scoring Sheet'!K586,FIND("|",'Blind Scoring Sheet'!K586)-1)),TRIM('Blind Scoring Sheet'!K586))</f>
        <v/>
      </c>
    </row>
    <row r="587" ht="15" customHeight="1" s="38">
      <c r="A587" s="80">
        <f>'Blind Scoring Sheet'!A587</f>
        <v/>
      </c>
      <c r="B587" s="80">
        <f>MID(INDEX('Anonymization Key'!$B$4:$B$1003,MATCH(A587,'Anonymization Key'!$A$4:$A$1003,0)),3,2)</f>
        <v/>
      </c>
      <c r="C587" s="81">
        <f>IF(ISNUMBER('Blind Scoring Sheet'!B587),'Blind Scoring Sheet'!B587,VALUE(TRIM(LEFT('Blind Scoring Sheet'!B587,FIND("|",'Blind Scoring Sheet'!B587)-1))))</f>
        <v/>
      </c>
      <c r="D587" s="81">
        <f>IF(ISNUMBER('Blind Scoring Sheet'!D587),'Blind Scoring Sheet'!D587,VALUE(TRIM(LEFT('Blind Scoring Sheet'!D587,FIND("|",'Blind Scoring Sheet'!D587)-1))))</f>
        <v/>
      </c>
      <c r="E587" s="81">
        <f>IF(ISNUMBER('Blind Scoring Sheet'!F587),'Blind Scoring Sheet'!F587,VALUE(TRIM(LEFT('Blind Scoring Sheet'!F587,FIND("|",'Blind Scoring Sheet'!F587)-1))))</f>
        <v/>
      </c>
      <c r="F587" s="81">
        <f>IF(ISNUMBER('Blind Scoring Sheet'!H587),'Blind Scoring Sheet'!H587,VALUE(TRIM(LEFT('Blind Scoring Sheet'!H587,FIND("|",'Blind Scoring Sheet'!H587)-1))))</f>
        <v/>
      </c>
      <c r="G587" s="81">
        <f>IF(ISNUMBER('Blind Scoring Sheet'!J587),'Blind Scoring Sheet'!J587,VALUE(TRIM(LEFT('Blind Scoring Sheet'!J587,FIND("|",'Blind Scoring Sheet'!J587)-1))))</f>
        <v/>
      </c>
      <c r="H587" s="80">
        <f>IF(ISNUMBER(SEARCH("|",'Blind Scoring Sheet'!K587)),TRIM(LEFT('Blind Scoring Sheet'!K587,FIND("|",'Blind Scoring Sheet'!K587)-1)),TRIM('Blind Scoring Sheet'!K587))</f>
        <v/>
      </c>
    </row>
    <row r="588" ht="15" customHeight="1" s="38">
      <c r="A588" s="80">
        <f>'Blind Scoring Sheet'!A588</f>
        <v/>
      </c>
      <c r="B588" s="80">
        <f>MID(INDEX('Anonymization Key'!$B$4:$B$1003,MATCH(A588,'Anonymization Key'!$A$4:$A$1003,0)),3,2)</f>
        <v/>
      </c>
      <c r="C588" s="81">
        <f>IF(ISNUMBER('Blind Scoring Sheet'!B588),'Blind Scoring Sheet'!B588,VALUE(TRIM(LEFT('Blind Scoring Sheet'!B588,FIND("|",'Blind Scoring Sheet'!B588)-1))))</f>
        <v/>
      </c>
      <c r="D588" s="81">
        <f>IF(ISNUMBER('Blind Scoring Sheet'!D588),'Blind Scoring Sheet'!D588,VALUE(TRIM(LEFT('Blind Scoring Sheet'!D588,FIND("|",'Blind Scoring Sheet'!D588)-1))))</f>
        <v/>
      </c>
      <c r="E588" s="81">
        <f>IF(ISNUMBER('Blind Scoring Sheet'!F588),'Blind Scoring Sheet'!F588,VALUE(TRIM(LEFT('Blind Scoring Sheet'!F588,FIND("|",'Blind Scoring Sheet'!F588)-1))))</f>
        <v/>
      </c>
      <c r="F588" s="81">
        <f>IF(ISNUMBER('Blind Scoring Sheet'!H588),'Blind Scoring Sheet'!H588,VALUE(TRIM(LEFT('Blind Scoring Sheet'!H588,FIND("|",'Blind Scoring Sheet'!H588)-1))))</f>
        <v/>
      </c>
      <c r="G588" s="81">
        <f>IF(ISNUMBER('Blind Scoring Sheet'!J588),'Blind Scoring Sheet'!J588,VALUE(TRIM(LEFT('Blind Scoring Sheet'!J588,FIND("|",'Blind Scoring Sheet'!J588)-1))))</f>
        <v/>
      </c>
      <c r="H588" s="80">
        <f>IF(ISNUMBER(SEARCH("|",'Blind Scoring Sheet'!K588)),TRIM(LEFT('Blind Scoring Sheet'!K588,FIND("|",'Blind Scoring Sheet'!K588)-1)),TRIM('Blind Scoring Sheet'!K588))</f>
        <v/>
      </c>
    </row>
    <row r="589" ht="15" customHeight="1" s="38">
      <c r="A589" s="80">
        <f>'Blind Scoring Sheet'!A589</f>
        <v/>
      </c>
      <c r="B589" s="80">
        <f>MID(INDEX('Anonymization Key'!$B$4:$B$1003,MATCH(A589,'Anonymization Key'!$A$4:$A$1003,0)),3,2)</f>
        <v/>
      </c>
      <c r="C589" s="81">
        <f>IF(ISNUMBER('Blind Scoring Sheet'!B589),'Blind Scoring Sheet'!B589,VALUE(TRIM(LEFT('Blind Scoring Sheet'!B589,FIND("|",'Blind Scoring Sheet'!B589)-1))))</f>
        <v/>
      </c>
      <c r="D589" s="81">
        <f>IF(ISNUMBER('Blind Scoring Sheet'!D589),'Blind Scoring Sheet'!D589,VALUE(TRIM(LEFT('Blind Scoring Sheet'!D589,FIND("|",'Blind Scoring Sheet'!D589)-1))))</f>
        <v/>
      </c>
      <c r="E589" s="81">
        <f>IF(ISNUMBER('Blind Scoring Sheet'!F589),'Blind Scoring Sheet'!F589,VALUE(TRIM(LEFT('Blind Scoring Sheet'!F589,FIND("|",'Blind Scoring Sheet'!F589)-1))))</f>
        <v/>
      </c>
      <c r="F589" s="81">
        <f>IF(ISNUMBER('Blind Scoring Sheet'!H589),'Blind Scoring Sheet'!H589,VALUE(TRIM(LEFT('Blind Scoring Sheet'!H589,FIND("|",'Blind Scoring Sheet'!H589)-1))))</f>
        <v/>
      </c>
      <c r="G589" s="81">
        <f>IF(ISNUMBER('Blind Scoring Sheet'!J589),'Blind Scoring Sheet'!J589,VALUE(TRIM(LEFT('Blind Scoring Sheet'!J589,FIND("|",'Blind Scoring Sheet'!J589)-1))))</f>
        <v/>
      </c>
      <c r="H589" s="80">
        <f>IF(ISNUMBER(SEARCH("|",'Blind Scoring Sheet'!K589)),TRIM(LEFT('Blind Scoring Sheet'!K589,FIND("|",'Blind Scoring Sheet'!K589)-1)),TRIM('Blind Scoring Sheet'!K589))</f>
        <v/>
      </c>
    </row>
    <row r="590" ht="15" customHeight="1" s="38">
      <c r="A590" s="80">
        <f>'Blind Scoring Sheet'!A590</f>
        <v/>
      </c>
      <c r="B590" s="80">
        <f>MID(INDEX('Anonymization Key'!$B$4:$B$1003,MATCH(A590,'Anonymization Key'!$A$4:$A$1003,0)),3,2)</f>
        <v/>
      </c>
      <c r="C590" s="81">
        <f>IF(ISNUMBER('Blind Scoring Sheet'!B590),'Blind Scoring Sheet'!B590,VALUE(TRIM(LEFT('Blind Scoring Sheet'!B590,FIND("|",'Blind Scoring Sheet'!B590)-1))))</f>
        <v/>
      </c>
      <c r="D590" s="81">
        <f>IF(ISNUMBER('Blind Scoring Sheet'!D590),'Blind Scoring Sheet'!D590,VALUE(TRIM(LEFT('Blind Scoring Sheet'!D590,FIND("|",'Blind Scoring Sheet'!D590)-1))))</f>
        <v/>
      </c>
      <c r="E590" s="81">
        <f>IF(ISNUMBER('Blind Scoring Sheet'!F590),'Blind Scoring Sheet'!F590,VALUE(TRIM(LEFT('Blind Scoring Sheet'!F590,FIND("|",'Blind Scoring Sheet'!F590)-1))))</f>
        <v/>
      </c>
      <c r="F590" s="81">
        <f>IF(ISNUMBER('Blind Scoring Sheet'!H590),'Blind Scoring Sheet'!H590,VALUE(TRIM(LEFT('Blind Scoring Sheet'!H590,FIND("|",'Blind Scoring Sheet'!H590)-1))))</f>
        <v/>
      </c>
      <c r="G590" s="81">
        <f>IF(ISNUMBER('Blind Scoring Sheet'!J590),'Blind Scoring Sheet'!J590,VALUE(TRIM(LEFT('Blind Scoring Sheet'!J590,FIND("|",'Blind Scoring Sheet'!J590)-1))))</f>
        <v/>
      </c>
      <c r="H590" s="80">
        <f>IF(ISNUMBER(SEARCH("|",'Blind Scoring Sheet'!K590)),TRIM(LEFT('Blind Scoring Sheet'!K590,FIND("|",'Blind Scoring Sheet'!K590)-1)),TRIM('Blind Scoring Sheet'!K590))</f>
        <v/>
      </c>
    </row>
    <row r="591" ht="15" customHeight="1" s="38">
      <c r="A591" s="80">
        <f>'Blind Scoring Sheet'!A591</f>
        <v/>
      </c>
      <c r="B591" s="80">
        <f>MID(INDEX('Anonymization Key'!$B$4:$B$1003,MATCH(A591,'Anonymization Key'!$A$4:$A$1003,0)),3,2)</f>
        <v/>
      </c>
      <c r="C591" s="81">
        <f>IF(ISNUMBER('Blind Scoring Sheet'!B591),'Blind Scoring Sheet'!B591,VALUE(TRIM(LEFT('Blind Scoring Sheet'!B591,FIND("|",'Blind Scoring Sheet'!B591)-1))))</f>
        <v/>
      </c>
      <c r="D591" s="81">
        <f>IF(ISNUMBER('Blind Scoring Sheet'!D591),'Blind Scoring Sheet'!D591,VALUE(TRIM(LEFT('Blind Scoring Sheet'!D591,FIND("|",'Blind Scoring Sheet'!D591)-1))))</f>
        <v/>
      </c>
      <c r="E591" s="81">
        <f>IF(ISNUMBER('Blind Scoring Sheet'!F591),'Blind Scoring Sheet'!F591,VALUE(TRIM(LEFT('Blind Scoring Sheet'!F591,FIND("|",'Blind Scoring Sheet'!F591)-1))))</f>
        <v/>
      </c>
      <c r="F591" s="81">
        <f>IF(ISNUMBER('Blind Scoring Sheet'!H591),'Blind Scoring Sheet'!H591,VALUE(TRIM(LEFT('Blind Scoring Sheet'!H591,FIND("|",'Blind Scoring Sheet'!H591)-1))))</f>
        <v/>
      </c>
      <c r="G591" s="81">
        <f>IF(ISNUMBER('Blind Scoring Sheet'!J591),'Blind Scoring Sheet'!J591,VALUE(TRIM(LEFT('Blind Scoring Sheet'!J591,FIND("|",'Blind Scoring Sheet'!J591)-1))))</f>
        <v/>
      </c>
      <c r="H591" s="80">
        <f>IF(ISNUMBER(SEARCH("|",'Blind Scoring Sheet'!K591)),TRIM(LEFT('Blind Scoring Sheet'!K591,FIND("|",'Blind Scoring Sheet'!K591)-1)),TRIM('Blind Scoring Sheet'!K591))</f>
        <v/>
      </c>
    </row>
    <row r="592" ht="15" customHeight="1" s="38">
      <c r="A592" s="80">
        <f>'Blind Scoring Sheet'!A592</f>
        <v/>
      </c>
      <c r="B592" s="80">
        <f>MID(INDEX('Anonymization Key'!$B$4:$B$1003,MATCH(A592,'Anonymization Key'!$A$4:$A$1003,0)),3,2)</f>
        <v/>
      </c>
      <c r="C592" s="81">
        <f>IF(ISNUMBER('Blind Scoring Sheet'!B592),'Blind Scoring Sheet'!B592,VALUE(TRIM(LEFT('Blind Scoring Sheet'!B592,FIND("|",'Blind Scoring Sheet'!B592)-1))))</f>
        <v/>
      </c>
      <c r="D592" s="81">
        <f>IF(ISNUMBER('Blind Scoring Sheet'!D592),'Blind Scoring Sheet'!D592,VALUE(TRIM(LEFT('Blind Scoring Sheet'!D592,FIND("|",'Blind Scoring Sheet'!D592)-1))))</f>
        <v/>
      </c>
      <c r="E592" s="81">
        <f>IF(ISNUMBER('Blind Scoring Sheet'!F592),'Blind Scoring Sheet'!F592,VALUE(TRIM(LEFT('Blind Scoring Sheet'!F592,FIND("|",'Blind Scoring Sheet'!F592)-1))))</f>
        <v/>
      </c>
      <c r="F592" s="81">
        <f>IF(ISNUMBER('Blind Scoring Sheet'!H592),'Blind Scoring Sheet'!H592,VALUE(TRIM(LEFT('Blind Scoring Sheet'!H592,FIND("|",'Blind Scoring Sheet'!H592)-1))))</f>
        <v/>
      </c>
      <c r="G592" s="81">
        <f>IF(ISNUMBER('Blind Scoring Sheet'!J592),'Blind Scoring Sheet'!J592,VALUE(TRIM(LEFT('Blind Scoring Sheet'!J592,FIND("|",'Blind Scoring Sheet'!J592)-1))))</f>
        <v/>
      </c>
      <c r="H592" s="80">
        <f>IF(ISNUMBER(SEARCH("|",'Blind Scoring Sheet'!K592)),TRIM(LEFT('Blind Scoring Sheet'!K592,FIND("|",'Blind Scoring Sheet'!K592)-1)),TRIM('Blind Scoring Sheet'!K592))</f>
        <v/>
      </c>
    </row>
    <row r="593" ht="15" customHeight="1" s="38">
      <c r="A593" s="80">
        <f>'Blind Scoring Sheet'!A593</f>
        <v/>
      </c>
      <c r="B593" s="80">
        <f>MID(INDEX('Anonymization Key'!$B$4:$B$1003,MATCH(A593,'Anonymization Key'!$A$4:$A$1003,0)),3,2)</f>
        <v/>
      </c>
      <c r="C593" s="81">
        <f>IF(ISNUMBER('Blind Scoring Sheet'!B593),'Blind Scoring Sheet'!B593,VALUE(TRIM(LEFT('Blind Scoring Sheet'!B593,FIND("|",'Blind Scoring Sheet'!B593)-1))))</f>
        <v/>
      </c>
      <c r="D593" s="81">
        <f>IF(ISNUMBER('Blind Scoring Sheet'!D593),'Blind Scoring Sheet'!D593,VALUE(TRIM(LEFT('Blind Scoring Sheet'!D593,FIND("|",'Blind Scoring Sheet'!D593)-1))))</f>
        <v/>
      </c>
      <c r="E593" s="81">
        <f>IF(ISNUMBER('Blind Scoring Sheet'!F593),'Blind Scoring Sheet'!F593,VALUE(TRIM(LEFT('Blind Scoring Sheet'!F593,FIND("|",'Blind Scoring Sheet'!F593)-1))))</f>
        <v/>
      </c>
      <c r="F593" s="81">
        <f>IF(ISNUMBER('Blind Scoring Sheet'!H593),'Blind Scoring Sheet'!H593,VALUE(TRIM(LEFT('Blind Scoring Sheet'!H593,FIND("|",'Blind Scoring Sheet'!H593)-1))))</f>
        <v/>
      </c>
      <c r="G593" s="81">
        <f>IF(ISNUMBER('Blind Scoring Sheet'!J593),'Blind Scoring Sheet'!J593,VALUE(TRIM(LEFT('Blind Scoring Sheet'!J593,FIND("|",'Blind Scoring Sheet'!J593)-1))))</f>
        <v/>
      </c>
      <c r="H593" s="80">
        <f>IF(ISNUMBER(SEARCH("|",'Blind Scoring Sheet'!K593)),TRIM(LEFT('Blind Scoring Sheet'!K593,FIND("|",'Blind Scoring Sheet'!K593)-1)),TRIM('Blind Scoring Sheet'!K593))</f>
        <v/>
      </c>
    </row>
    <row r="594" ht="15" customHeight="1" s="38">
      <c r="A594" s="80">
        <f>'Blind Scoring Sheet'!A594</f>
        <v/>
      </c>
      <c r="B594" s="80">
        <f>MID(INDEX('Anonymization Key'!$B$4:$B$1003,MATCH(A594,'Anonymization Key'!$A$4:$A$1003,0)),3,2)</f>
        <v/>
      </c>
      <c r="C594" s="81">
        <f>IF(ISNUMBER('Blind Scoring Sheet'!B594),'Blind Scoring Sheet'!B594,VALUE(TRIM(LEFT('Blind Scoring Sheet'!B594,FIND("|",'Blind Scoring Sheet'!B594)-1))))</f>
        <v/>
      </c>
      <c r="D594" s="81">
        <f>IF(ISNUMBER('Blind Scoring Sheet'!D594),'Blind Scoring Sheet'!D594,VALUE(TRIM(LEFT('Blind Scoring Sheet'!D594,FIND("|",'Blind Scoring Sheet'!D594)-1))))</f>
        <v/>
      </c>
      <c r="E594" s="81">
        <f>IF(ISNUMBER('Blind Scoring Sheet'!F594),'Blind Scoring Sheet'!F594,VALUE(TRIM(LEFT('Blind Scoring Sheet'!F594,FIND("|",'Blind Scoring Sheet'!F594)-1))))</f>
        <v/>
      </c>
      <c r="F594" s="81">
        <f>IF(ISNUMBER('Blind Scoring Sheet'!H594),'Blind Scoring Sheet'!H594,VALUE(TRIM(LEFT('Blind Scoring Sheet'!H594,FIND("|",'Blind Scoring Sheet'!H594)-1))))</f>
        <v/>
      </c>
      <c r="G594" s="81">
        <f>IF(ISNUMBER('Blind Scoring Sheet'!J594),'Blind Scoring Sheet'!J594,VALUE(TRIM(LEFT('Blind Scoring Sheet'!J594,FIND("|",'Blind Scoring Sheet'!J594)-1))))</f>
        <v/>
      </c>
      <c r="H594" s="80">
        <f>IF(ISNUMBER(SEARCH("|",'Blind Scoring Sheet'!K594)),TRIM(LEFT('Blind Scoring Sheet'!K594,FIND("|",'Blind Scoring Sheet'!K594)-1)),TRIM('Blind Scoring Sheet'!K594))</f>
        <v/>
      </c>
    </row>
    <row r="595" ht="15" customHeight="1" s="38">
      <c r="A595" s="80">
        <f>'Blind Scoring Sheet'!A595</f>
        <v/>
      </c>
      <c r="B595" s="80">
        <f>MID(INDEX('Anonymization Key'!$B$4:$B$1003,MATCH(A595,'Anonymization Key'!$A$4:$A$1003,0)),3,2)</f>
        <v/>
      </c>
      <c r="C595" s="81">
        <f>IF(ISNUMBER('Blind Scoring Sheet'!B595),'Blind Scoring Sheet'!B595,VALUE(TRIM(LEFT('Blind Scoring Sheet'!B595,FIND("|",'Blind Scoring Sheet'!B595)-1))))</f>
        <v/>
      </c>
      <c r="D595" s="81">
        <f>IF(ISNUMBER('Blind Scoring Sheet'!D595),'Blind Scoring Sheet'!D595,VALUE(TRIM(LEFT('Blind Scoring Sheet'!D595,FIND("|",'Blind Scoring Sheet'!D595)-1))))</f>
        <v/>
      </c>
      <c r="E595" s="81">
        <f>IF(ISNUMBER('Blind Scoring Sheet'!F595),'Blind Scoring Sheet'!F595,VALUE(TRIM(LEFT('Blind Scoring Sheet'!F595,FIND("|",'Blind Scoring Sheet'!F595)-1))))</f>
        <v/>
      </c>
      <c r="F595" s="81">
        <f>IF(ISNUMBER('Blind Scoring Sheet'!H595),'Blind Scoring Sheet'!H595,VALUE(TRIM(LEFT('Blind Scoring Sheet'!H595,FIND("|",'Blind Scoring Sheet'!H595)-1))))</f>
        <v/>
      </c>
      <c r="G595" s="81">
        <f>IF(ISNUMBER('Blind Scoring Sheet'!J595),'Blind Scoring Sheet'!J595,VALUE(TRIM(LEFT('Blind Scoring Sheet'!J595,FIND("|",'Blind Scoring Sheet'!J595)-1))))</f>
        <v/>
      </c>
      <c r="H595" s="80">
        <f>IF(ISNUMBER(SEARCH("|",'Blind Scoring Sheet'!K595)),TRIM(LEFT('Blind Scoring Sheet'!K595,FIND("|",'Blind Scoring Sheet'!K595)-1)),TRIM('Blind Scoring Sheet'!K595))</f>
        <v/>
      </c>
    </row>
    <row r="596" ht="15" customHeight="1" s="38">
      <c r="A596" s="80">
        <f>'Blind Scoring Sheet'!A596</f>
        <v/>
      </c>
      <c r="B596" s="80">
        <f>MID(INDEX('Anonymization Key'!$B$4:$B$1003,MATCH(A596,'Anonymization Key'!$A$4:$A$1003,0)),3,2)</f>
        <v/>
      </c>
      <c r="C596" s="81">
        <f>IF(ISNUMBER('Blind Scoring Sheet'!B596),'Blind Scoring Sheet'!B596,VALUE(TRIM(LEFT('Blind Scoring Sheet'!B596,FIND("|",'Blind Scoring Sheet'!B596)-1))))</f>
        <v/>
      </c>
      <c r="D596" s="81">
        <f>IF(ISNUMBER('Blind Scoring Sheet'!D596),'Blind Scoring Sheet'!D596,VALUE(TRIM(LEFT('Blind Scoring Sheet'!D596,FIND("|",'Blind Scoring Sheet'!D596)-1))))</f>
        <v/>
      </c>
      <c r="E596" s="81">
        <f>IF(ISNUMBER('Blind Scoring Sheet'!F596),'Blind Scoring Sheet'!F596,VALUE(TRIM(LEFT('Blind Scoring Sheet'!F596,FIND("|",'Blind Scoring Sheet'!F596)-1))))</f>
        <v/>
      </c>
      <c r="F596" s="81">
        <f>IF(ISNUMBER('Blind Scoring Sheet'!H596),'Blind Scoring Sheet'!H596,VALUE(TRIM(LEFT('Blind Scoring Sheet'!H596,FIND("|",'Blind Scoring Sheet'!H596)-1))))</f>
        <v/>
      </c>
      <c r="G596" s="81">
        <f>IF(ISNUMBER('Blind Scoring Sheet'!J596),'Blind Scoring Sheet'!J596,VALUE(TRIM(LEFT('Blind Scoring Sheet'!J596,FIND("|",'Blind Scoring Sheet'!J596)-1))))</f>
        <v/>
      </c>
      <c r="H596" s="80">
        <f>IF(ISNUMBER(SEARCH("|",'Blind Scoring Sheet'!K596)),TRIM(LEFT('Blind Scoring Sheet'!K596,FIND("|",'Blind Scoring Sheet'!K596)-1)),TRIM('Blind Scoring Sheet'!K596))</f>
        <v/>
      </c>
    </row>
    <row r="597" ht="15" customHeight="1" s="38">
      <c r="A597" s="80">
        <f>'Blind Scoring Sheet'!A597</f>
        <v/>
      </c>
      <c r="B597" s="80">
        <f>MID(INDEX('Anonymization Key'!$B$4:$B$1003,MATCH(A597,'Anonymization Key'!$A$4:$A$1003,0)),3,2)</f>
        <v/>
      </c>
      <c r="C597" s="81">
        <f>IF(ISNUMBER('Blind Scoring Sheet'!B597),'Blind Scoring Sheet'!B597,VALUE(TRIM(LEFT('Blind Scoring Sheet'!B597,FIND("|",'Blind Scoring Sheet'!B597)-1))))</f>
        <v/>
      </c>
      <c r="D597" s="81">
        <f>IF(ISNUMBER('Blind Scoring Sheet'!D597),'Blind Scoring Sheet'!D597,VALUE(TRIM(LEFT('Blind Scoring Sheet'!D597,FIND("|",'Blind Scoring Sheet'!D597)-1))))</f>
        <v/>
      </c>
      <c r="E597" s="81">
        <f>IF(ISNUMBER('Blind Scoring Sheet'!F597),'Blind Scoring Sheet'!F597,VALUE(TRIM(LEFT('Blind Scoring Sheet'!F597,FIND("|",'Blind Scoring Sheet'!F597)-1))))</f>
        <v/>
      </c>
      <c r="F597" s="81">
        <f>IF(ISNUMBER('Blind Scoring Sheet'!H597),'Blind Scoring Sheet'!H597,VALUE(TRIM(LEFT('Blind Scoring Sheet'!H597,FIND("|",'Blind Scoring Sheet'!H597)-1))))</f>
        <v/>
      </c>
      <c r="G597" s="81">
        <f>IF(ISNUMBER('Blind Scoring Sheet'!J597),'Blind Scoring Sheet'!J597,VALUE(TRIM(LEFT('Blind Scoring Sheet'!J597,FIND("|",'Blind Scoring Sheet'!J597)-1))))</f>
        <v/>
      </c>
      <c r="H597" s="80">
        <f>IF(ISNUMBER(SEARCH("|",'Blind Scoring Sheet'!K597)),TRIM(LEFT('Blind Scoring Sheet'!K597,FIND("|",'Blind Scoring Sheet'!K597)-1)),TRIM('Blind Scoring Sheet'!K597))</f>
        <v/>
      </c>
    </row>
    <row r="598" ht="15" customHeight="1" s="38">
      <c r="A598" s="80">
        <f>'Blind Scoring Sheet'!A598</f>
        <v/>
      </c>
      <c r="B598" s="80">
        <f>MID(INDEX('Anonymization Key'!$B$4:$B$1003,MATCH(A598,'Anonymization Key'!$A$4:$A$1003,0)),3,2)</f>
        <v/>
      </c>
      <c r="C598" s="81">
        <f>IF(ISNUMBER('Blind Scoring Sheet'!B598),'Blind Scoring Sheet'!B598,VALUE(TRIM(LEFT('Blind Scoring Sheet'!B598,FIND("|",'Blind Scoring Sheet'!B598)-1))))</f>
        <v/>
      </c>
      <c r="D598" s="81">
        <f>IF(ISNUMBER('Blind Scoring Sheet'!D598),'Blind Scoring Sheet'!D598,VALUE(TRIM(LEFT('Blind Scoring Sheet'!D598,FIND("|",'Blind Scoring Sheet'!D598)-1))))</f>
        <v/>
      </c>
      <c r="E598" s="81">
        <f>IF(ISNUMBER('Blind Scoring Sheet'!F598),'Blind Scoring Sheet'!F598,VALUE(TRIM(LEFT('Blind Scoring Sheet'!F598,FIND("|",'Blind Scoring Sheet'!F598)-1))))</f>
        <v/>
      </c>
      <c r="F598" s="81">
        <f>IF(ISNUMBER('Blind Scoring Sheet'!H598),'Blind Scoring Sheet'!H598,VALUE(TRIM(LEFT('Blind Scoring Sheet'!H598,FIND("|",'Blind Scoring Sheet'!H598)-1))))</f>
        <v/>
      </c>
      <c r="G598" s="81">
        <f>IF(ISNUMBER('Blind Scoring Sheet'!J598),'Blind Scoring Sheet'!J598,VALUE(TRIM(LEFT('Blind Scoring Sheet'!J598,FIND("|",'Blind Scoring Sheet'!J598)-1))))</f>
        <v/>
      </c>
      <c r="H598" s="80">
        <f>IF(ISNUMBER(SEARCH("|",'Blind Scoring Sheet'!K598)),TRIM(LEFT('Blind Scoring Sheet'!K598,FIND("|",'Blind Scoring Sheet'!K598)-1)),TRIM('Blind Scoring Sheet'!K598))</f>
        <v/>
      </c>
    </row>
    <row r="599" ht="15" customHeight="1" s="38">
      <c r="A599" s="80">
        <f>'Blind Scoring Sheet'!A599</f>
        <v/>
      </c>
      <c r="B599" s="80">
        <f>MID(INDEX('Anonymization Key'!$B$4:$B$1003,MATCH(A599,'Anonymization Key'!$A$4:$A$1003,0)),3,2)</f>
        <v/>
      </c>
      <c r="C599" s="81">
        <f>IF(ISNUMBER('Blind Scoring Sheet'!B599),'Blind Scoring Sheet'!B599,VALUE(TRIM(LEFT('Blind Scoring Sheet'!B599,FIND("|",'Blind Scoring Sheet'!B599)-1))))</f>
        <v/>
      </c>
      <c r="D599" s="81">
        <f>IF(ISNUMBER('Blind Scoring Sheet'!D599),'Blind Scoring Sheet'!D599,VALUE(TRIM(LEFT('Blind Scoring Sheet'!D599,FIND("|",'Blind Scoring Sheet'!D599)-1))))</f>
        <v/>
      </c>
      <c r="E599" s="81">
        <f>IF(ISNUMBER('Blind Scoring Sheet'!F599),'Blind Scoring Sheet'!F599,VALUE(TRIM(LEFT('Blind Scoring Sheet'!F599,FIND("|",'Blind Scoring Sheet'!F599)-1))))</f>
        <v/>
      </c>
      <c r="F599" s="81">
        <f>IF(ISNUMBER('Blind Scoring Sheet'!H599),'Blind Scoring Sheet'!H599,VALUE(TRIM(LEFT('Blind Scoring Sheet'!H599,FIND("|",'Blind Scoring Sheet'!H599)-1))))</f>
        <v/>
      </c>
      <c r="G599" s="81">
        <f>IF(ISNUMBER('Blind Scoring Sheet'!J599),'Blind Scoring Sheet'!J599,VALUE(TRIM(LEFT('Blind Scoring Sheet'!J599,FIND("|",'Blind Scoring Sheet'!J599)-1))))</f>
        <v/>
      </c>
      <c r="H599" s="80">
        <f>IF(ISNUMBER(SEARCH("|",'Blind Scoring Sheet'!K599)),TRIM(LEFT('Blind Scoring Sheet'!K599,FIND("|",'Blind Scoring Sheet'!K599)-1)),TRIM('Blind Scoring Sheet'!K599))</f>
        <v/>
      </c>
    </row>
    <row r="600" ht="15" customHeight="1" s="38">
      <c r="A600" s="80">
        <f>'Blind Scoring Sheet'!A600</f>
        <v/>
      </c>
      <c r="B600" s="80">
        <f>MID(INDEX('Anonymization Key'!$B$4:$B$1003,MATCH(A600,'Anonymization Key'!$A$4:$A$1003,0)),3,2)</f>
        <v/>
      </c>
      <c r="C600" s="81">
        <f>IF(ISNUMBER('Blind Scoring Sheet'!B600),'Blind Scoring Sheet'!B600,VALUE(TRIM(LEFT('Blind Scoring Sheet'!B600,FIND("|",'Blind Scoring Sheet'!B600)-1))))</f>
        <v/>
      </c>
      <c r="D600" s="81">
        <f>IF(ISNUMBER('Blind Scoring Sheet'!D600),'Blind Scoring Sheet'!D600,VALUE(TRIM(LEFT('Blind Scoring Sheet'!D600,FIND("|",'Blind Scoring Sheet'!D600)-1))))</f>
        <v/>
      </c>
      <c r="E600" s="81">
        <f>IF(ISNUMBER('Blind Scoring Sheet'!F600),'Blind Scoring Sheet'!F600,VALUE(TRIM(LEFT('Blind Scoring Sheet'!F600,FIND("|",'Blind Scoring Sheet'!F600)-1))))</f>
        <v/>
      </c>
      <c r="F600" s="81">
        <f>IF(ISNUMBER('Blind Scoring Sheet'!H600),'Blind Scoring Sheet'!H600,VALUE(TRIM(LEFT('Blind Scoring Sheet'!H600,FIND("|",'Blind Scoring Sheet'!H600)-1))))</f>
        <v/>
      </c>
      <c r="G600" s="81">
        <f>IF(ISNUMBER('Blind Scoring Sheet'!J600),'Blind Scoring Sheet'!J600,VALUE(TRIM(LEFT('Blind Scoring Sheet'!J600,FIND("|",'Blind Scoring Sheet'!J600)-1))))</f>
        <v/>
      </c>
      <c r="H600" s="80">
        <f>IF(ISNUMBER(SEARCH("|",'Blind Scoring Sheet'!K600)),TRIM(LEFT('Blind Scoring Sheet'!K600,FIND("|",'Blind Scoring Sheet'!K600)-1)),TRIM('Blind Scoring Sheet'!K600))</f>
        <v/>
      </c>
    </row>
    <row r="601" ht="15" customHeight="1" s="38">
      <c r="A601" s="80">
        <f>'Blind Scoring Sheet'!A601</f>
        <v/>
      </c>
      <c r="B601" s="80">
        <f>MID(INDEX('Anonymization Key'!$B$4:$B$1003,MATCH(A601,'Anonymization Key'!$A$4:$A$1003,0)),3,2)</f>
        <v/>
      </c>
      <c r="C601" s="81">
        <f>IF(ISNUMBER('Blind Scoring Sheet'!B601),'Blind Scoring Sheet'!B601,VALUE(TRIM(LEFT('Blind Scoring Sheet'!B601,FIND("|",'Blind Scoring Sheet'!B601)-1))))</f>
        <v/>
      </c>
      <c r="D601" s="81">
        <f>IF(ISNUMBER('Blind Scoring Sheet'!D601),'Blind Scoring Sheet'!D601,VALUE(TRIM(LEFT('Blind Scoring Sheet'!D601,FIND("|",'Blind Scoring Sheet'!D601)-1))))</f>
        <v/>
      </c>
      <c r="E601" s="81">
        <f>IF(ISNUMBER('Blind Scoring Sheet'!F601),'Blind Scoring Sheet'!F601,VALUE(TRIM(LEFT('Blind Scoring Sheet'!F601,FIND("|",'Blind Scoring Sheet'!F601)-1))))</f>
        <v/>
      </c>
      <c r="F601" s="81">
        <f>IF(ISNUMBER('Blind Scoring Sheet'!H601),'Blind Scoring Sheet'!H601,VALUE(TRIM(LEFT('Blind Scoring Sheet'!H601,FIND("|",'Blind Scoring Sheet'!H601)-1))))</f>
        <v/>
      </c>
      <c r="G601" s="81">
        <f>IF(ISNUMBER('Blind Scoring Sheet'!J601),'Blind Scoring Sheet'!J601,VALUE(TRIM(LEFT('Blind Scoring Sheet'!J601,FIND("|",'Blind Scoring Sheet'!J601)-1))))</f>
        <v/>
      </c>
      <c r="H601" s="80">
        <f>IF(ISNUMBER(SEARCH("|",'Blind Scoring Sheet'!K601)),TRIM(LEFT('Blind Scoring Sheet'!K601,FIND("|",'Blind Scoring Sheet'!K601)-1)),TRIM('Blind Scoring Sheet'!K601))</f>
        <v/>
      </c>
    </row>
    <row r="602" ht="15" customHeight="1" s="38">
      <c r="A602" s="80">
        <f>'Blind Scoring Sheet'!A602</f>
        <v/>
      </c>
      <c r="B602" s="80">
        <f>MID(INDEX('Anonymization Key'!$B$4:$B$1003,MATCH(A602,'Anonymization Key'!$A$4:$A$1003,0)),3,2)</f>
        <v/>
      </c>
      <c r="C602" s="81">
        <f>IF(ISNUMBER('Blind Scoring Sheet'!B602),'Blind Scoring Sheet'!B602,VALUE(TRIM(LEFT('Blind Scoring Sheet'!B602,FIND("|",'Blind Scoring Sheet'!B602)-1))))</f>
        <v/>
      </c>
      <c r="D602" s="81">
        <f>IF(ISNUMBER('Blind Scoring Sheet'!D602),'Blind Scoring Sheet'!D602,VALUE(TRIM(LEFT('Blind Scoring Sheet'!D602,FIND("|",'Blind Scoring Sheet'!D602)-1))))</f>
        <v/>
      </c>
      <c r="E602" s="81">
        <f>IF(ISNUMBER('Blind Scoring Sheet'!F602),'Blind Scoring Sheet'!F602,VALUE(TRIM(LEFT('Blind Scoring Sheet'!F602,FIND("|",'Blind Scoring Sheet'!F602)-1))))</f>
        <v/>
      </c>
      <c r="F602" s="81">
        <f>IF(ISNUMBER('Blind Scoring Sheet'!H602),'Blind Scoring Sheet'!H602,VALUE(TRIM(LEFT('Blind Scoring Sheet'!H602,FIND("|",'Blind Scoring Sheet'!H602)-1))))</f>
        <v/>
      </c>
      <c r="G602" s="81">
        <f>IF(ISNUMBER('Blind Scoring Sheet'!J602),'Blind Scoring Sheet'!J602,VALUE(TRIM(LEFT('Blind Scoring Sheet'!J602,FIND("|",'Blind Scoring Sheet'!J602)-1))))</f>
        <v/>
      </c>
      <c r="H602" s="80">
        <f>IF(ISNUMBER(SEARCH("|",'Blind Scoring Sheet'!K602)),TRIM(LEFT('Blind Scoring Sheet'!K602,FIND("|",'Blind Scoring Sheet'!K602)-1)),TRIM('Blind Scoring Sheet'!K602))</f>
        <v/>
      </c>
    </row>
    <row r="603" ht="15" customHeight="1" s="38">
      <c r="A603" s="80">
        <f>'Blind Scoring Sheet'!A603</f>
        <v/>
      </c>
      <c r="B603" s="80">
        <f>MID(INDEX('Anonymization Key'!$B$4:$B$1003,MATCH(A603,'Anonymization Key'!$A$4:$A$1003,0)),3,2)</f>
        <v/>
      </c>
      <c r="C603" s="81">
        <f>IF(ISNUMBER('Blind Scoring Sheet'!B603),'Blind Scoring Sheet'!B603,VALUE(TRIM(LEFT('Blind Scoring Sheet'!B603,FIND("|",'Blind Scoring Sheet'!B603)-1))))</f>
        <v/>
      </c>
      <c r="D603" s="81">
        <f>IF(ISNUMBER('Blind Scoring Sheet'!D603),'Blind Scoring Sheet'!D603,VALUE(TRIM(LEFT('Blind Scoring Sheet'!D603,FIND("|",'Blind Scoring Sheet'!D603)-1))))</f>
        <v/>
      </c>
      <c r="E603" s="81">
        <f>IF(ISNUMBER('Blind Scoring Sheet'!F603),'Blind Scoring Sheet'!F603,VALUE(TRIM(LEFT('Blind Scoring Sheet'!F603,FIND("|",'Blind Scoring Sheet'!F603)-1))))</f>
        <v/>
      </c>
      <c r="F603" s="81">
        <f>IF(ISNUMBER('Blind Scoring Sheet'!H603),'Blind Scoring Sheet'!H603,VALUE(TRIM(LEFT('Blind Scoring Sheet'!H603,FIND("|",'Blind Scoring Sheet'!H603)-1))))</f>
        <v/>
      </c>
      <c r="G603" s="81">
        <f>IF(ISNUMBER('Blind Scoring Sheet'!J603),'Blind Scoring Sheet'!J603,VALUE(TRIM(LEFT('Blind Scoring Sheet'!J603,FIND("|",'Blind Scoring Sheet'!J603)-1))))</f>
        <v/>
      </c>
      <c r="H603" s="80">
        <f>IF(ISNUMBER(SEARCH("|",'Blind Scoring Sheet'!K603)),TRIM(LEFT('Blind Scoring Sheet'!K603,FIND("|",'Blind Scoring Sheet'!K603)-1)),TRIM('Blind Scoring Sheet'!K603))</f>
        <v/>
      </c>
    </row>
    <row r="604" ht="15" customHeight="1" s="38">
      <c r="A604" s="80">
        <f>'Blind Scoring Sheet'!A604</f>
        <v/>
      </c>
      <c r="B604" s="80">
        <f>MID(INDEX('Anonymization Key'!$B$4:$B$1003,MATCH(A604,'Anonymization Key'!$A$4:$A$1003,0)),3,2)</f>
        <v/>
      </c>
      <c r="C604" s="81">
        <f>IF(ISNUMBER('Blind Scoring Sheet'!B604),'Blind Scoring Sheet'!B604,VALUE(TRIM(LEFT('Blind Scoring Sheet'!B604,FIND("|",'Blind Scoring Sheet'!B604)-1))))</f>
        <v/>
      </c>
      <c r="D604" s="81">
        <f>IF(ISNUMBER('Blind Scoring Sheet'!D604),'Blind Scoring Sheet'!D604,VALUE(TRIM(LEFT('Blind Scoring Sheet'!D604,FIND("|",'Blind Scoring Sheet'!D604)-1))))</f>
        <v/>
      </c>
      <c r="E604" s="81">
        <f>IF(ISNUMBER('Blind Scoring Sheet'!F604),'Blind Scoring Sheet'!F604,VALUE(TRIM(LEFT('Blind Scoring Sheet'!F604,FIND("|",'Blind Scoring Sheet'!F604)-1))))</f>
        <v/>
      </c>
      <c r="F604" s="81">
        <f>IF(ISNUMBER('Blind Scoring Sheet'!H604),'Blind Scoring Sheet'!H604,VALUE(TRIM(LEFT('Blind Scoring Sheet'!H604,FIND("|",'Blind Scoring Sheet'!H604)-1))))</f>
        <v/>
      </c>
      <c r="G604" s="81">
        <f>IF(ISNUMBER('Blind Scoring Sheet'!J604),'Blind Scoring Sheet'!J604,VALUE(TRIM(LEFT('Blind Scoring Sheet'!J604,FIND("|",'Blind Scoring Sheet'!J604)-1))))</f>
        <v/>
      </c>
      <c r="H604" s="80">
        <f>IF(ISNUMBER(SEARCH("|",'Blind Scoring Sheet'!K604)),TRIM(LEFT('Blind Scoring Sheet'!K604,FIND("|",'Blind Scoring Sheet'!K604)-1)),TRIM('Blind Scoring Sheet'!K604))</f>
        <v/>
      </c>
    </row>
    <row r="605" ht="15" customHeight="1" s="38">
      <c r="A605" s="80">
        <f>'Blind Scoring Sheet'!A605</f>
        <v/>
      </c>
      <c r="B605" s="80">
        <f>MID(INDEX('Anonymization Key'!$B$4:$B$1003,MATCH(A605,'Anonymization Key'!$A$4:$A$1003,0)),3,2)</f>
        <v/>
      </c>
      <c r="C605" s="81">
        <f>IF(ISNUMBER('Blind Scoring Sheet'!B605),'Blind Scoring Sheet'!B605,VALUE(TRIM(LEFT('Blind Scoring Sheet'!B605,FIND("|",'Blind Scoring Sheet'!B605)-1))))</f>
        <v/>
      </c>
      <c r="D605" s="81">
        <f>IF(ISNUMBER('Blind Scoring Sheet'!D605),'Blind Scoring Sheet'!D605,VALUE(TRIM(LEFT('Blind Scoring Sheet'!D605,FIND("|",'Blind Scoring Sheet'!D605)-1))))</f>
        <v/>
      </c>
      <c r="E605" s="81">
        <f>IF(ISNUMBER('Blind Scoring Sheet'!F605),'Blind Scoring Sheet'!F605,VALUE(TRIM(LEFT('Blind Scoring Sheet'!F605,FIND("|",'Blind Scoring Sheet'!F605)-1))))</f>
        <v/>
      </c>
      <c r="F605" s="81">
        <f>IF(ISNUMBER('Blind Scoring Sheet'!H605),'Blind Scoring Sheet'!H605,VALUE(TRIM(LEFT('Blind Scoring Sheet'!H605,FIND("|",'Blind Scoring Sheet'!H605)-1))))</f>
        <v/>
      </c>
      <c r="G605" s="81">
        <f>IF(ISNUMBER('Blind Scoring Sheet'!J605),'Blind Scoring Sheet'!J605,VALUE(TRIM(LEFT('Blind Scoring Sheet'!J605,FIND("|",'Blind Scoring Sheet'!J605)-1))))</f>
        <v/>
      </c>
      <c r="H605" s="80">
        <f>IF(ISNUMBER(SEARCH("|",'Blind Scoring Sheet'!K605)),TRIM(LEFT('Blind Scoring Sheet'!K605,FIND("|",'Blind Scoring Sheet'!K605)-1)),TRIM('Blind Scoring Sheet'!K605))</f>
        <v/>
      </c>
    </row>
    <row r="606" ht="15" customHeight="1" s="38">
      <c r="A606" s="80">
        <f>'Blind Scoring Sheet'!A606</f>
        <v/>
      </c>
      <c r="B606" s="80">
        <f>MID(INDEX('Anonymization Key'!$B$4:$B$1003,MATCH(A606,'Anonymization Key'!$A$4:$A$1003,0)),3,2)</f>
        <v/>
      </c>
      <c r="C606" s="81">
        <f>IF(ISNUMBER('Blind Scoring Sheet'!B606),'Blind Scoring Sheet'!B606,VALUE(TRIM(LEFT('Blind Scoring Sheet'!B606,FIND("|",'Blind Scoring Sheet'!B606)-1))))</f>
        <v/>
      </c>
      <c r="D606" s="81">
        <f>IF(ISNUMBER('Blind Scoring Sheet'!D606),'Blind Scoring Sheet'!D606,VALUE(TRIM(LEFT('Blind Scoring Sheet'!D606,FIND("|",'Blind Scoring Sheet'!D606)-1))))</f>
        <v/>
      </c>
      <c r="E606" s="81">
        <f>IF(ISNUMBER('Blind Scoring Sheet'!F606),'Blind Scoring Sheet'!F606,VALUE(TRIM(LEFT('Blind Scoring Sheet'!F606,FIND("|",'Blind Scoring Sheet'!F606)-1))))</f>
        <v/>
      </c>
      <c r="F606" s="81">
        <f>IF(ISNUMBER('Blind Scoring Sheet'!H606),'Blind Scoring Sheet'!H606,VALUE(TRIM(LEFT('Blind Scoring Sheet'!H606,FIND("|",'Blind Scoring Sheet'!H606)-1))))</f>
        <v/>
      </c>
      <c r="G606" s="81">
        <f>IF(ISNUMBER('Blind Scoring Sheet'!J606),'Blind Scoring Sheet'!J606,VALUE(TRIM(LEFT('Blind Scoring Sheet'!J606,FIND("|",'Blind Scoring Sheet'!J606)-1))))</f>
        <v/>
      </c>
      <c r="H606" s="80">
        <f>IF(ISNUMBER(SEARCH("|",'Blind Scoring Sheet'!K606)),TRIM(LEFT('Blind Scoring Sheet'!K606,FIND("|",'Blind Scoring Sheet'!K606)-1)),TRIM('Blind Scoring Sheet'!K606))</f>
        <v/>
      </c>
    </row>
    <row r="607" ht="15" customHeight="1" s="38">
      <c r="A607" s="80">
        <f>'Blind Scoring Sheet'!A607</f>
        <v/>
      </c>
      <c r="B607" s="80">
        <f>MID(INDEX('Anonymization Key'!$B$4:$B$1003,MATCH(A607,'Anonymization Key'!$A$4:$A$1003,0)),3,2)</f>
        <v/>
      </c>
      <c r="C607" s="81">
        <f>IF(ISNUMBER('Blind Scoring Sheet'!B607),'Blind Scoring Sheet'!B607,VALUE(TRIM(LEFT('Blind Scoring Sheet'!B607,FIND("|",'Blind Scoring Sheet'!B607)-1))))</f>
        <v/>
      </c>
      <c r="D607" s="81">
        <f>IF(ISNUMBER('Blind Scoring Sheet'!D607),'Blind Scoring Sheet'!D607,VALUE(TRIM(LEFT('Blind Scoring Sheet'!D607,FIND("|",'Blind Scoring Sheet'!D607)-1))))</f>
        <v/>
      </c>
      <c r="E607" s="81">
        <f>IF(ISNUMBER('Blind Scoring Sheet'!F607),'Blind Scoring Sheet'!F607,VALUE(TRIM(LEFT('Blind Scoring Sheet'!F607,FIND("|",'Blind Scoring Sheet'!F607)-1))))</f>
        <v/>
      </c>
      <c r="F607" s="81">
        <f>IF(ISNUMBER('Blind Scoring Sheet'!H607),'Blind Scoring Sheet'!H607,VALUE(TRIM(LEFT('Blind Scoring Sheet'!H607,FIND("|",'Blind Scoring Sheet'!H607)-1))))</f>
        <v/>
      </c>
      <c r="G607" s="81">
        <f>IF(ISNUMBER('Blind Scoring Sheet'!J607),'Blind Scoring Sheet'!J607,VALUE(TRIM(LEFT('Blind Scoring Sheet'!J607,FIND("|",'Blind Scoring Sheet'!J607)-1))))</f>
        <v/>
      </c>
      <c r="H607" s="80">
        <f>IF(ISNUMBER(SEARCH("|",'Blind Scoring Sheet'!K607)),TRIM(LEFT('Blind Scoring Sheet'!K607,FIND("|",'Blind Scoring Sheet'!K607)-1)),TRIM('Blind Scoring Sheet'!K607))</f>
        <v/>
      </c>
    </row>
    <row r="608" ht="15" customHeight="1" s="38">
      <c r="A608" s="80">
        <f>'Blind Scoring Sheet'!A608</f>
        <v/>
      </c>
      <c r="B608" s="80">
        <f>MID(INDEX('Anonymization Key'!$B$4:$B$1003,MATCH(A608,'Anonymization Key'!$A$4:$A$1003,0)),3,2)</f>
        <v/>
      </c>
      <c r="C608" s="81">
        <f>IF(ISNUMBER('Blind Scoring Sheet'!B608),'Blind Scoring Sheet'!B608,VALUE(TRIM(LEFT('Blind Scoring Sheet'!B608,FIND("|",'Blind Scoring Sheet'!B608)-1))))</f>
        <v/>
      </c>
      <c r="D608" s="81">
        <f>IF(ISNUMBER('Blind Scoring Sheet'!D608),'Blind Scoring Sheet'!D608,VALUE(TRIM(LEFT('Blind Scoring Sheet'!D608,FIND("|",'Blind Scoring Sheet'!D608)-1))))</f>
        <v/>
      </c>
      <c r="E608" s="81">
        <f>IF(ISNUMBER('Blind Scoring Sheet'!F608),'Blind Scoring Sheet'!F608,VALUE(TRIM(LEFT('Blind Scoring Sheet'!F608,FIND("|",'Blind Scoring Sheet'!F608)-1))))</f>
        <v/>
      </c>
      <c r="F608" s="81">
        <f>IF(ISNUMBER('Blind Scoring Sheet'!H608),'Blind Scoring Sheet'!H608,VALUE(TRIM(LEFT('Blind Scoring Sheet'!H608,FIND("|",'Blind Scoring Sheet'!H608)-1))))</f>
        <v/>
      </c>
      <c r="G608" s="81">
        <f>IF(ISNUMBER('Blind Scoring Sheet'!J608),'Blind Scoring Sheet'!J608,VALUE(TRIM(LEFT('Blind Scoring Sheet'!J608,FIND("|",'Blind Scoring Sheet'!J608)-1))))</f>
        <v/>
      </c>
      <c r="H608" s="80">
        <f>IF(ISNUMBER(SEARCH("|",'Blind Scoring Sheet'!K608)),TRIM(LEFT('Blind Scoring Sheet'!K608,FIND("|",'Blind Scoring Sheet'!K608)-1)),TRIM('Blind Scoring Sheet'!K608))</f>
        <v/>
      </c>
    </row>
    <row r="609" ht="15" customHeight="1" s="38">
      <c r="A609" s="80">
        <f>'Blind Scoring Sheet'!A609</f>
        <v/>
      </c>
      <c r="B609" s="80">
        <f>MID(INDEX('Anonymization Key'!$B$4:$B$1003,MATCH(A609,'Anonymization Key'!$A$4:$A$1003,0)),3,2)</f>
        <v/>
      </c>
      <c r="C609" s="81">
        <f>IF(ISNUMBER('Blind Scoring Sheet'!B609),'Blind Scoring Sheet'!B609,VALUE(TRIM(LEFT('Blind Scoring Sheet'!B609,FIND("|",'Blind Scoring Sheet'!B609)-1))))</f>
        <v/>
      </c>
      <c r="D609" s="81">
        <f>IF(ISNUMBER('Blind Scoring Sheet'!D609),'Blind Scoring Sheet'!D609,VALUE(TRIM(LEFT('Blind Scoring Sheet'!D609,FIND("|",'Blind Scoring Sheet'!D609)-1))))</f>
        <v/>
      </c>
      <c r="E609" s="81">
        <f>IF(ISNUMBER('Blind Scoring Sheet'!F609),'Blind Scoring Sheet'!F609,VALUE(TRIM(LEFT('Blind Scoring Sheet'!F609,FIND("|",'Blind Scoring Sheet'!F609)-1))))</f>
        <v/>
      </c>
      <c r="F609" s="81">
        <f>IF(ISNUMBER('Blind Scoring Sheet'!H609),'Blind Scoring Sheet'!H609,VALUE(TRIM(LEFT('Blind Scoring Sheet'!H609,FIND("|",'Blind Scoring Sheet'!H609)-1))))</f>
        <v/>
      </c>
      <c r="G609" s="81">
        <f>IF(ISNUMBER('Blind Scoring Sheet'!J609),'Blind Scoring Sheet'!J609,VALUE(TRIM(LEFT('Blind Scoring Sheet'!J609,FIND("|",'Blind Scoring Sheet'!J609)-1))))</f>
        <v/>
      </c>
      <c r="H609" s="80">
        <f>IF(ISNUMBER(SEARCH("|",'Blind Scoring Sheet'!K609)),TRIM(LEFT('Blind Scoring Sheet'!K609,FIND("|",'Blind Scoring Sheet'!K609)-1)),TRIM('Blind Scoring Sheet'!K609))</f>
        <v/>
      </c>
    </row>
    <row r="610" ht="15" customHeight="1" s="38">
      <c r="A610" s="80">
        <f>'Blind Scoring Sheet'!A610</f>
        <v/>
      </c>
      <c r="B610" s="80">
        <f>MID(INDEX('Anonymization Key'!$B$4:$B$1003,MATCH(A610,'Anonymization Key'!$A$4:$A$1003,0)),3,2)</f>
        <v/>
      </c>
      <c r="C610" s="81">
        <f>IF(ISNUMBER('Blind Scoring Sheet'!B610),'Blind Scoring Sheet'!B610,VALUE(TRIM(LEFT('Blind Scoring Sheet'!B610,FIND("|",'Blind Scoring Sheet'!B610)-1))))</f>
        <v/>
      </c>
      <c r="D610" s="81">
        <f>IF(ISNUMBER('Blind Scoring Sheet'!D610),'Blind Scoring Sheet'!D610,VALUE(TRIM(LEFT('Blind Scoring Sheet'!D610,FIND("|",'Blind Scoring Sheet'!D610)-1))))</f>
        <v/>
      </c>
      <c r="E610" s="81">
        <f>IF(ISNUMBER('Blind Scoring Sheet'!F610),'Blind Scoring Sheet'!F610,VALUE(TRIM(LEFT('Blind Scoring Sheet'!F610,FIND("|",'Blind Scoring Sheet'!F610)-1))))</f>
        <v/>
      </c>
      <c r="F610" s="81">
        <f>IF(ISNUMBER('Blind Scoring Sheet'!H610),'Blind Scoring Sheet'!H610,VALUE(TRIM(LEFT('Blind Scoring Sheet'!H610,FIND("|",'Blind Scoring Sheet'!H610)-1))))</f>
        <v/>
      </c>
      <c r="G610" s="81">
        <f>IF(ISNUMBER('Blind Scoring Sheet'!J610),'Blind Scoring Sheet'!J610,VALUE(TRIM(LEFT('Blind Scoring Sheet'!J610,FIND("|",'Blind Scoring Sheet'!J610)-1))))</f>
        <v/>
      </c>
      <c r="H610" s="80">
        <f>IF(ISNUMBER(SEARCH("|",'Blind Scoring Sheet'!K610)),TRIM(LEFT('Blind Scoring Sheet'!K610,FIND("|",'Blind Scoring Sheet'!K610)-1)),TRIM('Blind Scoring Sheet'!K610))</f>
        <v/>
      </c>
    </row>
    <row r="611" ht="15" customHeight="1" s="38">
      <c r="A611" s="80">
        <f>'Blind Scoring Sheet'!A611</f>
        <v/>
      </c>
      <c r="B611" s="80">
        <f>MID(INDEX('Anonymization Key'!$B$4:$B$1003,MATCH(A611,'Anonymization Key'!$A$4:$A$1003,0)),3,2)</f>
        <v/>
      </c>
      <c r="C611" s="81">
        <f>IF(ISNUMBER('Blind Scoring Sheet'!B611),'Blind Scoring Sheet'!B611,VALUE(TRIM(LEFT('Blind Scoring Sheet'!B611,FIND("|",'Blind Scoring Sheet'!B611)-1))))</f>
        <v/>
      </c>
      <c r="D611" s="81">
        <f>IF(ISNUMBER('Blind Scoring Sheet'!D611),'Blind Scoring Sheet'!D611,VALUE(TRIM(LEFT('Blind Scoring Sheet'!D611,FIND("|",'Blind Scoring Sheet'!D611)-1))))</f>
        <v/>
      </c>
      <c r="E611" s="81">
        <f>IF(ISNUMBER('Blind Scoring Sheet'!F611),'Blind Scoring Sheet'!F611,VALUE(TRIM(LEFT('Blind Scoring Sheet'!F611,FIND("|",'Blind Scoring Sheet'!F611)-1))))</f>
        <v/>
      </c>
      <c r="F611" s="81">
        <f>IF(ISNUMBER('Blind Scoring Sheet'!H611),'Blind Scoring Sheet'!H611,VALUE(TRIM(LEFT('Blind Scoring Sheet'!H611,FIND("|",'Blind Scoring Sheet'!H611)-1))))</f>
        <v/>
      </c>
      <c r="G611" s="81">
        <f>IF(ISNUMBER('Blind Scoring Sheet'!J611),'Blind Scoring Sheet'!J611,VALUE(TRIM(LEFT('Blind Scoring Sheet'!J611,FIND("|",'Blind Scoring Sheet'!J611)-1))))</f>
        <v/>
      </c>
      <c r="H611" s="80">
        <f>IF(ISNUMBER(SEARCH("|",'Blind Scoring Sheet'!K611)),TRIM(LEFT('Blind Scoring Sheet'!K611,FIND("|",'Blind Scoring Sheet'!K611)-1)),TRIM('Blind Scoring Sheet'!K611))</f>
        <v/>
      </c>
    </row>
    <row r="612" ht="15" customHeight="1" s="38">
      <c r="A612" s="80">
        <f>'Blind Scoring Sheet'!A612</f>
        <v/>
      </c>
      <c r="B612" s="80">
        <f>MID(INDEX('Anonymization Key'!$B$4:$B$1003,MATCH(A612,'Anonymization Key'!$A$4:$A$1003,0)),3,2)</f>
        <v/>
      </c>
      <c r="C612" s="81">
        <f>IF(ISNUMBER('Blind Scoring Sheet'!B612),'Blind Scoring Sheet'!B612,VALUE(TRIM(LEFT('Blind Scoring Sheet'!B612,FIND("|",'Blind Scoring Sheet'!B612)-1))))</f>
        <v/>
      </c>
      <c r="D612" s="81">
        <f>IF(ISNUMBER('Blind Scoring Sheet'!D612),'Blind Scoring Sheet'!D612,VALUE(TRIM(LEFT('Blind Scoring Sheet'!D612,FIND("|",'Blind Scoring Sheet'!D612)-1))))</f>
        <v/>
      </c>
      <c r="E612" s="81">
        <f>IF(ISNUMBER('Blind Scoring Sheet'!F612),'Blind Scoring Sheet'!F612,VALUE(TRIM(LEFT('Blind Scoring Sheet'!F612,FIND("|",'Blind Scoring Sheet'!F612)-1))))</f>
        <v/>
      </c>
      <c r="F612" s="81">
        <f>IF(ISNUMBER('Blind Scoring Sheet'!H612),'Blind Scoring Sheet'!H612,VALUE(TRIM(LEFT('Blind Scoring Sheet'!H612,FIND("|",'Blind Scoring Sheet'!H612)-1))))</f>
        <v/>
      </c>
      <c r="G612" s="81">
        <f>IF(ISNUMBER('Blind Scoring Sheet'!J612),'Blind Scoring Sheet'!J612,VALUE(TRIM(LEFT('Blind Scoring Sheet'!J612,FIND("|",'Blind Scoring Sheet'!J612)-1))))</f>
        <v/>
      </c>
      <c r="H612" s="80">
        <f>IF(ISNUMBER(SEARCH("|",'Blind Scoring Sheet'!K612)),TRIM(LEFT('Blind Scoring Sheet'!K612,FIND("|",'Blind Scoring Sheet'!K612)-1)),TRIM('Blind Scoring Sheet'!K612))</f>
        <v/>
      </c>
    </row>
    <row r="613" ht="15" customHeight="1" s="38">
      <c r="A613" s="80">
        <f>'Blind Scoring Sheet'!A613</f>
        <v/>
      </c>
      <c r="B613" s="80">
        <f>MID(INDEX('Anonymization Key'!$B$4:$B$1003,MATCH(A613,'Anonymization Key'!$A$4:$A$1003,0)),3,2)</f>
        <v/>
      </c>
      <c r="C613" s="81">
        <f>IF(ISNUMBER('Blind Scoring Sheet'!B613),'Blind Scoring Sheet'!B613,VALUE(TRIM(LEFT('Blind Scoring Sheet'!B613,FIND("|",'Blind Scoring Sheet'!B613)-1))))</f>
        <v/>
      </c>
      <c r="D613" s="81">
        <f>IF(ISNUMBER('Blind Scoring Sheet'!D613),'Blind Scoring Sheet'!D613,VALUE(TRIM(LEFT('Blind Scoring Sheet'!D613,FIND("|",'Blind Scoring Sheet'!D613)-1))))</f>
        <v/>
      </c>
      <c r="E613" s="81">
        <f>IF(ISNUMBER('Blind Scoring Sheet'!F613),'Blind Scoring Sheet'!F613,VALUE(TRIM(LEFT('Blind Scoring Sheet'!F613,FIND("|",'Blind Scoring Sheet'!F613)-1))))</f>
        <v/>
      </c>
      <c r="F613" s="81">
        <f>IF(ISNUMBER('Blind Scoring Sheet'!H613),'Blind Scoring Sheet'!H613,VALUE(TRIM(LEFT('Blind Scoring Sheet'!H613,FIND("|",'Blind Scoring Sheet'!H613)-1))))</f>
        <v/>
      </c>
      <c r="G613" s="81">
        <f>IF(ISNUMBER('Blind Scoring Sheet'!J613),'Blind Scoring Sheet'!J613,VALUE(TRIM(LEFT('Blind Scoring Sheet'!J613,FIND("|",'Blind Scoring Sheet'!J613)-1))))</f>
        <v/>
      </c>
      <c r="H613" s="80">
        <f>IF(ISNUMBER(SEARCH("|",'Blind Scoring Sheet'!K613)),TRIM(LEFT('Blind Scoring Sheet'!K613,FIND("|",'Blind Scoring Sheet'!K613)-1)),TRIM('Blind Scoring Sheet'!K613))</f>
        <v/>
      </c>
    </row>
    <row r="614" ht="15" customHeight="1" s="38">
      <c r="A614" s="80">
        <f>'Blind Scoring Sheet'!A614</f>
        <v/>
      </c>
      <c r="B614" s="80">
        <f>MID(INDEX('Anonymization Key'!$B$4:$B$1003,MATCH(A614,'Anonymization Key'!$A$4:$A$1003,0)),3,2)</f>
        <v/>
      </c>
      <c r="C614" s="81">
        <f>IF(ISNUMBER('Blind Scoring Sheet'!B614),'Blind Scoring Sheet'!B614,VALUE(TRIM(LEFT('Blind Scoring Sheet'!B614,FIND("|",'Blind Scoring Sheet'!B614)-1))))</f>
        <v/>
      </c>
      <c r="D614" s="81">
        <f>IF(ISNUMBER('Blind Scoring Sheet'!D614),'Blind Scoring Sheet'!D614,VALUE(TRIM(LEFT('Blind Scoring Sheet'!D614,FIND("|",'Blind Scoring Sheet'!D614)-1))))</f>
        <v/>
      </c>
      <c r="E614" s="81">
        <f>IF(ISNUMBER('Blind Scoring Sheet'!F614),'Blind Scoring Sheet'!F614,VALUE(TRIM(LEFT('Blind Scoring Sheet'!F614,FIND("|",'Blind Scoring Sheet'!F614)-1))))</f>
        <v/>
      </c>
      <c r="F614" s="81">
        <f>IF(ISNUMBER('Blind Scoring Sheet'!H614),'Blind Scoring Sheet'!H614,VALUE(TRIM(LEFT('Blind Scoring Sheet'!H614,FIND("|",'Blind Scoring Sheet'!H614)-1))))</f>
        <v/>
      </c>
      <c r="G614" s="81">
        <f>IF(ISNUMBER('Blind Scoring Sheet'!J614),'Blind Scoring Sheet'!J614,VALUE(TRIM(LEFT('Blind Scoring Sheet'!J614,FIND("|",'Blind Scoring Sheet'!J614)-1))))</f>
        <v/>
      </c>
      <c r="H614" s="80">
        <f>IF(ISNUMBER(SEARCH("|",'Blind Scoring Sheet'!K614)),TRIM(LEFT('Blind Scoring Sheet'!K614,FIND("|",'Blind Scoring Sheet'!K614)-1)),TRIM('Blind Scoring Sheet'!K614))</f>
        <v/>
      </c>
    </row>
    <row r="615" ht="15" customHeight="1" s="38">
      <c r="A615" s="80">
        <f>'Blind Scoring Sheet'!A615</f>
        <v/>
      </c>
      <c r="B615" s="80">
        <f>MID(INDEX('Anonymization Key'!$B$4:$B$1003,MATCH(A615,'Anonymization Key'!$A$4:$A$1003,0)),3,2)</f>
        <v/>
      </c>
      <c r="C615" s="81">
        <f>IF(ISNUMBER('Blind Scoring Sheet'!B615),'Blind Scoring Sheet'!B615,VALUE(TRIM(LEFT('Blind Scoring Sheet'!B615,FIND("|",'Blind Scoring Sheet'!B615)-1))))</f>
        <v/>
      </c>
      <c r="D615" s="81">
        <f>IF(ISNUMBER('Blind Scoring Sheet'!D615),'Blind Scoring Sheet'!D615,VALUE(TRIM(LEFT('Blind Scoring Sheet'!D615,FIND("|",'Blind Scoring Sheet'!D615)-1))))</f>
        <v/>
      </c>
      <c r="E615" s="81">
        <f>IF(ISNUMBER('Blind Scoring Sheet'!F615),'Blind Scoring Sheet'!F615,VALUE(TRIM(LEFT('Blind Scoring Sheet'!F615,FIND("|",'Blind Scoring Sheet'!F615)-1))))</f>
        <v/>
      </c>
      <c r="F615" s="81">
        <f>IF(ISNUMBER('Blind Scoring Sheet'!H615),'Blind Scoring Sheet'!H615,VALUE(TRIM(LEFT('Blind Scoring Sheet'!H615,FIND("|",'Blind Scoring Sheet'!H615)-1))))</f>
        <v/>
      </c>
      <c r="G615" s="81">
        <f>IF(ISNUMBER('Blind Scoring Sheet'!J615),'Blind Scoring Sheet'!J615,VALUE(TRIM(LEFT('Blind Scoring Sheet'!J615,FIND("|",'Blind Scoring Sheet'!J615)-1))))</f>
        <v/>
      </c>
      <c r="H615" s="80">
        <f>IF(ISNUMBER(SEARCH("|",'Blind Scoring Sheet'!K615)),TRIM(LEFT('Blind Scoring Sheet'!K615,FIND("|",'Blind Scoring Sheet'!K615)-1)),TRIM('Blind Scoring Sheet'!K615))</f>
        <v/>
      </c>
    </row>
    <row r="616" ht="15" customHeight="1" s="38">
      <c r="A616" s="80">
        <f>'Blind Scoring Sheet'!A616</f>
        <v/>
      </c>
      <c r="B616" s="80">
        <f>MID(INDEX('Anonymization Key'!$B$4:$B$1003,MATCH(A616,'Anonymization Key'!$A$4:$A$1003,0)),3,2)</f>
        <v/>
      </c>
      <c r="C616" s="81">
        <f>IF(ISNUMBER('Blind Scoring Sheet'!B616),'Blind Scoring Sheet'!B616,VALUE(TRIM(LEFT('Blind Scoring Sheet'!B616,FIND("|",'Blind Scoring Sheet'!B616)-1))))</f>
        <v/>
      </c>
      <c r="D616" s="81">
        <f>IF(ISNUMBER('Blind Scoring Sheet'!D616),'Blind Scoring Sheet'!D616,VALUE(TRIM(LEFT('Blind Scoring Sheet'!D616,FIND("|",'Blind Scoring Sheet'!D616)-1))))</f>
        <v/>
      </c>
      <c r="E616" s="81">
        <f>IF(ISNUMBER('Blind Scoring Sheet'!F616),'Blind Scoring Sheet'!F616,VALUE(TRIM(LEFT('Blind Scoring Sheet'!F616,FIND("|",'Blind Scoring Sheet'!F616)-1))))</f>
        <v/>
      </c>
      <c r="F616" s="81">
        <f>IF(ISNUMBER('Blind Scoring Sheet'!H616),'Blind Scoring Sheet'!H616,VALUE(TRIM(LEFT('Blind Scoring Sheet'!H616,FIND("|",'Blind Scoring Sheet'!H616)-1))))</f>
        <v/>
      </c>
      <c r="G616" s="81">
        <f>IF(ISNUMBER('Blind Scoring Sheet'!J616),'Blind Scoring Sheet'!J616,VALUE(TRIM(LEFT('Blind Scoring Sheet'!J616,FIND("|",'Blind Scoring Sheet'!J616)-1))))</f>
        <v/>
      </c>
      <c r="H616" s="80">
        <f>IF(ISNUMBER(SEARCH("|",'Blind Scoring Sheet'!K616)),TRIM(LEFT('Blind Scoring Sheet'!K616,FIND("|",'Blind Scoring Sheet'!K616)-1)),TRIM('Blind Scoring Sheet'!K616))</f>
        <v/>
      </c>
    </row>
    <row r="617" ht="15" customHeight="1" s="38">
      <c r="A617" s="80">
        <f>'Blind Scoring Sheet'!A617</f>
        <v/>
      </c>
      <c r="B617" s="80">
        <f>MID(INDEX('Anonymization Key'!$B$4:$B$1003,MATCH(A617,'Anonymization Key'!$A$4:$A$1003,0)),3,2)</f>
        <v/>
      </c>
      <c r="C617" s="81">
        <f>IF(ISNUMBER('Blind Scoring Sheet'!B617),'Blind Scoring Sheet'!B617,VALUE(TRIM(LEFT('Blind Scoring Sheet'!B617,FIND("|",'Blind Scoring Sheet'!B617)-1))))</f>
        <v/>
      </c>
      <c r="D617" s="81">
        <f>IF(ISNUMBER('Blind Scoring Sheet'!D617),'Blind Scoring Sheet'!D617,VALUE(TRIM(LEFT('Blind Scoring Sheet'!D617,FIND("|",'Blind Scoring Sheet'!D617)-1))))</f>
        <v/>
      </c>
      <c r="E617" s="81">
        <f>IF(ISNUMBER('Blind Scoring Sheet'!F617),'Blind Scoring Sheet'!F617,VALUE(TRIM(LEFT('Blind Scoring Sheet'!F617,FIND("|",'Blind Scoring Sheet'!F617)-1))))</f>
        <v/>
      </c>
      <c r="F617" s="81">
        <f>IF(ISNUMBER('Blind Scoring Sheet'!H617),'Blind Scoring Sheet'!H617,VALUE(TRIM(LEFT('Blind Scoring Sheet'!H617,FIND("|",'Blind Scoring Sheet'!H617)-1))))</f>
        <v/>
      </c>
      <c r="G617" s="81">
        <f>IF(ISNUMBER('Blind Scoring Sheet'!J617),'Blind Scoring Sheet'!J617,VALUE(TRIM(LEFT('Blind Scoring Sheet'!J617,FIND("|",'Blind Scoring Sheet'!J617)-1))))</f>
        <v/>
      </c>
      <c r="H617" s="80">
        <f>IF(ISNUMBER(SEARCH("|",'Blind Scoring Sheet'!K617)),TRIM(LEFT('Blind Scoring Sheet'!K617,FIND("|",'Blind Scoring Sheet'!K617)-1)),TRIM('Blind Scoring Sheet'!K617))</f>
        <v/>
      </c>
    </row>
    <row r="618" ht="15" customHeight="1" s="38">
      <c r="A618" s="80">
        <f>'Blind Scoring Sheet'!A618</f>
        <v/>
      </c>
      <c r="B618" s="80">
        <f>MID(INDEX('Anonymization Key'!$B$4:$B$1003,MATCH(A618,'Anonymization Key'!$A$4:$A$1003,0)),3,2)</f>
        <v/>
      </c>
      <c r="C618" s="81">
        <f>IF(ISNUMBER('Blind Scoring Sheet'!B618),'Blind Scoring Sheet'!B618,VALUE(TRIM(LEFT('Blind Scoring Sheet'!B618,FIND("|",'Blind Scoring Sheet'!B618)-1))))</f>
        <v/>
      </c>
      <c r="D618" s="81">
        <f>IF(ISNUMBER('Blind Scoring Sheet'!D618),'Blind Scoring Sheet'!D618,VALUE(TRIM(LEFT('Blind Scoring Sheet'!D618,FIND("|",'Blind Scoring Sheet'!D618)-1))))</f>
        <v/>
      </c>
      <c r="E618" s="81">
        <f>IF(ISNUMBER('Blind Scoring Sheet'!F618),'Blind Scoring Sheet'!F618,VALUE(TRIM(LEFT('Blind Scoring Sheet'!F618,FIND("|",'Blind Scoring Sheet'!F618)-1))))</f>
        <v/>
      </c>
      <c r="F618" s="81">
        <f>IF(ISNUMBER('Blind Scoring Sheet'!H618),'Blind Scoring Sheet'!H618,VALUE(TRIM(LEFT('Blind Scoring Sheet'!H618,FIND("|",'Blind Scoring Sheet'!H618)-1))))</f>
        <v/>
      </c>
      <c r="G618" s="81">
        <f>IF(ISNUMBER('Blind Scoring Sheet'!J618),'Blind Scoring Sheet'!J618,VALUE(TRIM(LEFT('Blind Scoring Sheet'!J618,FIND("|",'Blind Scoring Sheet'!J618)-1))))</f>
        <v/>
      </c>
      <c r="H618" s="80">
        <f>IF(ISNUMBER(SEARCH("|",'Blind Scoring Sheet'!K618)),TRIM(LEFT('Blind Scoring Sheet'!K618,FIND("|",'Blind Scoring Sheet'!K618)-1)),TRIM('Blind Scoring Sheet'!K618))</f>
        <v/>
      </c>
    </row>
    <row r="619" ht="15" customHeight="1" s="38">
      <c r="A619" s="80">
        <f>'Blind Scoring Sheet'!A619</f>
        <v/>
      </c>
      <c r="B619" s="80">
        <f>MID(INDEX('Anonymization Key'!$B$4:$B$1003,MATCH(A619,'Anonymization Key'!$A$4:$A$1003,0)),3,2)</f>
        <v/>
      </c>
      <c r="C619" s="81">
        <f>IF(ISNUMBER('Blind Scoring Sheet'!B619),'Blind Scoring Sheet'!B619,VALUE(TRIM(LEFT('Blind Scoring Sheet'!B619,FIND("|",'Blind Scoring Sheet'!B619)-1))))</f>
        <v/>
      </c>
      <c r="D619" s="81">
        <f>IF(ISNUMBER('Blind Scoring Sheet'!D619),'Blind Scoring Sheet'!D619,VALUE(TRIM(LEFT('Blind Scoring Sheet'!D619,FIND("|",'Blind Scoring Sheet'!D619)-1))))</f>
        <v/>
      </c>
      <c r="E619" s="81">
        <f>IF(ISNUMBER('Blind Scoring Sheet'!F619),'Blind Scoring Sheet'!F619,VALUE(TRIM(LEFT('Blind Scoring Sheet'!F619,FIND("|",'Blind Scoring Sheet'!F619)-1))))</f>
        <v/>
      </c>
      <c r="F619" s="81">
        <f>IF(ISNUMBER('Blind Scoring Sheet'!H619),'Blind Scoring Sheet'!H619,VALUE(TRIM(LEFT('Blind Scoring Sheet'!H619,FIND("|",'Blind Scoring Sheet'!H619)-1))))</f>
        <v/>
      </c>
      <c r="G619" s="81">
        <f>IF(ISNUMBER('Blind Scoring Sheet'!J619),'Blind Scoring Sheet'!J619,VALUE(TRIM(LEFT('Blind Scoring Sheet'!J619,FIND("|",'Blind Scoring Sheet'!J619)-1))))</f>
        <v/>
      </c>
      <c r="H619" s="80">
        <f>IF(ISNUMBER(SEARCH("|",'Blind Scoring Sheet'!K619)),TRIM(LEFT('Blind Scoring Sheet'!K619,FIND("|",'Blind Scoring Sheet'!K619)-1)),TRIM('Blind Scoring Sheet'!K619))</f>
        <v/>
      </c>
    </row>
    <row r="620" ht="15" customHeight="1" s="38">
      <c r="A620" s="80">
        <f>'Blind Scoring Sheet'!A620</f>
        <v/>
      </c>
      <c r="B620" s="80">
        <f>MID(INDEX('Anonymization Key'!$B$4:$B$1003,MATCH(A620,'Anonymization Key'!$A$4:$A$1003,0)),3,2)</f>
        <v/>
      </c>
      <c r="C620" s="81">
        <f>IF(ISNUMBER('Blind Scoring Sheet'!B620),'Blind Scoring Sheet'!B620,VALUE(TRIM(LEFT('Blind Scoring Sheet'!B620,FIND("|",'Blind Scoring Sheet'!B620)-1))))</f>
        <v/>
      </c>
      <c r="D620" s="81">
        <f>IF(ISNUMBER('Blind Scoring Sheet'!D620),'Blind Scoring Sheet'!D620,VALUE(TRIM(LEFT('Blind Scoring Sheet'!D620,FIND("|",'Blind Scoring Sheet'!D620)-1))))</f>
        <v/>
      </c>
      <c r="E620" s="81">
        <f>IF(ISNUMBER('Blind Scoring Sheet'!F620),'Blind Scoring Sheet'!F620,VALUE(TRIM(LEFT('Blind Scoring Sheet'!F620,FIND("|",'Blind Scoring Sheet'!F620)-1))))</f>
        <v/>
      </c>
      <c r="F620" s="81">
        <f>IF(ISNUMBER('Blind Scoring Sheet'!H620),'Blind Scoring Sheet'!H620,VALUE(TRIM(LEFT('Blind Scoring Sheet'!H620,FIND("|",'Blind Scoring Sheet'!H620)-1))))</f>
        <v/>
      </c>
      <c r="G620" s="81">
        <f>IF(ISNUMBER('Blind Scoring Sheet'!J620),'Blind Scoring Sheet'!J620,VALUE(TRIM(LEFT('Blind Scoring Sheet'!J620,FIND("|",'Blind Scoring Sheet'!J620)-1))))</f>
        <v/>
      </c>
      <c r="H620" s="80">
        <f>IF(ISNUMBER(SEARCH("|",'Blind Scoring Sheet'!K620)),TRIM(LEFT('Blind Scoring Sheet'!K620,FIND("|",'Blind Scoring Sheet'!K620)-1)),TRIM('Blind Scoring Sheet'!K620))</f>
        <v/>
      </c>
    </row>
    <row r="621" ht="15" customHeight="1" s="38">
      <c r="A621" s="80">
        <f>'Blind Scoring Sheet'!A621</f>
        <v/>
      </c>
      <c r="B621" s="80">
        <f>MID(INDEX('Anonymization Key'!$B$4:$B$1003,MATCH(A621,'Anonymization Key'!$A$4:$A$1003,0)),3,2)</f>
        <v/>
      </c>
      <c r="C621" s="81">
        <f>IF(ISNUMBER('Blind Scoring Sheet'!B621),'Blind Scoring Sheet'!B621,VALUE(TRIM(LEFT('Blind Scoring Sheet'!B621,FIND("|",'Blind Scoring Sheet'!B621)-1))))</f>
        <v/>
      </c>
      <c r="D621" s="81">
        <f>IF(ISNUMBER('Blind Scoring Sheet'!D621),'Blind Scoring Sheet'!D621,VALUE(TRIM(LEFT('Blind Scoring Sheet'!D621,FIND("|",'Blind Scoring Sheet'!D621)-1))))</f>
        <v/>
      </c>
      <c r="E621" s="81">
        <f>IF(ISNUMBER('Blind Scoring Sheet'!F621),'Blind Scoring Sheet'!F621,VALUE(TRIM(LEFT('Blind Scoring Sheet'!F621,FIND("|",'Blind Scoring Sheet'!F621)-1))))</f>
        <v/>
      </c>
      <c r="F621" s="81">
        <f>IF(ISNUMBER('Blind Scoring Sheet'!H621),'Blind Scoring Sheet'!H621,VALUE(TRIM(LEFT('Blind Scoring Sheet'!H621,FIND("|",'Blind Scoring Sheet'!H621)-1))))</f>
        <v/>
      </c>
      <c r="G621" s="81">
        <f>IF(ISNUMBER('Blind Scoring Sheet'!J621),'Blind Scoring Sheet'!J621,VALUE(TRIM(LEFT('Blind Scoring Sheet'!J621,FIND("|",'Blind Scoring Sheet'!J621)-1))))</f>
        <v/>
      </c>
      <c r="H621" s="80">
        <f>IF(ISNUMBER(SEARCH("|",'Blind Scoring Sheet'!K621)),TRIM(LEFT('Blind Scoring Sheet'!K621,FIND("|",'Blind Scoring Sheet'!K621)-1)),TRIM('Blind Scoring Sheet'!K621))</f>
        <v/>
      </c>
    </row>
    <row r="622" ht="15" customHeight="1" s="38">
      <c r="A622" s="80">
        <f>'Blind Scoring Sheet'!A622</f>
        <v/>
      </c>
      <c r="B622" s="80">
        <f>MID(INDEX('Anonymization Key'!$B$4:$B$1003,MATCH(A622,'Anonymization Key'!$A$4:$A$1003,0)),3,2)</f>
        <v/>
      </c>
      <c r="C622" s="81">
        <f>IF(ISNUMBER('Blind Scoring Sheet'!B622),'Blind Scoring Sheet'!B622,VALUE(TRIM(LEFT('Blind Scoring Sheet'!B622,FIND("|",'Blind Scoring Sheet'!B622)-1))))</f>
        <v/>
      </c>
      <c r="D622" s="81">
        <f>IF(ISNUMBER('Blind Scoring Sheet'!D622),'Blind Scoring Sheet'!D622,VALUE(TRIM(LEFT('Blind Scoring Sheet'!D622,FIND("|",'Blind Scoring Sheet'!D622)-1))))</f>
        <v/>
      </c>
      <c r="E622" s="81">
        <f>IF(ISNUMBER('Blind Scoring Sheet'!F622),'Blind Scoring Sheet'!F622,VALUE(TRIM(LEFT('Blind Scoring Sheet'!F622,FIND("|",'Blind Scoring Sheet'!F622)-1))))</f>
        <v/>
      </c>
      <c r="F622" s="81">
        <f>IF(ISNUMBER('Blind Scoring Sheet'!H622),'Blind Scoring Sheet'!H622,VALUE(TRIM(LEFT('Blind Scoring Sheet'!H622,FIND("|",'Blind Scoring Sheet'!H622)-1))))</f>
        <v/>
      </c>
      <c r="G622" s="81">
        <f>IF(ISNUMBER('Blind Scoring Sheet'!J622),'Blind Scoring Sheet'!J622,VALUE(TRIM(LEFT('Blind Scoring Sheet'!J622,FIND("|",'Blind Scoring Sheet'!J622)-1))))</f>
        <v/>
      </c>
      <c r="H622" s="80">
        <f>IF(ISNUMBER(SEARCH("|",'Blind Scoring Sheet'!K622)),TRIM(LEFT('Blind Scoring Sheet'!K622,FIND("|",'Blind Scoring Sheet'!K622)-1)),TRIM('Blind Scoring Sheet'!K622))</f>
        <v/>
      </c>
    </row>
    <row r="623" ht="15" customHeight="1" s="38">
      <c r="A623" s="80">
        <f>'Blind Scoring Sheet'!A623</f>
        <v/>
      </c>
      <c r="B623" s="80">
        <f>MID(INDEX('Anonymization Key'!$B$4:$B$1003,MATCH(A623,'Anonymization Key'!$A$4:$A$1003,0)),3,2)</f>
        <v/>
      </c>
      <c r="C623" s="81">
        <f>IF(ISNUMBER('Blind Scoring Sheet'!B623),'Blind Scoring Sheet'!B623,VALUE(TRIM(LEFT('Blind Scoring Sheet'!B623,FIND("|",'Blind Scoring Sheet'!B623)-1))))</f>
        <v/>
      </c>
      <c r="D623" s="81">
        <f>IF(ISNUMBER('Blind Scoring Sheet'!D623),'Blind Scoring Sheet'!D623,VALUE(TRIM(LEFT('Blind Scoring Sheet'!D623,FIND("|",'Blind Scoring Sheet'!D623)-1))))</f>
        <v/>
      </c>
      <c r="E623" s="81">
        <f>IF(ISNUMBER('Blind Scoring Sheet'!F623),'Blind Scoring Sheet'!F623,VALUE(TRIM(LEFT('Blind Scoring Sheet'!F623,FIND("|",'Blind Scoring Sheet'!F623)-1))))</f>
        <v/>
      </c>
      <c r="F623" s="81">
        <f>IF(ISNUMBER('Blind Scoring Sheet'!H623),'Blind Scoring Sheet'!H623,VALUE(TRIM(LEFT('Blind Scoring Sheet'!H623,FIND("|",'Blind Scoring Sheet'!H623)-1))))</f>
        <v/>
      </c>
      <c r="G623" s="81">
        <f>IF(ISNUMBER('Blind Scoring Sheet'!J623),'Blind Scoring Sheet'!J623,VALUE(TRIM(LEFT('Blind Scoring Sheet'!J623,FIND("|",'Blind Scoring Sheet'!J623)-1))))</f>
        <v/>
      </c>
      <c r="H623" s="80">
        <f>IF(ISNUMBER(SEARCH("|",'Blind Scoring Sheet'!K623)),TRIM(LEFT('Blind Scoring Sheet'!K623,FIND("|",'Blind Scoring Sheet'!K623)-1)),TRIM('Blind Scoring Sheet'!K623))</f>
        <v/>
      </c>
    </row>
    <row r="624" ht="15" customHeight="1" s="38">
      <c r="A624" s="80">
        <f>'Blind Scoring Sheet'!A624</f>
        <v/>
      </c>
      <c r="B624" s="80">
        <f>MID(INDEX('Anonymization Key'!$B$4:$B$1003,MATCH(A624,'Anonymization Key'!$A$4:$A$1003,0)),3,2)</f>
        <v/>
      </c>
      <c r="C624" s="81">
        <f>IF(ISNUMBER('Blind Scoring Sheet'!B624),'Blind Scoring Sheet'!B624,VALUE(TRIM(LEFT('Blind Scoring Sheet'!B624,FIND("|",'Blind Scoring Sheet'!B624)-1))))</f>
        <v/>
      </c>
      <c r="D624" s="81">
        <f>IF(ISNUMBER('Blind Scoring Sheet'!D624),'Blind Scoring Sheet'!D624,VALUE(TRIM(LEFT('Blind Scoring Sheet'!D624,FIND("|",'Blind Scoring Sheet'!D624)-1))))</f>
        <v/>
      </c>
      <c r="E624" s="81">
        <f>IF(ISNUMBER('Blind Scoring Sheet'!F624),'Blind Scoring Sheet'!F624,VALUE(TRIM(LEFT('Blind Scoring Sheet'!F624,FIND("|",'Blind Scoring Sheet'!F624)-1))))</f>
        <v/>
      </c>
      <c r="F624" s="81">
        <f>IF(ISNUMBER('Blind Scoring Sheet'!H624),'Blind Scoring Sheet'!H624,VALUE(TRIM(LEFT('Blind Scoring Sheet'!H624,FIND("|",'Blind Scoring Sheet'!H624)-1))))</f>
        <v/>
      </c>
      <c r="G624" s="81">
        <f>IF(ISNUMBER('Blind Scoring Sheet'!J624),'Blind Scoring Sheet'!J624,VALUE(TRIM(LEFT('Blind Scoring Sheet'!J624,FIND("|",'Blind Scoring Sheet'!J624)-1))))</f>
        <v/>
      </c>
      <c r="H624" s="80">
        <f>IF(ISNUMBER(SEARCH("|",'Blind Scoring Sheet'!K624)),TRIM(LEFT('Blind Scoring Sheet'!K624,FIND("|",'Blind Scoring Sheet'!K624)-1)),TRIM('Blind Scoring Sheet'!K624))</f>
        <v/>
      </c>
    </row>
    <row r="625" ht="15" customHeight="1" s="38">
      <c r="A625" s="80">
        <f>'Blind Scoring Sheet'!A625</f>
        <v/>
      </c>
      <c r="B625" s="80">
        <f>MID(INDEX('Anonymization Key'!$B$4:$B$1003,MATCH(A625,'Anonymization Key'!$A$4:$A$1003,0)),3,2)</f>
        <v/>
      </c>
      <c r="C625" s="81">
        <f>IF(ISNUMBER('Blind Scoring Sheet'!B625),'Blind Scoring Sheet'!B625,VALUE(TRIM(LEFT('Blind Scoring Sheet'!B625,FIND("|",'Blind Scoring Sheet'!B625)-1))))</f>
        <v/>
      </c>
      <c r="D625" s="81">
        <f>IF(ISNUMBER('Blind Scoring Sheet'!D625),'Blind Scoring Sheet'!D625,VALUE(TRIM(LEFT('Blind Scoring Sheet'!D625,FIND("|",'Blind Scoring Sheet'!D625)-1))))</f>
        <v/>
      </c>
      <c r="E625" s="81">
        <f>IF(ISNUMBER('Blind Scoring Sheet'!F625),'Blind Scoring Sheet'!F625,VALUE(TRIM(LEFT('Blind Scoring Sheet'!F625,FIND("|",'Blind Scoring Sheet'!F625)-1))))</f>
        <v/>
      </c>
      <c r="F625" s="81">
        <f>IF(ISNUMBER('Blind Scoring Sheet'!H625),'Blind Scoring Sheet'!H625,VALUE(TRIM(LEFT('Blind Scoring Sheet'!H625,FIND("|",'Blind Scoring Sheet'!H625)-1))))</f>
        <v/>
      </c>
      <c r="G625" s="81">
        <f>IF(ISNUMBER('Blind Scoring Sheet'!J625),'Blind Scoring Sheet'!J625,VALUE(TRIM(LEFT('Blind Scoring Sheet'!J625,FIND("|",'Blind Scoring Sheet'!J625)-1))))</f>
        <v/>
      </c>
      <c r="H625" s="80">
        <f>IF(ISNUMBER(SEARCH("|",'Blind Scoring Sheet'!K625)),TRIM(LEFT('Blind Scoring Sheet'!K625,FIND("|",'Blind Scoring Sheet'!K625)-1)),TRIM('Blind Scoring Sheet'!K625))</f>
        <v/>
      </c>
    </row>
    <row r="626" ht="15" customHeight="1" s="38">
      <c r="A626" s="80">
        <f>'Blind Scoring Sheet'!A626</f>
        <v/>
      </c>
      <c r="B626" s="80">
        <f>MID(INDEX('Anonymization Key'!$B$4:$B$1003,MATCH(A626,'Anonymization Key'!$A$4:$A$1003,0)),3,2)</f>
        <v/>
      </c>
      <c r="C626" s="81">
        <f>IF(ISNUMBER('Blind Scoring Sheet'!B626),'Blind Scoring Sheet'!B626,VALUE(TRIM(LEFT('Blind Scoring Sheet'!B626,FIND("|",'Blind Scoring Sheet'!B626)-1))))</f>
        <v/>
      </c>
      <c r="D626" s="81">
        <f>IF(ISNUMBER('Blind Scoring Sheet'!D626),'Blind Scoring Sheet'!D626,VALUE(TRIM(LEFT('Blind Scoring Sheet'!D626,FIND("|",'Blind Scoring Sheet'!D626)-1))))</f>
        <v/>
      </c>
      <c r="E626" s="81">
        <f>IF(ISNUMBER('Blind Scoring Sheet'!F626),'Blind Scoring Sheet'!F626,VALUE(TRIM(LEFT('Blind Scoring Sheet'!F626,FIND("|",'Blind Scoring Sheet'!F626)-1))))</f>
        <v/>
      </c>
      <c r="F626" s="81">
        <f>IF(ISNUMBER('Blind Scoring Sheet'!H626),'Blind Scoring Sheet'!H626,VALUE(TRIM(LEFT('Blind Scoring Sheet'!H626,FIND("|",'Blind Scoring Sheet'!H626)-1))))</f>
        <v/>
      </c>
      <c r="G626" s="81">
        <f>IF(ISNUMBER('Blind Scoring Sheet'!J626),'Blind Scoring Sheet'!J626,VALUE(TRIM(LEFT('Blind Scoring Sheet'!J626,FIND("|",'Blind Scoring Sheet'!J626)-1))))</f>
        <v/>
      </c>
      <c r="H626" s="80">
        <f>IF(ISNUMBER(SEARCH("|",'Blind Scoring Sheet'!K626)),TRIM(LEFT('Blind Scoring Sheet'!K626,FIND("|",'Blind Scoring Sheet'!K626)-1)),TRIM('Blind Scoring Sheet'!K626))</f>
        <v/>
      </c>
    </row>
    <row r="627" ht="15" customHeight="1" s="38">
      <c r="A627" s="80">
        <f>'Blind Scoring Sheet'!A627</f>
        <v/>
      </c>
      <c r="B627" s="80">
        <f>MID(INDEX('Anonymization Key'!$B$4:$B$1003,MATCH(A627,'Anonymization Key'!$A$4:$A$1003,0)),3,2)</f>
        <v/>
      </c>
      <c r="C627" s="81">
        <f>IF(ISNUMBER('Blind Scoring Sheet'!B627),'Blind Scoring Sheet'!B627,VALUE(TRIM(LEFT('Blind Scoring Sheet'!B627,FIND("|",'Blind Scoring Sheet'!B627)-1))))</f>
        <v/>
      </c>
      <c r="D627" s="81">
        <f>IF(ISNUMBER('Blind Scoring Sheet'!D627),'Blind Scoring Sheet'!D627,VALUE(TRIM(LEFT('Blind Scoring Sheet'!D627,FIND("|",'Blind Scoring Sheet'!D627)-1))))</f>
        <v/>
      </c>
      <c r="E627" s="81">
        <f>IF(ISNUMBER('Blind Scoring Sheet'!F627),'Blind Scoring Sheet'!F627,VALUE(TRIM(LEFT('Blind Scoring Sheet'!F627,FIND("|",'Blind Scoring Sheet'!F627)-1))))</f>
        <v/>
      </c>
      <c r="F627" s="81">
        <f>IF(ISNUMBER('Blind Scoring Sheet'!H627),'Blind Scoring Sheet'!H627,VALUE(TRIM(LEFT('Blind Scoring Sheet'!H627,FIND("|",'Blind Scoring Sheet'!H627)-1))))</f>
        <v/>
      </c>
      <c r="G627" s="81">
        <f>IF(ISNUMBER('Blind Scoring Sheet'!J627),'Blind Scoring Sheet'!J627,VALUE(TRIM(LEFT('Blind Scoring Sheet'!J627,FIND("|",'Blind Scoring Sheet'!J627)-1))))</f>
        <v/>
      </c>
      <c r="H627" s="80">
        <f>IF(ISNUMBER(SEARCH("|",'Blind Scoring Sheet'!K627)),TRIM(LEFT('Blind Scoring Sheet'!K627,FIND("|",'Blind Scoring Sheet'!K627)-1)),TRIM('Blind Scoring Sheet'!K627))</f>
        <v/>
      </c>
    </row>
    <row r="628" ht="15" customHeight="1" s="38">
      <c r="A628" s="80">
        <f>'Blind Scoring Sheet'!A628</f>
        <v/>
      </c>
      <c r="B628" s="80">
        <f>MID(INDEX('Anonymization Key'!$B$4:$B$1003,MATCH(A628,'Anonymization Key'!$A$4:$A$1003,0)),3,2)</f>
        <v/>
      </c>
      <c r="C628" s="81">
        <f>IF(ISNUMBER('Blind Scoring Sheet'!B628),'Blind Scoring Sheet'!B628,VALUE(TRIM(LEFT('Blind Scoring Sheet'!B628,FIND("|",'Blind Scoring Sheet'!B628)-1))))</f>
        <v/>
      </c>
      <c r="D628" s="81">
        <f>IF(ISNUMBER('Blind Scoring Sheet'!D628),'Blind Scoring Sheet'!D628,VALUE(TRIM(LEFT('Blind Scoring Sheet'!D628,FIND("|",'Blind Scoring Sheet'!D628)-1))))</f>
        <v/>
      </c>
      <c r="E628" s="81">
        <f>IF(ISNUMBER('Blind Scoring Sheet'!F628),'Blind Scoring Sheet'!F628,VALUE(TRIM(LEFT('Blind Scoring Sheet'!F628,FIND("|",'Blind Scoring Sheet'!F628)-1))))</f>
        <v/>
      </c>
      <c r="F628" s="81">
        <f>IF(ISNUMBER('Blind Scoring Sheet'!H628),'Blind Scoring Sheet'!H628,VALUE(TRIM(LEFT('Blind Scoring Sheet'!H628,FIND("|",'Blind Scoring Sheet'!H628)-1))))</f>
        <v/>
      </c>
      <c r="G628" s="81">
        <f>IF(ISNUMBER('Blind Scoring Sheet'!J628),'Blind Scoring Sheet'!J628,VALUE(TRIM(LEFT('Blind Scoring Sheet'!J628,FIND("|",'Blind Scoring Sheet'!J628)-1))))</f>
        <v/>
      </c>
      <c r="H628" s="80">
        <f>IF(ISNUMBER(SEARCH("|",'Blind Scoring Sheet'!K628)),TRIM(LEFT('Blind Scoring Sheet'!K628,FIND("|",'Blind Scoring Sheet'!K628)-1)),TRIM('Blind Scoring Sheet'!K628))</f>
        <v/>
      </c>
    </row>
    <row r="629" ht="15" customHeight="1" s="38">
      <c r="A629" s="80">
        <f>'Blind Scoring Sheet'!A629</f>
        <v/>
      </c>
      <c r="B629" s="80">
        <f>MID(INDEX('Anonymization Key'!$B$4:$B$1003,MATCH(A629,'Anonymization Key'!$A$4:$A$1003,0)),3,2)</f>
        <v/>
      </c>
      <c r="C629" s="81">
        <f>IF(ISNUMBER('Blind Scoring Sheet'!B629),'Blind Scoring Sheet'!B629,VALUE(TRIM(LEFT('Blind Scoring Sheet'!B629,FIND("|",'Blind Scoring Sheet'!B629)-1))))</f>
        <v/>
      </c>
      <c r="D629" s="81">
        <f>IF(ISNUMBER('Blind Scoring Sheet'!D629),'Blind Scoring Sheet'!D629,VALUE(TRIM(LEFT('Blind Scoring Sheet'!D629,FIND("|",'Blind Scoring Sheet'!D629)-1))))</f>
        <v/>
      </c>
      <c r="E629" s="81">
        <f>IF(ISNUMBER('Blind Scoring Sheet'!F629),'Blind Scoring Sheet'!F629,VALUE(TRIM(LEFT('Blind Scoring Sheet'!F629,FIND("|",'Blind Scoring Sheet'!F629)-1))))</f>
        <v/>
      </c>
      <c r="F629" s="81">
        <f>IF(ISNUMBER('Blind Scoring Sheet'!H629),'Blind Scoring Sheet'!H629,VALUE(TRIM(LEFT('Blind Scoring Sheet'!H629,FIND("|",'Blind Scoring Sheet'!H629)-1))))</f>
        <v/>
      </c>
      <c r="G629" s="81">
        <f>IF(ISNUMBER('Blind Scoring Sheet'!J629),'Blind Scoring Sheet'!J629,VALUE(TRIM(LEFT('Blind Scoring Sheet'!J629,FIND("|",'Blind Scoring Sheet'!J629)-1))))</f>
        <v/>
      </c>
      <c r="H629" s="80">
        <f>IF(ISNUMBER(SEARCH("|",'Blind Scoring Sheet'!K629)),TRIM(LEFT('Blind Scoring Sheet'!K629,FIND("|",'Blind Scoring Sheet'!K629)-1)),TRIM('Blind Scoring Sheet'!K629))</f>
        <v/>
      </c>
    </row>
    <row r="630" ht="15" customHeight="1" s="38">
      <c r="A630" s="80">
        <f>'Blind Scoring Sheet'!A630</f>
        <v/>
      </c>
      <c r="B630" s="80">
        <f>MID(INDEX('Anonymization Key'!$B$4:$B$1003,MATCH(A630,'Anonymization Key'!$A$4:$A$1003,0)),3,2)</f>
        <v/>
      </c>
      <c r="C630" s="81">
        <f>IF(ISNUMBER('Blind Scoring Sheet'!B630),'Blind Scoring Sheet'!B630,VALUE(TRIM(LEFT('Blind Scoring Sheet'!B630,FIND("|",'Blind Scoring Sheet'!B630)-1))))</f>
        <v/>
      </c>
      <c r="D630" s="81">
        <f>IF(ISNUMBER('Blind Scoring Sheet'!D630),'Blind Scoring Sheet'!D630,VALUE(TRIM(LEFT('Blind Scoring Sheet'!D630,FIND("|",'Blind Scoring Sheet'!D630)-1))))</f>
        <v/>
      </c>
      <c r="E630" s="81">
        <f>IF(ISNUMBER('Blind Scoring Sheet'!F630),'Blind Scoring Sheet'!F630,VALUE(TRIM(LEFT('Blind Scoring Sheet'!F630,FIND("|",'Blind Scoring Sheet'!F630)-1))))</f>
        <v/>
      </c>
      <c r="F630" s="81">
        <f>IF(ISNUMBER('Blind Scoring Sheet'!H630),'Blind Scoring Sheet'!H630,VALUE(TRIM(LEFT('Blind Scoring Sheet'!H630,FIND("|",'Blind Scoring Sheet'!H630)-1))))</f>
        <v/>
      </c>
      <c r="G630" s="81">
        <f>IF(ISNUMBER('Blind Scoring Sheet'!J630),'Blind Scoring Sheet'!J630,VALUE(TRIM(LEFT('Blind Scoring Sheet'!J630,FIND("|",'Blind Scoring Sheet'!J630)-1))))</f>
        <v/>
      </c>
      <c r="H630" s="80">
        <f>IF(ISNUMBER(SEARCH("|",'Blind Scoring Sheet'!K630)),TRIM(LEFT('Blind Scoring Sheet'!K630,FIND("|",'Blind Scoring Sheet'!K630)-1)),TRIM('Blind Scoring Sheet'!K630))</f>
        <v/>
      </c>
    </row>
    <row r="631" ht="15" customHeight="1" s="38">
      <c r="A631" s="80">
        <f>'Blind Scoring Sheet'!A631</f>
        <v/>
      </c>
      <c r="B631" s="80">
        <f>MID(INDEX('Anonymization Key'!$B$4:$B$1003,MATCH(A631,'Anonymization Key'!$A$4:$A$1003,0)),3,2)</f>
        <v/>
      </c>
      <c r="C631" s="81">
        <f>IF(ISNUMBER('Blind Scoring Sheet'!B631),'Blind Scoring Sheet'!B631,VALUE(TRIM(LEFT('Blind Scoring Sheet'!B631,FIND("|",'Blind Scoring Sheet'!B631)-1))))</f>
        <v/>
      </c>
      <c r="D631" s="81">
        <f>IF(ISNUMBER('Blind Scoring Sheet'!D631),'Blind Scoring Sheet'!D631,VALUE(TRIM(LEFT('Blind Scoring Sheet'!D631,FIND("|",'Blind Scoring Sheet'!D631)-1))))</f>
        <v/>
      </c>
      <c r="E631" s="81">
        <f>IF(ISNUMBER('Blind Scoring Sheet'!F631),'Blind Scoring Sheet'!F631,VALUE(TRIM(LEFT('Blind Scoring Sheet'!F631,FIND("|",'Blind Scoring Sheet'!F631)-1))))</f>
        <v/>
      </c>
      <c r="F631" s="81">
        <f>IF(ISNUMBER('Blind Scoring Sheet'!H631),'Blind Scoring Sheet'!H631,VALUE(TRIM(LEFT('Blind Scoring Sheet'!H631,FIND("|",'Blind Scoring Sheet'!H631)-1))))</f>
        <v/>
      </c>
      <c r="G631" s="81">
        <f>IF(ISNUMBER('Blind Scoring Sheet'!J631),'Blind Scoring Sheet'!J631,VALUE(TRIM(LEFT('Blind Scoring Sheet'!J631,FIND("|",'Blind Scoring Sheet'!J631)-1))))</f>
        <v/>
      </c>
      <c r="H631" s="80">
        <f>IF(ISNUMBER(SEARCH("|",'Blind Scoring Sheet'!K631)),TRIM(LEFT('Blind Scoring Sheet'!K631,FIND("|",'Blind Scoring Sheet'!K631)-1)),TRIM('Blind Scoring Sheet'!K631))</f>
        <v/>
      </c>
    </row>
    <row r="632" ht="15" customHeight="1" s="38">
      <c r="A632" s="80">
        <f>'Blind Scoring Sheet'!A632</f>
        <v/>
      </c>
      <c r="B632" s="80">
        <f>MID(INDEX('Anonymization Key'!$B$4:$B$1003,MATCH(A632,'Anonymization Key'!$A$4:$A$1003,0)),3,2)</f>
        <v/>
      </c>
      <c r="C632" s="81">
        <f>IF(ISNUMBER('Blind Scoring Sheet'!B632),'Blind Scoring Sheet'!B632,VALUE(TRIM(LEFT('Blind Scoring Sheet'!B632,FIND("|",'Blind Scoring Sheet'!B632)-1))))</f>
        <v/>
      </c>
      <c r="D632" s="81">
        <f>IF(ISNUMBER('Blind Scoring Sheet'!D632),'Blind Scoring Sheet'!D632,VALUE(TRIM(LEFT('Blind Scoring Sheet'!D632,FIND("|",'Blind Scoring Sheet'!D632)-1))))</f>
        <v/>
      </c>
      <c r="E632" s="81">
        <f>IF(ISNUMBER('Blind Scoring Sheet'!F632),'Blind Scoring Sheet'!F632,VALUE(TRIM(LEFT('Blind Scoring Sheet'!F632,FIND("|",'Blind Scoring Sheet'!F632)-1))))</f>
        <v/>
      </c>
      <c r="F632" s="81">
        <f>IF(ISNUMBER('Blind Scoring Sheet'!H632),'Blind Scoring Sheet'!H632,VALUE(TRIM(LEFT('Blind Scoring Sheet'!H632,FIND("|",'Blind Scoring Sheet'!H632)-1))))</f>
        <v/>
      </c>
      <c r="G632" s="81">
        <f>IF(ISNUMBER('Blind Scoring Sheet'!J632),'Blind Scoring Sheet'!J632,VALUE(TRIM(LEFT('Blind Scoring Sheet'!J632,FIND("|",'Blind Scoring Sheet'!J632)-1))))</f>
        <v/>
      </c>
      <c r="H632" s="80">
        <f>IF(ISNUMBER(SEARCH("|",'Blind Scoring Sheet'!K632)),TRIM(LEFT('Blind Scoring Sheet'!K632,FIND("|",'Blind Scoring Sheet'!K632)-1)),TRIM('Blind Scoring Sheet'!K632))</f>
        <v/>
      </c>
    </row>
    <row r="633" ht="15" customHeight="1" s="38">
      <c r="A633" s="80">
        <f>'Blind Scoring Sheet'!A633</f>
        <v/>
      </c>
      <c r="B633" s="80">
        <f>MID(INDEX('Anonymization Key'!$B$4:$B$1003,MATCH(A633,'Anonymization Key'!$A$4:$A$1003,0)),3,2)</f>
        <v/>
      </c>
      <c r="C633" s="81">
        <f>IF(ISNUMBER('Blind Scoring Sheet'!B633),'Blind Scoring Sheet'!B633,VALUE(TRIM(LEFT('Blind Scoring Sheet'!B633,FIND("|",'Blind Scoring Sheet'!B633)-1))))</f>
        <v/>
      </c>
      <c r="D633" s="81">
        <f>IF(ISNUMBER('Blind Scoring Sheet'!D633),'Blind Scoring Sheet'!D633,VALUE(TRIM(LEFT('Blind Scoring Sheet'!D633,FIND("|",'Blind Scoring Sheet'!D633)-1))))</f>
        <v/>
      </c>
      <c r="E633" s="81">
        <f>IF(ISNUMBER('Blind Scoring Sheet'!F633),'Blind Scoring Sheet'!F633,VALUE(TRIM(LEFT('Blind Scoring Sheet'!F633,FIND("|",'Blind Scoring Sheet'!F633)-1))))</f>
        <v/>
      </c>
      <c r="F633" s="81">
        <f>IF(ISNUMBER('Blind Scoring Sheet'!H633),'Blind Scoring Sheet'!H633,VALUE(TRIM(LEFT('Blind Scoring Sheet'!H633,FIND("|",'Blind Scoring Sheet'!H633)-1))))</f>
        <v/>
      </c>
      <c r="G633" s="81">
        <f>IF(ISNUMBER('Blind Scoring Sheet'!J633),'Blind Scoring Sheet'!J633,VALUE(TRIM(LEFT('Blind Scoring Sheet'!J633,FIND("|",'Blind Scoring Sheet'!J633)-1))))</f>
        <v/>
      </c>
      <c r="H633" s="80">
        <f>IF(ISNUMBER(SEARCH("|",'Blind Scoring Sheet'!K633)),TRIM(LEFT('Blind Scoring Sheet'!K633,FIND("|",'Blind Scoring Sheet'!K633)-1)),TRIM('Blind Scoring Sheet'!K633))</f>
        <v/>
      </c>
    </row>
    <row r="634" ht="15" customHeight="1" s="38">
      <c r="A634" s="80">
        <f>'Blind Scoring Sheet'!A634</f>
        <v/>
      </c>
      <c r="B634" s="80">
        <f>MID(INDEX('Anonymization Key'!$B$4:$B$1003,MATCH(A634,'Anonymization Key'!$A$4:$A$1003,0)),3,2)</f>
        <v/>
      </c>
      <c r="C634" s="81">
        <f>IF(ISNUMBER('Blind Scoring Sheet'!B634),'Blind Scoring Sheet'!B634,VALUE(TRIM(LEFT('Blind Scoring Sheet'!B634,FIND("|",'Blind Scoring Sheet'!B634)-1))))</f>
        <v/>
      </c>
      <c r="D634" s="81">
        <f>IF(ISNUMBER('Blind Scoring Sheet'!D634),'Blind Scoring Sheet'!D634,VALUE(TRIM(LEFT('Blind Scoring Sheet'!D634,FIND("|",'Blind Scoring Sheet'!D634)-1))))</f>
        <v/>
      </c>
      <c r="E634" s="81">
        <f>IF(ISNUMBER('Blind Scoring Sheet'!F634),'Blind Scoring Sheet'!F634,VALUE(TRIM(LEFT('Blind Scoring Sheet'!F634,FIND("|",'Blind Scoring Sheet'!F634)-1))))</f>
        <v/>
      </c>
      <c r="F634" s="81">
        <f>IF(ISNUMBER('Blind Scoring Sheet'!H634),'Blind Scoring Sheet'!H634,VALUE(TRIM(LEFT('Blind Scoring Sheet'!H634,FIND("|",'Blind Scoring Sheet'!H634)-1))))</f>
        <v/>
      </c>
      <c r="G634" s="81">
        <f>IF(ISNUMBER('Blind Scoring Sheet'!J634),'Blind Scoring Sheet'!J634,VALUE(TRIM(LEFT('Blind Scoring Sheet'!J634,FIND("|",'Blind Scoring Sheet'!J634)-1))))</f>
        <v/>
      </c>
      <c r="H634" s="80">
        <f>IF(ISNUMBER(SEARCH("|",'Blind Scoring Sheet'!K634)),TRIM(LEFT('Blind Scoring Sheet'!K634,FIND("|",'Blind Scoring Sheet'!K634)-1)),TRIM('Blind Scoring Sheet'!K634))</f>
        <v/>
      </c>
    </row>
    <row r="635" ht="15" customHeight="1" s="38">
      <c r="A635" s="80">
        <f>'Blind Scoring Sheet'!A635</f>
        <v/>
      </c>
      <c r="B635" s="80">
        <f>MID(INDEX('Anonymization Key'!$B$4:$B$1003,MATCH(A635,'Anonymization Key'!$A$4:$A$1003,0)),3,2)</f>
        <v/>
      </c>
      <c r="C635" s="81">
        <f>IF(ISNUMBER('Blind Scoring Sheet'!B635),'Blind Scoring Sheet'!B635,VALUE(TRIM(LEFT('Blind Scoring Sheet'!B635,FIND("|",'Blind Scoring Sheet'!B635)-1))))</f>
        <v/>
      </c>
      <c r="D635" s="81">
        <f>IF(ISNUMBER('Blind Scoring Sheet'!D635),'Blind Scoring Sheet'!D635,VALUE(TRIM(LEFT('Blind Scoring Sheet'!D635,FIND("|",'Blind Scoring Sheet'!D635)-1))))</f>
        <v/>
      </c>
      <c r="E635" s="81">
        <f>IF(ISNUMBER('Blind Scoring Sheet'!F635),'Blind Scoring Sheet'!F635,VALUE(TRIM(LEFT('Blind Scoring Sheet'!F635,FIND("|",'Blind Scoring Sheet'!F635)-1))))</f>
        <v/>
      </c>
      <c r="F635" s="81">
        <f>IF(ISNUMBER('Blind Scoring Sheet'!H635),'Blind Scoring Sheet'!H635,VALUE(TRIM(LEFT('Blind Scoring Sheet'!H635,FIND("|",'Blind Scoring Sheet'!H635)-1))))</f>
        <v/>
      </c>
      <c r="G635" s="81">
        <f>IF(ISNUMBER('Blind Scoring Sheet'!J635),'Blind Scoring Sheet'!J635,VALUE(TRIM(LEFT('Blind Scoring Sheet'!J635,FIND("|",'Blind Scoring Sheet'!J635)-1))))</f>
        <v/>
      </c>
      <c r="H635" s="80">
        <f>IF(ISNUMBER(SEARCH("|",'Blind Scoring Sheet'!K635)),TRIM(LEFT('Blind Scoring Sheet'!K635,FIND("|",'Blind Scoring Sheet'!K635)-1)),TRIM('Blind Scoring Sheet'!K635))</f>
        <v/>
      </c>
    </row>
    <row r="636" ht="15" customHeight="1" s="38">
      <c r="A636" s="80">
        <f>'Blind Scoring Sheet'!A636</f>
        <v/>
      </c>
      <c r="B636" s="80">
        <f>MID(INDEX('Anonymization Key'!$B$4:$B$1003,MATCH(A636,'Anonymization Key'!$A$4:$A$1003,0)),3,2)</f>
        <v/>
      </c>
      <c r="C636" s="81">
        <f>IF(ISNUMBER('Blind Scoring Sheet'!B636),'Blind Scoring Sheet'!B636,VALUE(TRIM(LEFT('Blind Scoring Sheet'!B636,FIND("|",'Blind Scoring Sheet'!B636)-1))))</f>
        <v/>
      </c>
      <c r="D636" s="81">
        <f>IF(ISNUMBER('Blind Scoring Sheet'!D636),'Blind Scoring Sheet'!D636,VALUE(TRIM(LEFT('Blind Scoring Sheet'!D636,FIND("|",'Blind Scoring Sheet'!D636)-1))))</f>
        <v/>
      </c>
      <c r="E636" s="81">
        <f>IF(ISNUMBER('Blind Scoring Sheet'!F636),'Blind Scoring Sheet'!F636,VALUE(TRIM(LEFT('Blind Scoring Sheet'!F636,FIND("|",'Blind Scoring Sheet'!F636)-1))))</f>
        <v/>
      </c>
      <c r="F636" s="81">
        <f>IF(ISNUMBER('Blind Scoring Sheet'!H636),'Blind Scoring Sheet'!H636,VALUE(TRIM(LEFT('Blind Scoring Sheet'!H636,FIND("|",'Blind Scoring Sheet'!H636)-1))))</f>
        <v/>
      </c>
      <c r="G636" s="81">
        <f>IF(ISNUMBER('Blind Scoring Sheet'!J636),'Blind Scoring Sheet'!J636,VALUE(TRIM(LEFT('Blind Scoring Sheet'!J636,FIND("|",'Blind Scoring Sheet'!J636)-1))))</f>
        <v/>
      </c>
      <c r="H636" s="80">
        <f>IF(ISNUMBER(SEARCH("|",'Blind Scoring Sheet'!K636)),TRIM(LEFT('Blind Scoring Sheet'!K636,FIND("|",'Blind Scoring Sheet'!K636)-1)),TRIM('Blind Scoring Sheet'!K636))</f>
        <v/>
      </c>
    </row>
    <row r="637" ht="15" customHeight="1" s="38">
      <c r="A637" s="80">
        <f>'Blind Scoring Sheet'!A637</f>
        <v/>
      </c>
      <c r="B637" s="80">
        <f>MID(INDEX('Anonymization Key'!$B$4:$B$1003,MATCH(A637,'Anonymization Key'!$A$4:$A$1003,0)),3,2)</f>
        <v/>
      </c>
      <c r="C637" s="81">
        <f>IF(ISNUMBER('Blind Scoring Sheet'!B637),'Blind Scoring Sheet'!B637,VALUE(TRIM(LEFT('Blind Scoring Sheet'!B637,FIND("|",'Blind Scoring Sheet'!B637)-1))))</f>
        <v/>
      </c>
      <c r="D637" s="81">
        <f>IF(ISNUMBER('Blind Scoring Sheet'!D637),'Blind Scoring Sheet'!D637,VALUE(TRIM(LEFT('Blind Scoring Sheet'!D637,FIND("|",'Blind Scoring Sheet'!D637)-1))))</f>
        <v/>
      </c>
      <c r="E637" s="81">
        <f>IF(ISNUMBER('Blind Scoring Sheet'!F637),'Blind Scoring Sheet'!F637,VALUE(TRIM(LEFT('Blind Scoring Sheet'!F637,FIND("|",'Blind Scoring Sheet'!F637)-1))))</f>
        <v/>
      </c>
      <c r="F637" s="81">
        <f>IF(ISNUMBER('Blind Scoring Sheet'!H637),'Blind Scoring Sheet'!H637,VALUE(TRIM(LEFT('Blind Scoring Sheet'!H637,FIND("|",'Blind Scoring Sheet'!H637)-1))))</f>
        <v/>
      </c>
      <c r="G637" s="81">
        <f>IF(ISNUMBER('Blind Scoring Sheet'!J637),'Blind Scoring Sheet'!J637,VALUE(TRIM(LEFT('Blind Scoring Sheet'!J637,FIND("|",'Blind Scoring Sheet'!J637)-1))))</f>
        <v/>
      </c>
      <c r="H637" s="80">
        <f>IF(ISNUMBER(SEARCH("|",'Blind Scoring Sheet'!K637)),TRIM(LEFT('Blind Scoring Sheet'!K637,FIND("|",'Blind Scoring Sheet'!K637)-1)),TRIM('Blind Scoring Sheet'!K637))</f>
        <v/>
      </c>
    </row>
    <row r="638" ht="15" customHeight="1" s="38">
      <c r="A638" s="80">
        <f>'Blind Scoring Sheet'!A638</f>
        <v/>
      </c>
      <c r="B638" s="80">
        <f>MID(INDEX('Anonymization Key'!$B$4:$B$1003,MATCH(A638,'Anonymization Key'!$A$4:$A$1003,0)),3,2)</f>
        <v/>
      </c>
      <c r="C638" s="81">
        <f>IF(ISNUMBER('Blind Scoring Sheet'!B638),'Blind Scoring Sheet'!B638,VALUE(TRIM(LEFT('Blind Scoring Sheet'!B638,FIND("|",'Blind Scoring Sheet'!B638)-1))))</f>
        <v/>
      </c>
      <c r="D638" s="81">
        <f>IF(ISNUMBER('Blind Scoring Sheet'!D638),'Blind Scoring Sheet'!D638,VALUE(TRIM(LEFT('Blind Scoring Sheet'!D638,FIND("|",'Blind Scoring Sheet'!D638)-1))))</f>
        <v/>
      </c>
      <c r="E638" s="81">
        <f>IF(ISNUMBER('Blind Scoring Sheet'!F638),'Blind Scoring Sheet'!F638,VALUE(TRIM(LEFT('Blind Scoring Sheet'!F638,FIND("|",'Blind Scoring Sheet'!F638)-1))))</f>
        <v/>
      </c>
      <c r="F638" s="81">
        <f>IF(ISNUMBER('Blind Scoring Sheet'!H638),'Blind Scoring Sheet'!H638,VALUE(TRIM(LEFT('Blind Scoring Sheet'!H638,FIND("|",'Blind Scoring Sheet'!H638)-1))))</f>
        <v/>
      </c>
      <c r="G638" s="81">
        <f>IF(ISNUMBER('Blind Scoring Sheet'!J638),'Blind Scoring Sheet'!J638,VALUE(TRIM(LEFT('Blind Scoring Sheet'!J638,FIND("|",'Blind Scoring Sheet'!J638)-1))))</f>
        <v/>
      </c>
      <c r="H638" s="80">
        <f>IF(ISNUMBER(SEARCH("|",'Blind Scoring Sheet'!K638)),TRIM(LEFT('Blind Scoring Sheet'!K638,FIND("|",'Blind Scoring Sheet'!K638)-1)),TRIM('Blind Scoring Sheet'!K638))</f>
        <v/>
      </c>
    </row>
    <row r="639" ht="15" customHeight="1" s="38">
      <c r="A639" s="80">
        <f>'Blind Scoring Sheet'!A639</f>
        <v/>
      </c>
      <c r="B639" s="80">
        <f>MID(INDEX('Anonymization Key'!$B$4:$B$1003,MATCH(A639,'Anonymization Key'!$A$4:$A$1003,0)),3,2)</f>
        <v/>
      </c>
      <c r="C639" s="81">
        <f>IF(ISNUMBER('Blind Scoring Sheet'!B639),'Blind Scoring Sheet'!B639,VALUE(TRIM(LEFT('Blind Scoring Sheet'!B639,FIND("|",'Blind Scoring Sheet'!B639)-1))))</f>
        <v/>
      </c>
      <c r="D639" s="81">
        <f>IF(ISNUMBER('Blind Scoring Sheet'!D639),'Blind Scoring Sheet'!D639,VALUE(TRIM(LEFT('Blind Scoring Sheet'!D639,FIND("|",'Blind Scoring Sheet'!D639)-1))))</f>
        <v/>
      </c>
      <c r="E639" s="81">
        <f>IF(ISNUMBER('Blind Scoring Sheet'!F639),'Blind Scoring Sheet'!F639,VALUE(TRIM(LEFT('Blind Scoring Sheet'!F639,FIND("|",'Blind Scoring Sheet'!F639)-1))))</f>
        <v/>
      </c>
      <c r="F639" s="81">
        <f>IF(ISNUMBER('Blind Scoring Sheet'!H639),'Blind Scoring Sheet'!H639,VALUE(TRIM(LEFT('Blind Scoring Sheet'!H639,FIND("|",'Blind Scoring Sheet'!H639)-1))))</f>
        <v/>
      </c>
      <c r="G639" s="81">
        <f>IF(ISNUMBER('Blind Scoring Sheet'!J639),'Blind Scoring Sheet'!J639,VALUE(TRIM(LEFT('Blind Scoring Sheet'!J639,FIND("|",'Blind Scoring Sheet'!J639)-1))))</f>
        <v/>
      </c>
      <c r="H639" s="80">
        <f>IF(ISNUMBER(SEARCH("|",'Blind Scoring Sheet'!K639)),TRIM(LEFT('Blind Scoring Sheet'!K639,FIND("|",'Blind Scoring Sheet'!K639)-1)),TRIM('Blind Scoring Sheet'!K639))</f>
        <v/>
      </c>
    </row>
    <row r="640" ht="15" customHeight="1" s="38">
      <c r="A640" s="80">
        <f>'Blind Scoring Sheet'!A640</f>
        <v/>
      </c>
      <c r="B640" s="80">
        <f>MID(INDEX('Anonymization Key'!$B$4:$B$1003,MATCH(A640,'Anonymization Key'!$A$4:$A$1003,0)),3,2)</f>
        <v/>
      </c>
      <c r="C640" s="81">
        <f>IF(ISNUMBER('Blind Scoring Sheet'!B640),'Blind Scoring Sheet'!B640,VALUE(TRIM(LEFT('Blind Scoring Sheet'!B640,FIND("|",'Blind Scoring Sheet'!B640)-1))))</f>
        <v/>
      </c>
      <c r="D640" s="81">
        <f>IF(ISNUMBER('Blind Scoring Sheet'!D640),'Blind Scoring Sheet'!D640,VALUE(TRIM(LEFT('Blind Scoring Sheet'!D640,FIND("|",'Blind Scoring Sheet'!D640)-1))))</f>
        <v/>
      </c>
      <c r="E640" s="81">
        <f>IF(ISNUMBER('Blind Scoring Sheet'!F640),'Blind Scoring Sheet'!F640,VALUE(TRIM(LEFT('Blind Scoring Sheet'!F640,FIND("|",'Blind Scoring Sheet'!F640)-1))))</f>
        <v/>
      </c>
      <c r="F640" s="81">
        <f>IF(ISNUMBER('Blind Scoring Sheet'!H640),'Blind Scoring Sheet'!H640,VALUE(TRIM(LEFT('Blind Scoring Sheet'!H640,FIND("|",'Blind Scoring Sheet'!H640)-1))))</f>
        <v/>
      </c>
      <c r="G640" s="81">
        <f>IF(ISNUMBER('Blind Scoring Sheet'!J640),'Blind Scoring Sheet'!J640,VALUE(TRIM(LEFT('Blind Scoring Sheet'!J640,FIND("|",'Blind Scoring Sheet'!J640)-1))))</f>
        <v/>
      </c>
      <c r="H640" s="80">
        <f>IF(ISNUMBER(SEARCH("|",'Blind Scoring Sheet'!K640)),TRIM(LEFT('Blind Scoring Sheet'!K640,FIND("|",'Blind Scoring Sheet'!K640)-1)),TRIM('Blind Scoring Sheet'!K640))</f>
        <v/>
      </c>
    </row>
    <row r="641" ht="15" customHeight="1" s="38">
      <c r="A641" s="80">
        <f>'Blind Scoring Sheet'!A641</f>
        <v/>
      </c>
      <c r="B641" s="80">
        <f>MID(INDEX('Anonymization Key'!$B$4:$B$1003,MATCH(A641,'Anonymization Key'!$A$4:$A$1003,0)),3,2)</f>
        <v/>
      </c>
      <c r="C641" s="81">
        <f>IF(ISNUMBER('Blind Scoring Sheet'!B641),'Blind Scoring Sheet'!B641,VALUE(TRIM(LEFT('Blind Scoring Sheet'!B641,FIND("|",'Blind Scoring Sheet'!B641)-1))))</f>
        <v/>
      </c>
      <c r="D641" s="81">
        <f>IF(ISNUMBER('Blind Scoring Sheet'!D641),'Blind Scoring Sheet'!D641,VALUE(TRIM(LEFT('Blind Scoring Sheet'!D641,FIND("|",'Blind Scoring Sheet'!D641)-1))))</f>
        <v/>
      </c>
      <c r="E641" s="81">
        <f>IF(ISNUMBER('Blind Scoring Sheet'!F641),'Blind Scoring Sheet'!F641,VALUE(TRIM(LEFT('Blind Scoring Sheet'!F641,FIND("|",'Blind Scoring Sheet'!F641)-1))))</f>
        <v/>
      </c>
      <c r="F641" s="81">
        <f>IF(ISNUMBER('Blind Scoring Sheet'!H641),'Blind Scoring Sheet'!H641,VALUE(TRIM(LEFT('Blind Scoring Sheet'!H641,FIND("|",'Blind Scoring Sheet'!H641)-1))))</f>
        <v/>
      </c>
      <c r="G641" s="81">
        <f>IF(ISNUMBER('Blind Scoring Sheet'!J641),'Blind Scoring Sheet'!J641,VALUE(TRIM(LEFT('Blind Scoring Sheet'!J641,FIND("|",'Blind Scoring Sheet'!J641)-1))))</f>
        <v/>
      </c>
      <c r="H641" s="80">
        <f>IF(ISNUMBER(SEARCH("|",'Blind Scoring Sheet'!K641)),TRIM(LEFT('Blind Scoring Sheet'!K641,FIND("|",'Blind Scoring Sheet'!K641)-1)),TRIM('Blind Scoring Sheet'!K641))</f>
        <v/>
      </c>
    </row>
    <row r="642" ht="15" customHeight="1" s="38">
      <c r="A642" s="80">
        <f>'Blind Scoring Sheet'!A642</f>
        <v/>
      </c>
      <c r="B642" s="80">
        <f>MID(INDEX('Anonymization Key'!$B$4:$B$1003,MATCH(A642,'Anonymization Key'!$A$4:$A$1003,0)),3,2)</f>
        <v/>
      </c>
      <c r="C642" s="81">
        <f>IF(ISNUMBER('Blind Scoring Sheet'!B642),'Blind Scoring Sheet'!B642,VALUE(TRIM(LEFT('Blind Scoring Sheet'!B642,FIND("|",'Blind Scoring Sheet'!B642)-1))))</f>
        <v/>
      </c>
      <c r="D642" s="81">
        <f>IF(ISNUMBER('Blind Scoring Sheet'!D642),'Blind Scoring Sheet'!D642,VALUE(TRIM(LEFT('Blind Scoring Sheet'!D642,FIND("|",'Blind Scoring Sheet'!D642)-1))))</f>
        <v/>
      </c>
      <c r="E642" s="81">
        <f>IF(ISNUMBER('Blind Scoring Sheet'!F642),'Blind Scoring Sheet'!F642,VALUE(TRIM(LEFT('Blind Scoring Sheet'!F642,FIND("|",'Blind Scoring Sheet'!F642)-1))))</f>
        <v/>
      </c>
      <c r="F642" s="81">
        <f>IF(ISNUMBER('Blind Scoring Sheet'!H642),'Blind Scoring Sheet'!H642,VALUE(TRIM(LEFT('Blind Scoring Sheet'!H642,FIND("|",'Blind Scoring Sheet'!H642)-1))))</f>
        <v/>
      </c>
      <c r="G642" s="81">
        <f>IF(ISNUMBER('Blind Scoring Sheet'!J642),'Blind Scoring Sheet'!J642,VALUE(TRIM(LEFT('Blind Scoring Sheet'!J642,FIND("|",'Blind Scoring Sheet'!J642)-1))))</f>
        <v/>
      </c>
      <c r="H642" s="80">
        <f>IF(ISNUMBER(SEARCH("|",'Blind Scoring Sheet'!K642)),TRIM(LEFT('Blind Scoring Sheet'!K642,FIND("|",'Blind Scoring Sheet'!K642)-1)),TRIM('Blind Scoring Sheet'!K642))</f>
        <v/>
      </c>
    </row>
    <row r="643" ht="15" customHeight="1" s="38">
      <c r="A643" s="80">
        <f>'Blind Scoring Sheet'!A643</f>
        <v/>
      </c>
      <c r="B643" s="80">
        <f>MID(INDEX('Anonymization Key'!$B$4:$B$1003,MATCH(A643,'Anonymization Key'!$A$4:$A$1003,0)),3,2)</f>
        <v/>
      </c>
      <c r="C643" s="81">
        <f>IF(ISNUMBER('Blind Scoring Sheet'!B643),'Blind Scoring Sheet'!B643,VALUE(TRIM(LEFT('Blind Scoring Sheet'!B643,FIND("|",'Blind Scoring Sheet'!B643)-1))))</f>
        <v/>
      </c>
      <c r="D643" s="81">
        <f>IF(ISNUMBER('Blind Scoring Sheet'!D643),'Blind Scoring Sheet'!D643,VALUE(TRIM(LEFT('Blind Scoring Sheet'!D643,FIND("|",'Blind Scoring Sheet'!D643)-1))))</f>
        <v/>
      </c>
      <c r="E643" s="81">
        <f>IF(ISNUMBER('Blind Scoring Sheet'!F643),'Blind Scoring Sheet'!F643,VALUE(TRIM(LEFT('Blind Scoring Sheet'!F643,FIND("|",'Blind Scoring Sheet'!F643)-1))))</f>
        <v/>
      </c>
      <c r="F643" s="81">
        <f>IF(ISNUMBER('Blind Scoring Sheet'!H643),'Blind Scoring Sheet'!H643,VALUE(TRIM(LEFT('Blind Scoring Sheet'!H643,FIND("|",'Blind Scoring Sheet'!H643)-1))))</f>
        <v/>
      </c>
      <c r="G643" s="81">
        <f>IF(ISNUMBER('Blind Scoring Sheet'!J643),'Blind Scoring Sheet'!J643,VALUE(TRIM(LEFT('Blind Scoring Sheet'!J643,FIND("|",'Blind Scoring Sheet'!J643)-1))))</f>
        <v/>
      </c>
      <c r="H643" s="80">
        <f>IF(ISNUMBER(SEARCH("|",'Blind Scoring Sheet'!K643)),TRIM(LEFT('Blind Scoring Sheet'!K643,FIND("|",'Blind Scoring Sheet'!K643)-1)),TRIM('Blind Scoring Sheet'!K643))</f>
        <v/>
      </c>
    </row>
    <row r="644" ht="15" customHeight="1" s="38">
      <c r="A644" s="80">
        <f>'Blind Scoring Sheet'!A644</f>
        <v/>
      </c>
      <c r="B644" s="80">
        <f>MID(INDEX('Anonymization Key'!$B$4:$B$1003,MATCH(A644,'Anonymization Key'!$A$4:$A$1003,0)),3,2)</f>
        <v/>
      </c>
      <c r="C644" s="81">
        <f>IF(ISNUMBER('Blind Scoring Sheet'!B644),'Blind Scoring Sheet'!B644,VALUE(TRIM(LEFT('Blind Scoring Sheet'!B644,FIND("|",'Blind Scoring Sheet'!B644)-1))))</f>
        <v/>
      </c>
      <c r="D644" s="81">
        <f>IF(ISNUMBER('Blind Scoring Sheet'!D644),'Blind Scoring Sheet'!D644,VALUE(TRIM(LEFT('Blind Scoring Sheet'!D644,FIND("|",'Blind Scoring Sheet'!D644)-1))))</f>
        <v/>
      </c>
      <c r="E644" s="81">
        <f>IF(ISNUMBER('Blind Scoring Sheet'!F644),'Blind Scoring Sheet'!F644,VALUE(TRIM(LEFT('Blind Scoring Sheet'!F644,FIND("|",'Blind Scoring Sheet'!F644)-1))))</f>
        <v/>
      </c>
      <c r="F644" s="81">
        <f>IF(ISNUMBER('Blind Scoring Sheet'!H644),'Blind Scoring Sheet'!H644,VALUE(TRIM(LEFT('Blind Scoring Sheet'!H644,FIND("|",'Blind Scoring Sheet'!H644)-1))))</f>
        <v/>
      </c>
      <c r="G644" s="81">
        <f>IF(ISNUMBER('Blind Scoring Sheet'!J644),'Blind Scoring Sheet'!J644,VALUE(TRIM(LEFT('Blind Scoring Sheet'!J644,FIND("|",'Blind Scoring Sheet'!J644)-1))))</f>
        <v/>
      </c>
      <c r="H644" s="80">
        <f>IF(ISNUMBER(SEARCH("|",'Blind Scoring Sheet'!K644)),TRIM(LEFT('Blind Scoring Sheet'!K644,FIND("|",'Blind Scoring Sheet'!K644)-1)),TRIM('Blind Scoring Sheet'!K644))</f>
        <v/>
      </c>
    </row>
    <row r="645" ht="15" customHeight="1" s="38">
      <c r="A645" s="80">
        <f>'Blind Scoring Sheet'!A645</f>
        <v/>
      </c>
      <c r="B645" s="80">
        <f>MID(INDEX('Anonymization Key'!$B$4:$B$1003,MATCH(A645,'Anonymization Key'!$A$4:$A$1003,0)),3,2)</f>
        <v/>
      </c>
      <c r="C645" s="81">
        <f>IF(ISNUMBER('Blind Scoring Sheet'!B645),'Blind Scoring Sheet'!B645,VALUE(TRIM(LEFT('Blind Scoring Sheet'!B645,FIND("|",'Blind Scoring Sheet'!B645)-1))))</f>
        <v/>
      </c>
      <c r="D645" s="81">
        <f>IF(ISNUMBER('Blind Scoring Sheet'!D645),'Blind Scoring Sheet'!D645,VALUE(TRIM(LEFT('Blind Scoring Sheet'!D645,FIND("|",'Blind Scoring Sheet'!D645)-1))))</f>
        <v/>
      </c>
      <c r="E645" s="81">
        <f>IF(ISNUMBER('Blind Scoring Sheet'!F645),'Blind Scoring Sheet'!F645,VALUE(TRIM(LEFT('Blind Scoring Sheet'!F645,FIND("|",'Blind Scoring Sheet'!F645)-1))))</f>
        <v/>
      </c>
      <c r="F645" s="81">
        <f>IF(ISNUMBER('Blind Scoring Sheet'!H645),'Blind Scoring Sheet'!H645,VALUE(TRIM(LEFT('Blind Scoring Sheet'!H645,FIND("|",'Blind Scoring Sheet'!H645)-1))))</f>
        <v/>
      </c>
      <c r="G645" s="81">
        <f>IF(ISNUMBER('Blind Scoring Sheet'!J645),'Blind Scoring Sheet'!J645,VALUE(TRIM(LEFT('Blind Scoring Sheet'!J645,FIND("|",'Blind Scoring Sheet'!J645)-1))))</f>
        <v/>
      </c>
      <c r="H645" s="80">
        <f>IF(ISNUMBER(SEARCH("|",'Blind Scoring Sheet'!K645)),TRIM(LEFT('Blind Scoring Sheet'!K645,FIND("|",'Blind Scoring Sheet'!K645)-1)),TRIM('Blind Scoring Sheet'!K645))</f>
        <v/>
      </c>
    </row>
    <row r="646" ht="15" customHeight="1" s="38">
      <c r="A646" s="80">
        <f>'Blind Scoring Sheet'!A646</f>
        <v/>
      </c>
      <c r="B646" s="80">
        <f>MID(INDEX('Anonymization Key'!$B$4:$B$1003,MATCH(A646,'Anonymization Key'!$A$4:$A$1003,0)),3,2)</f>
        <v/>
      </c>
      <c r="C646" s="81">
        <f>IF(ISNUMBER('Blind Scoring Sheet'!B646),'Blind Scoring Sheet'!B646,VALUE(TRIM(LEFT('Blind Scoring Sheet'!B646,FIND("|",'Blind Scoring Sheet'!B646)-1))))</f>
        <v/>
      </c>
      <c r="D646" s="81">
        <f>IF(ISNUMBER('Blind Scoring Sheet'!D646),'Blind Scoring Sheet'!D646,VALUE(TRIM(LEFT('Blind Scoring Sheet'!D646,FIND("|",'Blind Scoring Sheet'!D646)-1))))</f>
        <v/>
      </c>
      <c r="E646" s="81">
        <f>IF(ISNUMBER('Blind Scoring Sheet'!F646),'Blind Scoring Sheet'!F646,VALUE(TRIM(LEFT('Blind Scoring Sheet'!F646,FIND("|",'Blind Scoring Sheet'!F646)-1))))</f>
        <v/>
      </c>
      <c r="F646" s="81">
        <f>IF(ISNUMBER('Blind Scoring Sheet'!H646),'Blind Scoring Sheet'!H646,VALUE(TRIM(LEFT('Blind Scoring Sheet'!H646,FIND("|",'Blind Scoring Sheet'!H646)-1))))</f>
        <v/>
      </c>
      <c r="G646" s="81">
        <f>IF(ISNUMBER('Blind Scoring Sheet'!J646),'Blind Scoring Sheet'!J646,VALUE(TRIM(LEFT('Blind Scoring Sheet'!J646,FIND("|",'Blind Scoring Sheet'!J646)-1))))</f>
        <v/>
      </c>
      <c r="H646" s="80">
        <f>IF(ISNUMBER(SEARCH("|",'Blind Scoring Sheet'!K646)),TRIM(LEFT('Blind Scoring Sheet'!K646,FIND("|",'Blind Scoring Sheet'!K646)-1)),TRIM('Blind Scoring Sheet'!K646))</f>
        <v/>
      </c>
    </row>
    <row r="647" ht="15" customHeight="1" s="38">
      <c r="A647" s="80">
        <f>'Blind Scoring Sheet'!A647</f>
        <v/>
      </c>
      <c r="B647" s="80">
        <f>MID(INDEX('Anonymization Key'!$B$4:$B$1003,MATCH(A647,'Anonymization Key'!$A$4:$A$1003,0)),3,2)</f>
        <v/>
      </c>
      <c r="C647" s="81">
        <f>IF(ISNUMBER('Blind Scoring Sheet'!B647),'Blind Scoring Sheet'!B647,VALUE(TRIM(LEFT('Blind Scoring Sheet'!B647,FIND("|",'Blind Scoring Sheet'!B647)-1))))</f>
        <v/>
      </c>
      <c r="D647" s="81">
        <f>IF(ISNUMBER('Blind Scoring Sheet'!D647),'Blind Scoring Sheet'!D647,VALUE(TRIM(LEFT('Blind Scoring Sheet'!D647,FIND("|",'Blind Scoring Sheet'!D647)-1))))</f>
        <v/>
      </c>
      <c r="E647" s="81">
        <f>IF(ISNUMBER('Blind Scoring Sheet'!F647),'Blind Scoring Sheet'!F647,VALUE(TRIM(LEFT('Blind Scoring Sheet'!F647,FIND("|",'Blind Scoring Sheet'!F647)-1))))</f>
        <v/>
      </c>
      <c r="F647" s="81">
        <f>IF(ISNUMBER('Blind Scoring Sheet'!H647),'Blind Scoring Sheet'!H647,VALUE(TRIM(LEFT('Blind Scoring Sheet'!H647,FIND("|",'Blind Scoring Sheet'!H647)-1))))</f>
        <v/>
      </c>
      <c r="G647" s="81">
        <f>IF(ISNUMBER('Blind Scoring Sheet'!J647),'Blind Scoring Sheet'!J647,VALUE(TRIM(LEFT('Blind Scoring Sheet'!J647,FIND("|",'Blind Scoring Sheet'!J647)-1))))</f>
        <v/>
      </c>
      <c r="H647" s="80">
        <f>IF(ISNUMBER(SEARCH("|",'Blind Scoring Sheet'!K647)),TRIM(LEFT('Blind Scoring Sheet'!K647,FIND("|",'Blind Scoring Sheet'!K647)-1)),TRIM('Blind Scoring Sheet'!K647))</f>
        <v/>
      </c>
    </row>
    <row r="648" ht="15" customHeight="1" s="38">
      <c r="A648" s="80">
        <f>'Blind Scoring Sheet'!A648</f>
        <v/>
      </c>
      <c r="B648" s="80">
        <f>MID(INDEX('Anonymization Key'!$B$4:$B$1003,MATCH(A648,'Anonymization Key'!$A$4:$A$1003,0)),3,2)</f>
        <v/>
      </c>
      <c r="C648" s="81">
        <f>IF(ISNUMBER('Blind Scoring Sheet'!B648),'Blind Scoring Sheet'!B648,VALUE(TRIM(LEFT('Blind Scoring Sheet'!B648,FIND("|",'Blind Scoring Sheet'!B648)-1))))</f>
        <v/>
      </c>
      <c r="D648" s="81">
        <f>IF(ISNUMBER('Blind Scoring Sheet'!D648),'Blind Scoring Sheet'!D648,VALUE(TRIM(LEFT('Blind Scoring Sheet'!D648,FIND("|",'Blind Scoring Sheet'!D648)-1))))</f>
        <v/>
      </c>
      <c r="E648" s="81">
        <f>IF(ISNUMBER('Blind Scoring Sheet'!F648),'Blind Scoring Sheet'!F648,VALUE(TRIM(LEFT('Blind Scoring Sheet'!F648,FIND("|",'Blind Scoring Sheet'!F648)-1))))</f>
        <v/>
      </c>
      <c r="F648" s="81">
        <f>IF(ISNUMBER('Blind Scoring Sheet'!H648),'Blind Scoring Sheet'!H648,VALUE(TRIM(LEFT('Blind Scoring Sheet'!H648,FIND("|",'Blind Scoring Sheet'!H648)-1))))</f>
        <v/>
      </c>
      <c r="G648" s="81">
        <f>IF(ISNUMBER('Blind Scoring Sheet'!J648),'Blind Scoring Sheet'!J648,VALUE(TRIM(LEFT('Blind Scoring Sheet'!J648,FIND("|",'Blind Scoring Sheet'!J648)-1))))</f>
        <v/>
      </c>
      <c r="H648" s="80">
        <f>IF(ISNUMBER(SEARCH("|",'Blind Scoring Sheet'!K648)),TRIM(LEFT('Blind Scoring Sheet'!K648,FIND("|",'Blind Scoring Sheet'!K648)-1)),TRIM('Blind Scoring Sheet'!K648))</f>
        <v/>
      </c>
    </row>
    <row r="649" ht="15" customHeight="1" s="38">
      <c r="A649" s="80">
        <f>'Blind Scoring Sheet'!A649</f>
        <v/>
      </c>
      <c r="B649" s="80">
        <f>MID(INDEX('Anonymization Key'!$B$4:$B$1003,MATCH(A649,'Anonymization Key'!$A$4:$A$1003,0)),3,2)</f>
        <v/>
      </c>
      <c r="C649" s="81">
        <f>IF(ISNUMBER('Blind Scoring Sheet'!B649),'Blind Scoring Sheet'!B649,VALUE(TRIM(LEFT('Blind Scoring Sheet'!B649,FIND("|",'Blind Scoring Sheet'!B649)-1))))</f>
        <v/>
      </c>
      <c r="D649" s="81">
        <f>IF(ISNUMBER('Blind Scoring Sheet'!D649),'Blind Scoring Sheet'!D649,VALUE(TRIM(LEFT('Blind Scoring Sheet'!D649,FIND("|",'Blind Scoring Sheet'!D649)-1))))</f>
        <v/>
      </c>
      <c r="E649" s="81">
        <f>IF(ISNUMBER('Blind Scoring Sheet'!F649),'Blind Scoring Sheet'!F649,VALUE(TRIM(LEFT('Blind Scoring Sheet'!F649,FIND("|",'Blind Scoring Sheet'!F649)-1))))</f>
        <v/>
      </c>
      <c r="F649" s="81">
        <f>IF(ISNUMBER('Blind Scoring Sheet'!H649),'Blind Scoring Sheet'!H649,VALUE(TRIM(LEFT('Blind Scoring Sheet'!H649,FIND("|",'Blind Scoring Sheet'!H649)-1))))</f>
        <v/>
      </c>
      <c r="G649" s="81">
        <f>IF(ISNUMBER('Blind Scoring Sheet'!J649),'Blind Scoring Sheet'!J649,VALUE(TRIM(LEFT('Blind Scoring Sheet'!J649,FIND("|",'Blind Scoring Sheet'!J649)-1))))</f>
        <v/>
      </c>
      <c r="H649" s="80">
        <f>IF(ISNUMBER(SEARCH("|",'Blind Scoring Sheet'!K649)),TRIM(LEFT('Blind Scoring Sheet'!K649,FIND("|",'Blind Scoring Sheet'!K649)-1)),TRIM('Blind Scoring Sheet'!K649))</f>
        <v/>
      </c>
    </row>
    <row r="650" ht="15" customHeight="1" s="38">
      <c r="A650" s="80">
        <f>'Blind Scoring Sheet'!A650</f>
        <v/>
      </c>
      <c r="B650" s="80">
        <f>MID(INDEX('Anonymization Key'!$B$4:$B$1003,MATCH(A650,'Anonymization Key'!$A$4:$A$1003,0)),3,2)</f>
        <v/>
      </c>
      <c r="C650" s="81">
        <f>IF(ISNUMBER('Blind Scoring Sheet'!B650),'Blind Scoring Sheet'!B650,VALUE(TRIM(LEFT('Blind Scoring Sheet'!B650,FIND("|",'Blind Scoring Sheet'!B650)-1))))</f>
        <v/>
      </c>
      <c r="D650" s="81">
        <f>IF(ISNUMBER('Blind Scoring Sheet'!D650),'Blind Scoring Sheet'!D650,VALUE(TRIM(LEFT('Blind Scoring Sheet'!D650,FIND("|",'Blind Scoring Sheet'!D650)-1))))</f>
        <v/>
      </c>
      <c r="E650" s="81">
        <f>IF(ISNUMBER('Blind Scoring Sheet'!F650),'Blind Scoring Sheet'!F650,VALUE(TRIM(LEFT('Blind Scoring Sheet'!F650,FIND("|",'Blind Scoring Sheet'!F650)-1))))</f>
        <v/>
      </c>
      <c r="F650" s="81">
        <f>IF(ISNUMBER('Blind Scoring Sheet'!H650),'Blind Scoring Sheet'!H650,VALUE(TRIM(LEFT('Blind Scoring Sheet'!H650,FIND("|",'Blind Scoring Sheet'!H650)-1))))</f>
        <v/>
      </c>
      <c r="G650" s="81">
        <f>IF(ISNUMBER('Blind Scoring Sheet'!J650),'Blind Scoring Sheet'!J650,VALUE(TRIM(LEFT('Blind Scoring Sheet'!J650,FIND("|",'Blind Scoring Sheet'!J650)-1))))</f>
        <v/>
      </c>
      <c r="H650" s="80">
        <f>IF(ISNUMBER(SEARCH("|",'Blind Scoring Sheet'!K650)),TRIM(LEFT('Blind Scoring Sheet'!K650,FIND("|",'Blind Scoring Sheet'!K650)-1)),TRIM('Blind Scoring Sheet'!K650))</f>
        <v/>
      </c>
    </row>
    <row r="651" ht="15" customHeight="1" s="38">
      <c r="A651" s="80">
        <f>'Blind Scoring Sheet'!A651</f>
        <v/>
      </c>
      <c r="B651" s="80">
        <f>MID(INDEX('Anonymization Key'!$B$4:$B$1003,MATCH(A651,'Anonymization Key'!$A$4:$A$1003,0)),3,2)</f>
        <v/>
      </c>
      <c r="C651" s="81">
        <f>IF(ISNUMBER('Blind Scoring Sheet'!B651),'Blind Scoring Sheet'!B651,VALUE(TRIM(LEFT('Blind Scoring Sheet'!B651,FIND("|",'Blind Scoring Sheet'!B651)-1))))</f>
        <v/>
      </c>
      <c r="D651" s="81">
        <f>IF(ISNUMBER('Blind Scoring Sheet'!D651),'Blind Scoring Sheet'!D651,VALUE(TRIM(LEFT('Blind Scoring Sheet'!D651,FIND("|",'Blind Scoring Sheet'!D651)-1))))</f>
        <v/>
      </c>
      <c r="E651" s="81">
        <f>IF(ISNUMBER('Blind Scoring Sheet'!F651),'Blind Scoring Sheet'!F651,VALUE(TRIM(LEFT('Blind Scoring Sheet'!F651,FIND("|",'Blind Scoring Sheet'!F651)-1))))</f>
        <v/>
      </c>
      <c r="F651" s="81">
        <f>IF(ISNUMBER('Blind Scoring Sheet'!H651),'Blind Scoring Sheet'!H651,VALUE(TRIM(LEFT('Blind Scoring Sheet'!H651,FIND("|",'Blind Scoring Sheet'!H651)-1))))</f>
        <v/>
      </c>
      <c r="G651" s="81">
        <f>IF(ISNUMBER('Blind Scoring Sheet'!J651),'Blind Scoring Sheet'!J651,VALUE(TRIM(LEFT('Blind Scoring Sheet'!J651,FIND("|",'Blind Scoring Sheet'!J651)-1))))</f>
        <v/>
      </c>
      <c r="H651" s="80">
        <f>IF(ISNUMBER(SEARCH("|",'Blind Scoring Sheet'!K651)),TRIM(LEFT('Blind Scoring Sheet'!K651,FIND("|",'Blind Scoring Sheet'!K651)-1)),TRIM('Blind Scoring Sheet'!K651))</f>
        <v/>
      </c>
    </row>
    <row r="652" ht="15" customHeight="1" s="38">
      <c r="A652" s="80">
        <f>'Blind Scoring Sheet'!A652</f>
        <v/>
      </c>
      <c r="B652" s="80">
        <f>MID(INDEX('Anonymization Key'!$B$4:$B$1003,MATCH(A652,'Anonymization Key'!$A$4:$A$1003,0)),3,2)</f>
        <v/>
      </c>
      <c r="C652" s="81">
        <f>IF(ISNUMBER('Blind Scoring Sheet'!B652),'Blind Scoring Sheet'!B652,VALUE(TRIM(LEFT('Blind Scoring Sheet'!B652,FIND("|",'Blind Scoring Sheet'!B652)-1))))</f>
        <v/>
      </c>
      <c r="D652" s="81">
        <f>IF(ISNUMBER('Blind Scoring Sheet'!D652),'Blind Scoring Sheet'!D652,VALUE(TRIM(LEFT('Blind Scoring Sheet'!D652,FIND("|",'Blind Scoring Sheet'!D652)-1))))</f>
        <v/>
      </c>
      <c r="E652" s="81">
        <f>IF(ISNUMBER('Blind Scoring Sheet'!F652),'Blind Scoring Sheet'!F652,VALUE(TRIM(LEFT('Blind Scoring Sheet'!F652,FIND("|",'Blind Scoring Sheet'!F652)-1))))</f>
        <v/>
      </c>
      <c r="F652" s="81">
        <f>IF(ISNUMBER('Blind Scoring Sheet'!H652),'Blind Scoring Sheet'!H652,VALUE(TRIM(LEFT('Blind Scoring Sheet'!H652,FIND("|",'Blind Scoring Sheet'!H652)-1))))</f>
        <v/>
      </c>
      <c r="G652" s="81">
        <f>IF(ISNUMBER('Blind Scoring Sheet'!J652),'Blind Scoring Sheet'!J652,VALUE(TRIM(LEFT('Blind Scoring Sheet'!J652,FIND("|",'Blind Scoring Sheet'!J652)-1))))</f>
        <v/>
      </c>
      <c r="H652" s="80">
        <f>IF(ISNUMBER(SEARCH("|",'Blind Scoring Sheet'!K652)),TRIM(LEFT('Blind Scoring Sheet'!K652,FIND("|",'Blind Scoring Sheet'!K652)-1)),TRIM('Blind Scoring Sheet'!K652))</f>
        <v/>
      </c>
    </row>
    <row r="653" ht="15" customHeight="1" s="38">
      <c r="A653" s="80">
        <f>'Blind Scoring Sheet'!A653</f>
        <v/>
      </c>
      <c r="B653" s="80">
        <f>MID(INDEX('Anonymization Key'!$B$4:$B$1003,MATCH(A653,'Anonymization Key'!$A$4:$A$1003,0)),3,2)</f>
        <v/>
      </c>
      <c r="C653" s="81">
        <f>IF(ISNUMBER('Blind Scoring Sheet'!B653),'Blind Scoring Sheet'!B653,VALUE(TRIM(LEFT('Blind Scoring Sheet'!B653,FIND("|",'Blind Scoring Sheet'!B653)-1))))</f>
        <v/>
      </c>
      <c r="D653" s="81">
        <f>IF(ISNUMBER('Blind Scoring Sheet'!D653),'Blind Scoring Sheet'!D653,VALUE(TRIM(LEFT('Blind Scoring Sheet'!D653,FIND("|",'Blind Scoring Sheet'!D653)-1))))</f>
        <v/>
      </c>
      <c r="E653" s="81">
        <f>IF(ISNUMBER('Blind Scoring Sheet'!F653),'Blind Scoring Sheet'!F653,VALUE(TRIM(LEFT('Blind Scoring Sheet'!F653,FIND("|",'Blind Scoring Sheet'!F653)-1))))</f>
        <v/>
      </c>
      <c r="F653" s="81">
        <f>IF(ISNUMBER('Blind Scoring Sheet'!H653),'Blind Scoring Sheet'!H653,VALUE(TRIM(LEFT('Blind Scoring Sheet'!H653,FIND("|",'Blind Scoring Sheet'!H653)-1))))</f>
        <v/>
      </c>
      <c r="G653" s="81">
        <f>IF(ISNUMBER('Blind Scoring Sheet'!J653),'Blind Scoring Sheet'!J653,VALUE(TRIM(LEFT('Blind Scoring Sheet'!J653,FIND("|",'Blind Scoring Sheet'!J653)-1))))</f>
        <v/>
      </c>
      <c r="H653" s="80">
        <f>IF(ISNUMBER(SEARCH("|",'Blind Scoring Sheet'!K653)),TRIM(LEFT('Blind Scoring Sheet'!K653,FIND("|",'Blind Scoring Sheet'!K653)-1)),TRIM('Blind Scoring Sheet'!K653))</f>
        <v/>
      </c>
    </row>
    <row r="654" ht="15" customHeight="1" s="38">
      <c r="A654" s="80">
        <f>'Blind Scoring Sheet'!A654</f>
        <v/>
      </c>
      <c r="B654" s="80">
        <f>MID(INDEX('Anonymization Key'!$B$4:$B$1003,MATCH(A654,'Anonymization Key'!$A$4:$A$1003,0)),3,2)</f>
        <v/>
      </c>
      <c r="C654" s="81">
        <f>IF(ISNUMBER('Blind Scoring Sheet'!B654),'Blind Scoring Sheet'!B654,VALUE(TRIM(LEFT('Blind Scoring Sheet'!B654,FIND("|",'Blind Scoring Sheet'!B654)-1))))</f>
        <v/>
      </c>
      <c r="D654" s="81">
        <f>IF(ISNUMBER('Blind Scoring Sheet'!D654),'Blind Scoring Sheet'!D654,VALUE(TRIM(LEFT('Blind Scoring Sheet'!D654,FIND("|",'Blind Scoring Sheet'!D654)-1))))</f>
        <v/>
      </c>
      <c r="E654" s="81">
        <f>IF(ISNUMBER('Blind Scoring Sheet'!F654),'Blind Scoring Sheet'!F654,VALUE(TRIM(LEFT('Blind Scoring Sheet'!F654,FIND("|",'Blind Scoring Sheet'!F654)-1))))</f>
        <v/>
      </c>
      <c r="F654" s="81">
        <f>IF(ISNUMBER('Blind Scoring Sheet'!H654),'Blind Scoring Sheet'!H654,VALUE(TRIM(LEFT('Blind Scoring Sheet'!H654,FIND("|",'Blind Scoring Sheet'!H654)-1))))</f>
        <v/>
      </c>
      <c r="G654" s="81">
        <f>IF(ISNUMBER('Blind Scoring Sheet'!J654),'Blind Scoring Sheet'!J654,VALUE(TRIM(LEFT('Blind Scoring Sheet'!J654,FIND("|",'Blind Scoring Sheet'!J654)-1))))</f>
        <v/>
      </c>
      <c r="H654" s="80">
        <f>IF(ISNUMBER(SEARCH("|",'Blind Scoring Sheet'!K654)),TRIM(LEFT('Blind Scoring Sheet'!K654,FIND("|",'Blind Scoring Sheet'!K654)-1)),TRIM('Blind Scoring Sheet'!K654))</f>
        <v/>
      </c>
    </row>
    <row r="655" ht="15" customHeight="1" s="38">
      <c r="A655" s="80">
        <f>'Blind Scoring Sheet'!A655</f>
        <v/>
      </c>
      <c r="B655" s="80">
        <f>MID(INDEX('Anonymization Key'!$B$4:$B$1003,MATCH(A655,'Anonymization Key'!$A$4:$A$1003,0)),3,2)</f>
        <v/>
      </c>
      <c r="C655" s="81">
        <f>IF(ISNUMBER('Blind Scoring Sheet'!B655),'Blind Scoring Sheet'!B655,VALUE(TRIM(LEFT('Blind Scoring Sheet'!B655,FIND("|",'Blind Scoring Sheet'!B655)-1))))</f>
        <v/>
      </c>
      <c r="D655" s="81">
        <f>IF(ISNUMBER('Blind Scoring Sheet'!D655),'Blind Scoring Sheet'!D655,VALUE(TRIM(LEFT('Blind Scoring Sheet'!D655,FIND("|",'Blind Scoring Sheet'!D655)-1))))</f>
        <v/>
      </c>
      <c r="E655" s="81">
        <f>IF(ISNUMBER('Blind Scoring Sheet'!F655),'Blind Scoring Sheet'!F655,VALUE(TRIM(LEFT('Blind Scoring Sheet'!F655,FIND("|",'Blind Scoring Sheet'!F655)-1))))</f>
        <v/>
      </c>
      <c r="F655" s="81">
        <f>IF(ISNUMBER('Blind Scoring Sheet'!H655),'Blind Scoring Sheet'!H655,VALUE(TRIM(LEFT('Blind Scoring Sheet'!H655,FIND("|",'Blind Scoring Sheet'!H655)-1))))</f>
        <v/>
      </c>
      <c r="G655" s="81">
        <f>IF(ISNUMBER('Blind Scoring Sheet'!J655),'Blind Scoring Sheet'!J655,VALUE(TRIM(LEFT('Blind Scoring Sheet'!J655,FIND("|",'Blind Scoring Sheet'!J655)-1))))</f>
        <v/>
      </c>
      <c r="H655" s="80">
        <f>IF(ISNUMBER(SEARCH("|",'Blind Scoring Sheet'!K655)),TRIM(LEFT('Blind Scoring Sheet'!K655,FIND("|",'Blind Scoring Sheet'!K655)-1)),TRIM('Blind Scoring Sheet'!K655))</f>
        <v/>
      </c>
    </row>
    <row r="656" ht="15" customHeight="1" s="38">
      <c r="A656" s="80">
        <f>'Blind Scoring Sheet'!A656</f>
        <v/>
      </c>
      <c r="B656" s="80">
        <f>MID(INDEX('Anonymization Key'!$B$4:$B$1003,MATCH(A656,'Anonymization Key'!$A$4:$A$1003,0)),3,2)</f>
        <v/>
      </c>
      <c r="C656" s="81">
        <f>IF(ISNUMBER('Blind Scoring Sheet'!B656),'Blind Scoring Sheet'!B656,VALUE(TRIM(LEFT('Blind Scoring Sheet'!B656,FIND("|",'Blind Scoring Sheet'!B656)-1))))</f>
        <v/>
      </c>
      <c r="D656" s="81">
        <f>IF(ISNUMBER('Blind Scoring Sheet'!D656),'Blind Scoring Sheet'!D656,VALUE(TRIM(LEFT('Blind Scoring Sheet'!D656,FIND("|",'Blind Scoring Sheet'!D656)-1))))</f>
        <v/>
      </c>
      <c r="E656" s="81">
        <f>IF(ISNUMBER('Blind Scoring Sheet'!F656),'Blind Scoring Sheet'!F656,VALUE(TRIM(LEFT('Blind Scoring Sheet'!F656,FIND("|",'Blind Scoring Sheet'!F656)-1))))</f>
        <v/>
      </c>
      <c r="F656" s="81">
        <f>IF(ISNUMBER('Blind Scoring Sheet'!H656),'Blind Scoring Sheet'!H656,VALUE(TRIM(LEFT('Blind Scoring Sheet'!H656,FIND("|",'Blind Scoring Sheet'!H656)-1))))</f>
        <v/>
      </c>
      <c r="G656" s="81">
        <f>IF(ISNUMBER('Blind Scoring Sheet'!J656),'Blind Scoring Sheet'!J656,VALUE(TRIM(LEFT('Blind Scoring Sheet'!J656,FIND("|",'Blind Scoring Sheet'!J656)-1))))</f>
        <v/>
      </c>
      <c r="H656" s="80">
        <f>IF(ISNUMBER(SEARCH("|",'Blind Scoring Sheet'!K656)),TRIM(LEFT('Blind Scoring Sheet'!K656,FIND("|",'Blind Scoring Sheet'!K656)-1)),TRIM('Blind Scoring Sheet'!K656))</f>
        <v/>
      </c>
    </row>
    <row r="657" ht="15" customHeight="1" s="38">
      <c r="A657" s="80">
        <f>'Blind Scoring Sheet'!A657</f>
        <v/>
      </c>
      <c r="B657" s="80">
        <f>MID(INDEX('Anonymization Key'!$B$4:$B$1003,MATCH(A657,'Anonymization Key'!$A$4:$A$1003,0)),3,2)</f>
        <v/>
      </c>
      <c r="C657" s="81">
        <f>IF(ISNUMBER('Blind Scoring Sheet'!B657),'Blind Scoring Sheet'!B657,VALUE(TRIM(LEFT('Blind Scoring Sheet'!B657,FIND("|",'Blind Scoring Sheet'!B657)-1))))</f>
        <v/>
      </c>
      <c r="D657" s="81">
        <f>IF(ISNUMBER('Blind Scoring Sheet'!D657),'Blind Scoring Sheet'!D657,VALUE(TRIM(LEFT('Blind Scoring Sheet'!D657,FIND("|",'Blind Scoring Sheet'!D657)-1))))</f>
        <v/>
      </c>
      <c r="E657" s="81">
        <f>IF(ISNUMBER('Blind Scoring Sheet'!F657),'Blind Scoring Sheet'!F657,VALUE(TRIM(LEFT('Blind Scoring Sheet'!F657,FIND("|",'Blind Scoring Sheet'!F657)-1))))</f>
        <v/>
      </c>
      <c r="F657" s="81">
        <f>IF(ISNUMBER('Blind Scoring Sheet'!H657),'Blind Scoring Sheet'!H657,VALUE(TRIM(LEFT('Blind Scoring Sheet'!H657,FIND("|",'Blind Scoring Sheet'!H657)-1))))</f>
        <v/>
      </c>
      <c r="G657" s="81">
        <f>IF(ISNUMBER('Blind Scoring Sheet'!J657),'Blind Scoring Sheet'!J657,VALUE(TRIM(LEFT('Blind Scoring Sheet'!J657,FIND("|",'Blind Scoring Sheet'!J657)-1))))</f>
        <v/>
      </c>
      <c r="H657" s="80">
        <f>IF(ISNUMBER(SEARCH("|",'Blind Scoring Sheet'!K657)),TRIM(LEFT('Blind Scoring Sheet'!K657,FIND("|",'Blind Scoring Sheet'!K657)-1)),TRIM('Blind Scoring Sheet'!K657))</f>
        <v/>
      </c>
    </row>
    <row r="658" ht="15" customHeight="1" s="38">
      <c r="A658" s="80">
        <f>'Blind Scoring Sheet'!A658</f>
        <v/>
      </c>
      <c r="B658" s="80">
        <f>MID(INDEX('Anonymization Key'!$B$4:$B$1003,MATCH(A658,'Anonymization Key'!$A$4:$A$1003,0)),3,2)</f>
        <v/>
      </c>
      <c r="C658" s="81">
        <f>IF(ISNUMBER('Blind Scoring Sheet'!B658),'Blind Scoring Sheet'!B658,VALUE(TRIM(LEFT('Blind Scoring Sheet'!B658,FIND("|",'Blind Scoring Sheet'!B658)-1))))</f>
        <v/>
      </c>
      <c r="D658" s="81">
        <f>IF(ISNUMBER('Blind Scoring Sheet'!D658),'Blind Scoring Sheet'!D658,VALUE(TRIM(LEFT('Blind Scoring Sheet'!D658,FIND("|",'Blind Scoring Sheet'!D658)-1))))</f>
        <v/>
      </c>
      <c r="E658" s="81">
        <f>IF(ISNUMBER('Blind Scoring Sheet'!F658),'Blind Scoring Sheet'!F658,VALUE(TRIM(LEFT('Blind Scoring Sheet'!F658,FIND("|",'Blind Scoring Sheet'!F658)-1))))</f>
        <v/>
      </c>
      <c r="F658" s="81">
        <f>IF(ISNUMBER('Blind Scoring Sheet'!H658),'Blind Scoring Sheet'!H658,VALUE(TRIM(LEFT('Blind Scoring Sheet'!H658,FIND("|",'Blind Scoring Sheet'!H658)-1))))</f>
        <v/>
      </c>
      <c r="G658" s="81">
        <f>IF(ISNUMBER('Blind Scoring Sheet'!J658),'Blind Scoring Sheet'!J658,VALUE(TRIM(LEFT('Blind Scoring Sheet'!J658,FIND("|",'Blind Scoring Sheet'!J658)-1))))</f>
        <v/>
      </c>
      <c r="H658" s="80">
        <f>IF(ISNUMBER(SEARCH("|",'Blind Scoring Sheet'!K658)),TRIM(LEFT('Blind Scoring Sheet'!K658,FIND("|",'Blind Scoring Sheet'!K658)-1)),TRIM('Blind Scoring Sheet'!K658))</f>
        <v/>
      </c>
    </row>
    <row r="659" ht="15" customHeight="1" s="38">
      <c r="A659" s="80">
        <f>'Blind Scoring Sheet'!A659</f>
        <v/>
      </c>
      <c r="B659" s="80">
        <f>MID(INDEX('Anonymization Key'!$B$4:$B$1003,MATCH(A659,'Anonymization Key'!$A$4:$A$1003,0)),3,2)</f>
        <v/>
      </c>
      <c r="C659" s="81">
        <f>IF(ISNUMBER('Blind Scoring Sheet'!B659),'Blind Scoring Sheet'!B659,VALUE(TRIM(LEFT('Blind Scoring Sheet'!B659,FIND("|",'Blind Scoring Sheet'!B659)-1))))</f>
        <v/>
      </c>
      <c r="D659" s="81">
        <f>IF(ISNUMBER('Blind Scoring Sheet'!D659),'Blind Scoring Sheet'!D659,VALUE(TRIM(LEFT('Blind Scoring Sheet'!D659,FIND("|",'Blind Scoring Sheet'!D659)-1))))</f>
        <v/>
      </c>
      <c r="E659" s="81">
        <f>IF(ISNUMBER('Blind Scoring Sheet'!F659),'Blind Scoring Sheet'!F659,VALUE(TRIM(LEFT('Blind Scoring Sheet'!F659,FIND("|",'Blind Scoring Sheet'!F659)-1))))</f>
        <v/>
      </c>
      <c r="F659" s="81">
        <f>IF(ISNUMBER('Blind Scoring Sheet'!H659),'Blind Scoring Sheet'!H659,VALUE(TRIM(LEFT('Blind Scoring Sheet'!H659,FIND("|",'Blind Scoring Sheet'!H659)-1))))</f>
        <v/>
      </c>
      <c r="G659" s="81">
        <f>IF(ISNUMBER('Blind Scoring Sheet'!J659),'Blind Scoring Sheet'!J659,VALUE(TRIM(LEFT('Blind Scoring Sheet'!J659,FIND("|",'Blind Scoring Sheet'!J659)-1))))</f>
        <v/>
      </c>
      <c r="H659" s="80">
        <f>IF(ISNUMBER(SEARCH("|",'Blind Scoring Sheet'!K659)),TRIM(LEFT('Blind Scoring Sheet'!K659,FIND("|",'Blind Scoring Sheet'!K659)-1)),TRIM('Blind Scoring Sheet'!K659))</f>
        <v/>
      </c>
    </row>
    <row r="660" ht="15" customHeight="1" s="38">
      <c r="A660" s="80">
        <f>'Blind Scoring Sheet'!A660</f>
        <v/>
      </c>
      <c r="B660" s="80">
        <f>MID(INDEX('Anonymization Key'!$B$4:$B$1003,MATCH(A660,'Anonymization Key'!$A$4:$A$1003,0)),3,2)</f>
        <v/>
      </c>
      <c r="C660" s="81">
        <f>IF(ISNUMBER('Blind Scoring Sheet'!B660),'Blind Scoring Sheet'!B660,VALUE(TRIM(LEFT('Blind Scoring Sheet'!B660,FIND("|",'Blind Scoring Sheet'!B660)-1))))</f>
        <v/>
      </c>
      <c r="D660" s="81">
        <f>IF(ISNUMBER('Blind Scoring Sheet'!D660),'Blind Scoring Sheet'!D660,VALUE(TRIM(LEFT('Blind Scoring Sheet'!D660,FIND("|",'Blind Scoring Sheet'!D660)-1))))</f>
        <v/>
      </c>
      <c r="E660" s="81">
        <f>IF(ISNUMBER('Blind Scoring Sheet'!F660),'Blind Scoring Sheet'!F660,VALUE(TRIM(LEFT('Blind Scoring Sheet'!F660,FIND("|",'Blind Scoring Sheet'!F660)-1))))</f>
        <v/>
      </c>
      <c r="F660" s="81">
        <f>IF(ISNUMBER('Blind Scoring Sheet'!H660),'Blind Scoring Sheet'!H660,VALUE(TRIM(LEFT('Blind Scoring Sheet'!H660,FIND("|",'Blind Scoring Sheet'!H660)-1))))</f>
        <v/>
      </c>
      <c r="G660" s="81">
        <f>IF(ISNUMBER('Blind Scoring Sheet'!J660),'Blind Scoring Sheet'!J660,VALUE(TRIM(LEFT('Blind Scoring Sheet'!J660,FIND("|",'Blind Scoring Sheet'!J660)-1))))</f>
        <v/>
      </c>
      <c r="H660" s="80">
        <f>IF(ISNUMBER(SEARCH("|",'Blind Scoring Sheet'!K660)),TRIM(LEFT('Blind Scoring Sheet'!K660,FIND("|",'Blind Scoring Sheet'!K660)-1)),TRIM('Blind Scoring Sheet'!K660))</f>
        <v/>
      </c>
    </row>
    <row r="661" ht="15" customHeight="1" s="38">
      <c r="A661" s="80">
        <f>'Blind Scoring Sheet'!A661</f>
        <v/>
      </c>
      <c r="B661" s="80">
        <f>MID(INDEX('Anonymization Key'!$B$4:$B$1003,MATCH(A661,'Anonymization Key'!$A$4:$A$1003,0)),3,2)</f>
        <v/>
      </c>
      <c r="C661" s="81">
        <f>IF(ISNUMBER('Blind Scoring Sheet'!B661),'Blind Scoring Sheet'!B661,VALUE(TRIM(LEFT('Blind Scoring Sheet'!B661,FIND("|",'Blind Scoring Sheet'!B661)-1))))</f>
        <v/>
      </c>
      <c r="D661" s="81">
        <f>IF(ISNUMBER('Blind Scoring Sheet'!D661),'Blind Scoring Sheet'!D661,VALUE(TRIM(LEFT('Blind Scoring Sheet'!D661,FIND("|",'Blind Scoring Sheet'!D661)-1))))</f>
        <v/>
      </c>
      <c r="E661" s="81">
        <f>IF(ISNUMBER('Blind Scoring Sheet'!F661),'Blind Scoring Sheet'!F661,VALUE(TRIM(LEFT('Blind Scoring Sheet'!F661,FIND("|",'Blind Scoring Sheet'!F661)-1))))</f>
        <v/>
      </c>
      <c r="F661" s="81">
        <f>IF(ISNUMBER('Blind Scoring Sheet'!H661),'Blind Scoring Sheet'!H661,VALUE(TRIM(LEFT('Blind Scoring Sheet'!H661,FIND("|",'Blind Scoring Sheet'!H661)-1))))</f>
        <v/>
      </c>
      <c r="G661" s="81">
        <f>IF(ISNUMBER('Blind Scoring Sheet'!J661),'Blind Scoring Sheet'!J661,VALUE(TRIM(LEFT('Blind Scoring Sheet'!J661,FIND("|",'Blind Scoring Sheet'!J661)-1))))</f>
        <v/>
      </c>
      <c r="H661" s="80">
        <f>IF(ISNUMBER(SEARCH("|",'Blind Scoring Sheet'!K661)),TRIM(LEFT('Blind Scoring Sheet'!K661,FIND("|",'Blind Scoring Sheet'!K661)-1)),TRIM('Blind Scoring Sheet'!K661))</f>
        <v/>
      </c>
    </row>
    <row r="662" ht="15" customHeight="1" s="38">
      <c r="A662" s="80">
        <f>'Blind Scoring Sheet'!A662</f>
        <v/>
      </c>
      <c r="B662" s="80">
        <f>MID(INDEX('Anonymization Key'!$B$4:$B$1003,MATCH(A662,'Anonymization Key'!$A$4:$A$1003,0)),3,2)</f>
        <v/>
      </c>
      <c r="C662" s="81">
        <f>IF(ISNUMBER('Blind Scoring Sheet'!B662),'Blind Scoring Sheet'!B662,VALUE(TRIM(LEFT('Blind Scoring Sheet'!B662,FIND("|",'Blind Scoring Sheet'!B662)-1))))</f>
        <v/>
      </c>
      <c r="D662" s="81">
        <f>IF(ISNUMBER('Blind Scoring Sheet'!D662),'Blind Scoring Sheet'!D662,VALUE(TRIM(LEFT('Blind Scoring Sheet'!D662,FIND("|",'Blind Scoring Sheet'!D662)-1))))</f>
        <v/>
      </c>
      <c r="E662" s="81">
        <f>IF(ISNUMBER('Blind Scoring Sheet'!F662),'Blind Scoring Sheet'!F662,VALUE(TRIM(LEFT('Blind Scoring Sheet'!F662,FIND("|",'Blind Scoring Sheet'!F662)-1))))</f>
        <v/>
      </c>
      <c r="F662" s="81">
        <f>IF(ISNUMBER('Blind Scoring Sheet'!H662),'Blind Scoring Sheet'!H662,VALUE(TRIM(LEFT('Blind Scoring Sheet'!H662,FIND("|",'Blind Scoring Sheet'!H662)-1))))</f>
        <v/>
      </c>
      <c r="G662" s="81">
        <f>IF(ISNUMBER('Blind Scoring Sheet'!J662),'Blind Scoring Sheet'!J662,VALUE(TRIM(LEFT('Blind Scoring Sheet'!J662,FIND("|",'Blind Scoring Sheet'!J662)-1))))</f>
        <v/>
      </c>
      <c r="H662" s="80">
        <f>IF(ISNUMBER(SEARCH("|",'Blind Scoring Sheet'!K662)),TRIM(LEFT('Blind Scoring Sheet'!K662,FIND("|",'Blind Scoring Sheet'!K662)-1)),TRIM('Blind Scoring Sheet'!K662))</f>
        <v/>
      </c>
    </row>
    <row r="663" ht="15" customHeight="1" s="38">
      <c r="A663" s="80">
        <f>'Blind Scoring Sheet'!A663</f>
        <v/>
      </c>
      <c r="B663" s="80">
        <f>MID(INDEX('Anonymization Key'!$B$4:$B$1003,MATCH(A663,'Anonymization Key'!$A$4:$A$1003,0)),3,2)</f>
        <v/>
      </c>
      <c r="C663" s="81">
        <f>IF(ISNUMBER('Blind Scoring Sheet'!B663),'Blind Scoring Sheet'!B663,VALUE(TRIM(LEFT('Blind Scoring Sheet'!B663,FIND("|",'Blind Scoring Sheet'!B663)-1))))</f>
        <v/>
      </c>
      <c r="D663" s="81">
        <f>IF(ISNUMBER('Blind Scoring Sheet'!D663),'Blind Scoring Sheet'!D663,VALUE(TRIM(LEFT('Blind Scoring Sheet'!D663,FIND("|",'Blind Scoring Sheet'!D663)-1))))</f>
        <v/>
      </c>
      <c r="E663" s="81">
        <f>IF(ISNUMBER('Blind Scoring Sheet'!F663),'Blind Scoring Sheet'!F663,VALUE(TRIM(LEFT('Blind Scoring Sheet'!F663,FIND("|",'Blind Scoring Sheet'!F663)-1))))</f>
        <v/>
      </c>
      <c r="F663" s="81">
        <f>IF(ISNUMBER('Blind Scoring Sheet'!H663),'Blind Scoring Sheet'!H663,VALUE(TRIM(LEFT('Blind Scoring Sheet'!H663,FIND("|",'Blind Scoring Sheet'!H663)-1))))</f>
        <v/>
      </c>
      <c r="G663" s="81">
        <f>IF(ISNUMBER('Blind Scoring Sheet'!J663),'Blind Scoring Sheet'!J663,VALUE(TRIM(LEFT('Blind Scoring Sheet'!J663,FIND("|",'Blind Scoring Sheet'!J663)-1))))</f>
        <v/>
      </c>
      <c r="H663" s="80">
        <f>IF(ISNUMBER(SEARCH("|",'Blind Scoring Sheet'!K663)),TRIM(LEFT('Blind Scoring Sheet'!K663,FIND("|",'Blind Scoring Sheet'!K663)-1)),TRIM('Blind Scoring Sheet'!K663))</f>
        <v/>
      </c>
    </row>
    <row r="664" ht="15" customHeight="1" s="38">
      <c r="A664" s="80">
        <f>'Blind Scoring Sheet'!A664</f>
        <v/>
      </c>
      <c r="B664" s="80">
        <f>MID(INDEX('Anonymization Key'!$B$4:$B$1003,MATCH(A664,'Anonymization Key'!$A$4:$A$1003,0)),3,2)</f>
        <v/>
      </c>
      <c r="C664" s="81">
        <f>IF(ISNUMBER('Blind Scoring Sheet'!B664),'Blind Scoring Sheet'!B664,VALUE(TRIM(LEFT('Blind Scoring Sheet'!B664,FIND("|",'Blind Scoring Sheet'!B664)-1))))</f>
        <v/>
      </c>
      <c r="D664" s="81">
        <f>IF(ISNUMBER('Blind Scoring Sheet'!D664),'Blind Scoring Sheet'!D664,VALUE(TRIM(LEFT('Blind Scoring Sheet'!D664,FIND("|",'Blind Scoring Sheet'!D664)-1))))</f>
        <v/>
      </c>
      <c r="E664" s="81">
        <f>IF(ISNUMBER('Blind Scoring Sheet'!F664),'Blind Scoring Sheet'!F664,VALUE(TRIM(LEFT('Blind Scoring Sheet'!F664,FIND("|",'Blind Scoring Sheet'!F664)-1))))</f>
        <v/>
      </c>
      <c r="F664" s="81">
        <f>IF(ISNUMBER('Blind Scoring Sheet'!H664),'Blind Scoring Sheet'!H664,VALUE(TRIM(LEFT('Blind Scoring Sheet'!H664,FIND("|",'Blind Scoring Sheet'!H664)-1))))</f>
        <v/>
      </c>
      <c r="G664" s="81">
        <f>IF(ISNUMBER('Blind Scoring Sheet'!J664),'Blind Scoring Sheet'!J664,VALUE(TRIM(LEFT('Blind Scoring Sheet'!J664,FIND("|",'Blind Scoring Sheet'!J664)-1))))</f>
        <v/>
      </c>
      <c r="H664" s="80">
        <f>IF(ISNUMBER(SEARCH("|",'Blind Scoring Sheet'!K664)),TRIM(LEFT('Blind Scoring Sheet'!K664,FIND("|",'Blind Scoring Sheet'!K664)-1)),TRIM('Blind Scoring Sheet'!K664))</f>
        <v/>
      </c>
    </row>
    <row r="665" ht="15" customHeight="1" s="38">
      <c r="A665" s="80">
        <f>'Blind Scoring Sheet'!A665</f>
        <v/>
      </c>
      <c r="B665" s="80">
        <f>MID(INDEX('Anonymization Key'!$B$4:$B$1003,MATCH(A665,'Anonymization Key'!$A$4:$A$1003,0)),3,2)</f>
        <v/>
      </c>
      <c r="C665" s="81">
        <f>IF(ISNUMBER('Blind Scoring Sheet'!B665),'Blind Scoring Sheet'!B665,VALUE(TRIM(LEFT('Blind Scoring Sheet'!B665,FIND("|",'Blind Scoring Sheet'!B665)-1))))</f>
        <v/>
      </c>
      <c r="D665" s="81">
        <f>IF(ISNUMBER('Blind Scoring Sheet'!D665),'Blind Scoring Sheet'!D665,VALUE(TRIM(LEFT('Blind Scoring Sheet'!D665,FIND("|",'Blind Scoring Sheet'!D665)-1))))</f>
        <v/>
      </c>
      <c r="E665" s="81">
        <f>IF(ISNUMBER('Blind Scoring Sheet'!F665),'Blind Scoring Sheet'!F665,VALUE(TRIM(LEFT('Blind Scoring Sheet'!F665,FIND("|",'Blind Scoring Sheet'!F665)-1))))</f>
        <v/>
      </c>
      <c r="F665" s="81">
        <f>IF(ISNUMBER('Blind Scoring Sheet'!H665),'Blind Scoring Sheet'!H665,VALUE(TRIM(LEFT('Blind Scoring Sheet'!H665,FIND("|",'Blind Scoring Sheet'!H665)-1))))</f>
        <v/>
      </c>
      <c r="G665" s="81">
        <f>IF(ISNUMBER('Blind Scoring Sheet'!J665),'Blind Scoring Sheet'!J665,VALUE(TRIM(LEFT('Blind Scoring Sheet'!J665,FIND("|",'Blind Scoring Sheet'!J665)-1))))</f>
        <v/>
      </c>
      <c r="H665" s="80">
        <f>IF(ISNUMBER(SEARCH("|",'Blind Scoring Sheet'!K665)),TRIM(LEFT('Blind Scoring Sheet'!K665,FIND("|",'Blind Scoring Sheet'!K665)-1)),TRIM('Blind Scoring Sheet'!K665))</f>
        <v/>
      </c>
    </row>
    <row r="666" ht="15" customHeight="1" s="38">
      <c r="A666" s="80">
        <f>'Blind Scoring Sheet'!A666</f>
        <v/>
      </c>
      <c r="B666" s="80">
        <f>MID(INDEX('Anonymization Key'!$B$4:$B$1003,MATCH(A666,'Anonymization Key'!$A$4:$A$1003,0)),3,2)</f>
        <v/>
      </c>
      <c r="C666" s="81">
        <f>IF(ISNUMBER('Blind Scoring Sheet'!B666),'Blind Scoring Sheet'!B666,VALUE(TRIM(LEFT('Blind Scoring Sheet'!B666,FIND("|",'Blind Scoring Sheet'!B666)-1))))</f>
        <v/>
      </c>
      <c r="D666" s="81">
        <f>IF(ISNUMBER('Blind Scoring Sheet'!D666),'Blind Scoring Sheet'!D666,VALUE(TRIM(LEFT('Blind Scoring Sheet'!D666,FIND("|",'Blind Scoring Sheet'!D666)-1))))</f>
        <v/>
      </c>
      <c r="E666" s="81">
        <f>IF(ISNUMBER('Blind Scoring Sheet'!F666),'Blind Scoring Sheet'!F666,VALUE(TRIM(LEFT('Blind Scoring Sheet'!F666,FIND("|",'Blind Scoring Sheet'!F666)-1))))</f>
        <v/>
      </c>
      <c r="F666" s="81">
        <f>IF(ISNUMBER('Blind Scoring Sheet'!H666),'Blind Scoring Sheet'!H666,VALUE(TRIM(LEFT('Blind Scoring Sheet'!H666,FIND("|",'Blind Scoring Sheet'!H666)-1))))</f>
        <v/>
      </c>
      <c r="G666" s="81">
        <f>IF(ISNUMBER('Blind Scoring Sheet'!J666),'Blind Scoring Sheet'!J666,VALUE(TRIM(LEFT('Blind Scoring Sheet'!J666,FIND("|",'Blind Scoring Sheet'!J666)-1))))</f>
        <v/>
      </c>
      <c r="H666" s="80">
        <f>IF(ISNUMBER(SEARCH("|",'Blind Scoring Sheet'!K666)),TRIM(LEFT('Blind Scoring Sheet'!K666,FIND("|",'Blind Scoring Sheet'!K666)-1)),TRIM('Blind Scoring Sheet'!K666))</f>
        <v/>
      </c>
    </row>
    <row r="667" ht="15" customHeight="1" s="38">
      <c r="A667" s="80">
        <f>'Blind Scoring Sheet'!A667</f>
        <v/>
      </c>
      <c r="B667" s="80">
        <f>MID(INDEX('Anonymization Key'!$B$4:$B$1003,MATCH(A667,'Anonymization Key'!$A$4:$A$1003,0)),3,2)</f>
        <v/>
      </c>
      <c r="C667" s="81">
        <f>IF(ISNUMBER('Blind Scoring Sheet'!B667),'Blind Scoring Sheet'!B667,VALUE(TRIM(LEFT('Blind Scoring Sheet'!B667,FIND("|",'Blind Scoring Sheet'!B667)-1))))</f>
        <v/>
      </c>
      <c r="D667" s="81">
        <f>IF(ISNUMBER('Blind Scoring Sheet'!D667),'Blind Scoring Sheet'!D667,VALUE(TRIM(LEFT('Blind Scoring Sheet'!D667,FIND("|",'Blind Scoring Sheet'!D667)-1))))</f>
        <v/>
      </c>
      <c r="E667" s="81">
        <f>IF(ISNUMBER('Blind Scoring Sheet'!F667),'Blind Scoring Sheet'!F667,VALUE(TRIM(LEFT('Blind Scoring Sheet'!F667,FIND("|",'Blind Scoring Sheet'!F667)-1))))</f>
        <v/>
      </c>
      <c r="F667" s="81">
        <f>IF(ISNUMBER('Blind Scoring Sheet'!H667),'Blind Scoring Sheet'!H667,VALUE(TRIM(LEFT('Blind Scoring Sheet'!H667,FIND("|",'Blind Scoring Sheet'!H667)-1))))</f>
        <v/>
      </c>
      <c r="G667" s="81">
        <f>IF(ISNUMBER('Blind Scoring Sheet'!J667),'Blind Scoring Sheet'!J667,VALUE(TRIM(LEFT('Blind Scoring Sheet'!J667,FIND("|",'Blind Scoring Sheet'!J667)-1))))</f>
        <v/>
      </c>
      <c r="H667" s="80">
        <f>IF(ISNUMBER(SEARCH("|",'Blind Scoring Sheet'!K667)),TRIM(LEFT('Blind Scoring Sheet'!K667,FIND("|",'Blind Scoring Sheet'!K667)-1)),TRIM('Blind Scoring Sheet'!K667))</f>
        <v/>
      </c>
    </row>
    <row r="668" ht="15" customHeight="1" s="38">
      <c r="A668" s="80">
        <f>'Blind Scoring Sheet'!A668</f>
        <v/>
      </c>
      <c r="B668" s="80">
        <f>MID(INDEX('Anonymization Key'!$B$4:$B$1003,MATCH(A668,'Anonymization Key'!$A$4:$A$1003,0)),3,2)</f>
        <v/>
      </c>
      <c r="C668" s="81">
        <f>IF(ISNUMBER('Blind Scoring Sheet'!B668),'Blind Scoring Sheet'!B668,VALUE(TRIM(LEFT('Blind Scoring Sheet'!B668,FIND("|",'Blind Scoring Sheet'!B668)-1))))</f>
        <v/>
      </c>
      <c r="D668" s="81">
        <f>IF(ISNUMBER('Blind Scoring Sheet'!D668),'Blind Scoring Sheet'!D668,VALUE(TRIM(LEFT('Blind Scoring Sheet'!D668,FIND("|",'Blind Scoring Sheet'!D668)-1))))</f>
        <v/>
      </c>
      <c r="E668" s="81">
        <f>IF(ISNUMBER('Blind Scoring Sheet'!F668),'Blind Scoring Sheet'!F668,VALUE(TRIM(LEFT('Blind Scoring Sheet'!F668,FIND("|",'Blind Scoring Sheet'!F668)-1))))</f>
        <v/>
      </c>
      <c r="F668" s="81">
        <f>IF(ISNUMBER('Blind Scoring Sheet'!H668),'Blind Scoring Sheet'!H668,VALUE(TRIM(LEFT('Blind Scoring Sheet'!H668,FIND("|",'Blind Scoring Sheet'!H668)-1))))</f>
        <v/>
      </c>
      <c r="G668" s="81">
        <f>IF(ISNUMBER('Blind Scoring Sheet'!J668),'Blind Scoring Sheet'!J668,VALUE(TRIM(LEFT('Blind Scoring Sheet'!J668,FIND("|",'Blind Scoring Sheet'!J668)-1))))</f>
        <v/>
      </c>
      <c r="H668" s="80">
        <f>IF(ISNUMBER(SEARCH("|",'Blind Scoring Sheet'!K668)),TRIM(LEFT('Blind Scoring Sheet'!K668,FIND("|",'Blind Scoring Sheet'!K668)-1)),TRIM('Blind Scoring Sheet'!K668))</f>
        <v/>
      </c>
    </row>
    <row r="669" ht="15" customHeight="1" s="38">
      <c r="A669" s="80">
        <f>'Blind Scoring Sheet'!A669</f>
        <v/>
      </c>
      <c r="B669" s="80">
        <f>MID(INDEX('Anonymization Key'!$B$4:$B$1003,MATCH(A669,'Anonymization Key'!$A$4:$A$1003,0)),3,2)</f>
        <v/>
      </c>
      <c r="C669" s="81">
        <f>IF(ISNUMBER('Blind Scoring Sheet'!B669),'Blind Scoring Sheet'!B669,VALUE(TRIM(LEFT('Blind Scoring Sheet'!B669,FIND("|",'Blind Scoring Sheet'!B669)-1))))</f>
        <v/>
      </c>
      <c r="D669" s="81">
        <f>IF(ISNUMBER('Blind Scoring Sheet'!D669),'Blind Scoring Sheet'!D669,VALUE(TRIM(LEFT('Blind Scoring Sheet'!D669,FIND("|",'Blind Scoring Sheet'!D669)-1))))</f>
        <v/>
      </c>
      <c r="E669" s="81">
        <f>IF(ISNUMBER('Blind Scoring Sheet'!F669),'Blind Scoring Sheet'!F669,VALUE(TRIM(LEFT('Blind Scoring Sheet'!F669,FIND("|",'Blind Scoring Sheet'!F669)-1))))</f>
        <v/>
      </c>
      <c r="F669" s="81">
        <f>IF(ISNUMBER('Blind Scoring Sheet'!H669),'Blind Scoring Sheet'!H669,VALUE(TRIM(LEFT('Blind Scoring Sheet'!H669,FIND("|",'Blind Scoring Sheet'!H669)-1))))</f>
        <v/>
      </c>
      <c r="G669" s="81">
        <f>IF(ISNUMBER('Blind Scoring Sheet'!J669),'Blind Scoring Sheet'!J669,VALUE(TRIM(LEFT('Blind Scoring Sheet'!J669,FIND("|",'Blind Scoring Sheet'!J669)-1))))</f>
        <v/>
      </c>
      <c r="H669" s="80">
        <f>IF(ISNUMBER(SEARCH("|",'Blind Scoring Sheet'!K669)),TRIM(LEFT('Blind Scoring Sheet'!K669,FIND("|",'Blind Scoring Sheet'!K669)-1)),TRIM('Blind Scoring Sheet'!K669))</f>
        <v/>
      </c>
    </row>
    <row r="670" ht="15" customHeight="1" s="38">
      <c r="A670" s="80">
        <f>'Blind Scoring Sheet'!A670</f>
        <v/>
      </c>
      <c r="B670" s="80">
        <f>MID(INDEX('Anonymization Key'!$B$4:$B$1003,MATCH(A670,'Anonymization Key'!$A$4:$A$1003,0)),3,2)</f>
        <v/>
      </c>
      <c r="C670" s="81">
        <f>IF(ISNUMBER('Blind Scoring Sheet'!B670),'Blind Scoring Sheet'!B670,VALUE(TRIM(LEFT('Blind Scoring Sheet'!B670,FIND("|",'Blind Scoring Sheet'!B670)-1))))</f>
        <v/>
      </c>
      <c r="D670" s="81">
        <f>IF(ISNUMBER('Blind Scoring Sheet'!D670),'Blind Scoring Sheet'!D670,VALUE(TRIM(LEFT('Blind Scoring Sheet'!D670,FIND("|",'Blind Scoring Sheet'!D670)-1))))</f>
        <v/>
      </c>
      <c r="E670" s="81">
        <f>IF(ISNUMBER('Blind Scoring Sheet'!F670),'Blind Scoring Sheet'!F670,VALUE(TRIM(LEFT('Blind Scoring Sheet'!F670,FIND("|",'Blind Scoring Sheet'!F670)-1))))</f>
        <v/>
      </c>
      <c r="F670" s="81">
        <f>IF(ISNUMBER('Blind Scoring Sheet'!H670),'Blind Scoring Sheet'!H670,VALUE(TRIM(LEFT('Blind Scoring Sheet'!H670,FIND("|",'Blind Scoring Sheet'!H670)-1))))</f>
        <v/>
      </c>
      <c r="G670" s="81">
        <f>IF(ISNUMBER('Blind Scoring Sheet'!J670),'Blind Scoring Sheet'!J670,VALUE(TRIM(LEFT('Blind Scoring Sheet'!J670,FIND("|",'Blind Scoring Sheet'!J670)-1))))</f>
        <v/>
      </c>
      <c r="H670" s="80">
        <f>IF(ISNUMBER(SEARCH("|",'Blind Scoring Sheet'!K670)),TRIM(LEFT('Blind Scoring Sheet'!K670,FIND("|",'Blind Scoring Sheet'!K670)-1)),TRIM('Blind Scoring Sheet'!K670))</f>
        <v/>
      </c>
    </row>
    <row r="671" ht="15" customHeight="1" s="38">
      <c r="A671" s="80">
        <f>'Blind Scoring Sheet'!A671</f>
        <v/>
      </c>
      <c r="B671" s="80">
        <f>MID(INDEX('Anonymization Key'!$B$4:$B$1003,MATCH(A671,'Anonymization Key'!$A$4:$A$1003,0)),3,2)</f>
        <v/>
      </c>
      <c r="C671" s="81">
        <f>IF(ISNUMBER('Blind Scoring Sheet'!B671),'Blind Scoring Sheet'!B671,VALUE(TRIM(LEFT('Blind Scoring Sheet'!B671,FIND("|",'Blind Scoring Sheet'!B671)-1))))</f>
        <v/>
      </c>
      <c r="D671" s="81">
        <f>IF(ISNUMBER('Blind Scoring Sheet'!D671),'Blind Scoring Sheet'!D671,VALUE(TRIM(LEFT('Blind Scoring Sheet'!D671,FIND("|",'Blind Scoring Sheet'!D671)-1))))</f>
        <v/>
      </c>
      <c r="E671" s="81">
        <f>IF(ISNUMBER('Blind Scoring Sheet'!F671),'Blind Scoring Sheet'!F671,VALUE(TRIM(LEFT('Blind Scoring Sheet'!F671,FIND("|",'Blind Scoring Sheet'!F671)-1))))</f>
        <v/>
      </c>
      <c r="F671" s="81">
        <f>IF(ISNUMBER('Blind Scoring Sheet'!H671),'Blind Scoring Sheet'!H671,VALUE(TRIM(LEFT('Blind Scoring Sheet'!H671,FIND("|",'Blind Scoring Sheet'!H671)-1))))</f>
        <v/>
      </c>
      <c r="G671" s="81">
        <f>IF(ISNUMBER('Blind Scoring Sheet'!J671),'Blind Scoring Sheet'!J671,VALUE(TRIM(LEFT('Blind Scoring Sheet'!J671,FIND("|",'Blind Scoring Sheet'!J671)-1))))</f>
        <v/>
      </c>
      <c r="H671" s="80">
        <f>IF(ISNUMBER(SEARCH("|",'Blind Scoring Sheet'!K671)),TRIM(LEFT('Blind Scoring Sheet'!K671,FIND("|",'Blind Scoring Sheet'!K671)-1)),TRIM('Blind Scoring Sheet'!K671))</f>
        <v/>
      </c>
    </row>
    <row r="672" ht="15" customHeight="1" s="38">
      <c r="A672" s="80">
        <f>'Blind Scoring Sheet'!A672</f>
        <v/>
      </c>
      <c r="B672" s="80">
        <f>MID(INDEX('Anonymization Key'!$B$4:$B$1003,MATCH(A672,'Anonymization Key'!$A$4:$A$1003,0)),3,2)</f>
        <v/>
      </c>
      <c r="C672" s="81">
        <f>IF(ISNUMBER('Blind Scoring Sheet'!B672),'Blind Scoring Sheet'!B672,VALUE(TRIM(LEFT('Blind Scoring Sheet'!B672,FIND("|",'Blind Scoring Sheet'!B672)-1))))</f>
        <v/>
      </c>
      <c r="D672" s="81">
        <f>IF(ISNUMBER('Blind Scoring Sheet'!D672),'Blind Scoring Sheet'!D672,VALUE(TRIM(LEFT('Blind Scoring Sheet'!D672,FIND("|",'Blind Scoring Sheet'!D672)-1))))</f>
        <v/>
      </c>
      <c r="E672" s="81">
        <f>IF(ISNUMBER('Blind Scoring Sheet'!F672),'Blind Scoring Sheet'!F672,VALUE(TRIM(LEFT('Blind Scoring Sheet'!F672,FIND("|",'Blind Scoring Sheet'!F672)-1))))</f>
        <v/>
      </c>
      <c r="F672" s="81">
        <f>IF(ISNUMBER('Blind Scoring Sheet'!H672),'Blind Scoring Sheet'!H672,VALUE(TRIM(LEFT('Blind Scoring Sheet'!H672,FIND("|",'Blind Scoring Sheet'!H672)-1))))</f>
        <v/>
      </c>
      <c r="G672" s="81">
        <f>IF(ISNUMBER('Blind Scoring Sheet'!J672),'Blind Scoring Sheet'!J672,VALUE(TRIM(LEFT('Blind Scoring Sheet'!J672,FIND("|",'Blind Scoring Sheet'!J672)-1))))</f>
        <v/>
      </c>
      <c r="H672" s="80">
        <f>IF(ISNUMBER(SEARCH("|",'Blind Scoring Sheet'!K672)),TRIM(LEFT('Blind Scoring Sheet'!K672,FIND("|",'Blind Scoring Sheet'!K672)-1)),TRIM('Blind Scoring Sheet'!K672))</f>
        <v/>
      </c>
    </row>
    <row r="673" ht="15" customHeight="1" s="38">
      <c r="A673" s="80">
        <f>'Blind Scoring Sheet'!A673</f>
        <v/>
      </c>
      <c r="B673" s="80">
        <f>MID(INDEX('Anonymization Key'!$B$4:$B$1003,MATCH(A673,'Anonymization Key'!$A$4:$A$1003,0)),3,2)</f>
        <v/>
      </c>
      <c r="C673" s="81">
        <f>IF(ISNUMBER('Blind Scoring Sheet'!B673),'Blind Scoring Sheet'!B673,VALUE(TRIM(LEFT('Blind Scoring Sheet'!B673,FIND("|",'Blind Scoring Sheet'!B673)-1))))</f>
        <v/>
      </c>
      <c r="D673" s="81">
        <f>IF(ISNUMBER('Blind Scoring Sheet'!D673),'Blind Scoring Sheet'!D673,VALUE(TRIM(LEFT('Blind Scoring Sheet'!D673,FIND("|",'Blind Scoring Sheet'!D673)-1))))</f>
        <v/>
      </c>
      <c r="E673" s="81">
        <f>IF(ISNUMBER('Blind Scoring Sheet'!F673),'Blind Scoring Sheet'!F673,VALUE(TRIM(LEFT('Blind Scoring Sheet'!F673,FIND("|",'Blind Scoring Sheet'!F673)-1))))</f>
        <v/>
      </c>
      <c r="F673" s="81">
        <f>IF(ISNUMBER('Blind Scoring Sheet'!H673),'Blind Scoring Sheet'!H673,VALUE(TRIM(LEFT('Blind Scoring Sheet'!H673,FIND("|",'Blind Scoring Sheet'!H673)-1))))</f>
        <v/>
      </c>
      <c r="G673" s="81">
        <f>IF(ISNUMBER('Blind Scoring Sheet'!J673),'Blind Scoring Sheet'!J673,VALUE(TRIM(LEFT('Blind Scoring Sheet'!J673,FIND("|",'Blind Scoring Sheet'!J673)-1))))</f>
        <v/>
      </c>
      <c r="H673" s="80">
        <f>IF(ISNUMBER(SEARCH("|",'Blind Scoring Sheet'!K673)),TRIM(LEFT('Blind Scoring Sheet'!K673,FIND("|",'Blind Scoring Sheet'!K673)-1)),TRIM('Blind Scoring Sheet'!K673))</f>
        <v/>
      </c>
    </row>
    <row r="674" ht="15" customHeight="1" s="38">
      <c r="A674" s="80">
        <f>'Blind Scoring Sheet'!A674</f>
        <v/>
      </c>
      <c r="B674" s="80">
        <f>MID(INDEX('Anonymization Key'!$B$4:$B$1003,MATCH(A674,'Anonymization Key'!$A$4:$A$1003,0)),3,2)</f>
        <v/>
      </c>
      <c r="C674" s="81">
        <f>IF(ISNUMBER('Blind Scoring Sheet'!B674),'Blind Scoring Sheet'!B674,VALUE(TRIM(LEFT('Blind Scoring Sheet'!B674,FIND("|",'Blind Scoring Sheet'!B674)-1))))</f>
        <v/>
      </c>
      <c r="D674" s="81">
        <f>IF(ISNUMBER('Blind Scoring Sheet'!D674),'Blind Scoring Sheet'!D674,VALUE(TRIM(LEFT('Blind Scoring Sheet'!D674,FIND("|",'Blind Scoring Sheet'!D674)-1))))</f>
        <v/>
      </c>
      <c r="E674" s="81">
        <f>IF(ISNUMBER('Blind Scoring Sheet'!F674),'Blind Scoring Sheet'!F674,VALUE(TRIM(LEFT('Blind Scoring Sheet'!F674,FIND("|",'Blind Scoring Sheet'!F674)-1))))</f>
        <v/>
      </c>
      <c r="F674" s="81">
        <f>IF(ISNUMBER('Blind Scoring Sheet'!H674),'Blind Scoring Sheet'!H674,VALUE(TRIM(LEFT('Blind Scoring Sheet'!H674,FIND("|",'Blind Scoring Sheet'!H674)-1))))</f>
        <v/>
      </c>
      <c r="G674" s="81">
        <f>IF(ISNUMBER('Blind Scoring Sheet'!J674),'Blind Scoring Sheet'!J674,VALUE(TRIM(LEFT('Blind Scoring Sheet'!J674,FIND("|",'Blind Scoring Sheet'!J674)-1))))</f>
        <v/>
      </c>
      <c r="H674" s="80">
        <f>IF(ISNUMBER(SEARCH("|",'Blind Scoring Sheet'!K674)),TRIM(LEFT('Blind Scoring Sheet'!K674,FIND("|",'Blind Scoring Sheet'!K674)-1)),TRIM('Blind Scoring Sheet'!K674))</f>
        <v/>
      </c>
    </row>
    <row r="675" ht="15" customHeight="1" s="38">
      <c r="A675" s="80">
        <f>'Blind Scoring Sheet'!A675</f>
        <v/>
      </c>
      <c r="B675" s="80">
        <f>MID(INDEX('Anonymization Key'!$B$4:$B$1003,MATCH(A675,'Anonymization Key'!$A$4:$A$1003,0)),3,2)</f>
        <v/>
      </c>
      <c r="C675" s="81">
        <f>IF(ISNUMBER('Blind Scoring Sheet'!B675),'Blind Scoring Sheet'!B675,VALUE(TRIM(LEFT('Blind Scoring Sheet'!B675,FIND("|",'Blind Scoring Sheet'!B675)-1))))</f>
        <v/>
      </c>
      <c r="D675" s="81">
        <f>IF(ISNUMBER('Blind Scoring Sheet'!D675),'Blind Scoring Sheet'!D675,VALUE(TRIM(LEFT('Blind Scoring Sheet'!D675,FIND("|",'Blind Scoring Sheet'!D675)-1))))</f>
        <v/>
      </c>
      <c r="E675" s="81">
        <f>IF(ISNUMBER('Blind Scoring Sheet'!F675),'Blind Scoring Sheet'!F675,VALUE(TRIM(LEFT('Blind Scoring Sheet'!F675,FIND("|",'Blind Scoring Sheet'!F675)-1))))</f>
        <v/>
      </c>
      <c r="F675" s="81">
        <f>IF(ISNUMBER('Blind Scoring Sheet'!H675),'Blind Scoring Sheet'!H675,VALUE(TRIM(LEFT('Blind Scoring Sheet'!H675,FIND("|",'Blind Scoring Sheet'!H675)-1))))</f>
        <v/>
      </c>
      <c r="G675" s="81">
        <f>IF(ISNUMBER('Blind Scoring Sheet'!J675),'Blind Scoring Sheet'!J675,VALUE(TRIM(LEFT('Blind Scoring Sheet'!J675,FIND("|",'Blind Scoring Sheet'!J675)-1))))</f>
        <v/>
      </c>
      <c r="H675" s="80">
        <f>IF(ISNUMBER(SEARCH("|",'Blind Scoring Sheet'!K675)),TRIM(LEFT('Blind Scoring Sheet'!K675,FIND("|",'Blind Scoring Sheet'!K675)-1)),TRIM('Blind Scoring Sheet'!K675))</f>
        <v/>
      </c>
    </row>
    <row r="676" ht="15" customHeight="1" s="38">
      <c r="A676" s="80">
        <f>'Blind Scoring Sheet'!A676</f>
        <v/>
      </c>
      <c r="B676" s="80">
        <f>MID(INDEX('Anonymization Key'!$B$4:$B$1003,MATCH(A676,'Anonymization Key'!$A$4:$A$1003,0)),3,2)</f>
        <v/>
      </c>
      <c r="C676" s="81">
        <f>IF(ISNUMBER('Blind Scoring Sheet'!B676),'Blind Scoring Sheet'!B676,VALUE(TRIM(LEFT('Blind Scoring Sheet'!B676,FIND("|",'Blind Scoring Sheet'!B676)-1))))</f>
        <v/>
      </c>
      <c r="D676" s="81">
        <f>IF(ISNUMBER('Blind Scoring Sheet'!D676),'Blind Scoring Sheet'!D676,VALUE(TRIM(LEFT('Blind Scoring Sheet'!D676,FIND("|",'Blind Scoring Sheet'!D676)-1))))</f>
        <v/>
      </c>
      <c r="E676" s="81">
        <f>IF(ISNUMBER('Blind Scoring Sheet'!F676),'Blind Scoring Sheet'!F676,VALUE(TRIM(LEFT('Blind Scoring Sheet'!F676,FIND("|",'Blind Scoring Sheet'!F676)-1))))</f>
        <v/>
      </c>
      <c r="F676" s="81">
        <f>IF(ISNUMBER('Blind Scoring Sheet'!H676),'Blind Scoring Sheet'!H676,VALUE(TRIM(LEFT('Blind Scoring Sheet'!H676,FIND("|",'Blind Scoring Sheet'!H676)-1))))</f>
        <v/>
      </c>
      <c r="G676" s="81">
        <f>IF(ISNUMBER('Blind Scoring Sheet'!J676),'Blind Scoring Sheet'!J676,VALUE(TRIM(LEFT('Blind Scoring Sheet'!J676,FIND("|",'Blind Scoring Sheet'!J676)-1))))</f>
        <v/>
      </c>
      <c r="H676" s="80">
        <f>IF(ISNUMBER(SEARCH("|",'Blind Scoring Sheet'!K676)),TRIM(LEFT('Blind Scoring Sheet'!K676,FIND("|",'Blind Scoring Sheet'!K676)-1)),TRIM('Blind Scoring Sheet'!K676))</f>
        <v/>
      </c>
    </row>
    <row r="677" ht="15" customHeight="1" s="38">
      <c r="A677" s="80">
        <f>'Blind Scoring Sheet'!A677</f>
        <v/>
      </c>
      <c r="B677" s="80">
        <f>MID(INDEX('Anonymization Key'!$B$4:$B$1003,MATCH(A677,'Anonymization Key'!$A$4:$A$1003,0)),3,2)</f>
        <v/>
      </c>
      <c r="C677" s="81">
        <f>IF(ISNUMBER('Blind Scoring Sheet'!B677),'Blind Scoring Sheet'!B677,VALUE(TRIM(LEFT('Blind Scoring Sheet'!B677,FIND("|",'Blind Scoring Sheet'!B677)-1))))</f>
        <v/>
      </c>
      <c r="D677" s="81">
        <f>IF(ISNUMBER('Blind Scoring Sheet'!D677),'Blind Scoring Sheet'!D677,VALUE(TRIM(LEFT('Blind Scoring Sheet'!D677,FIND("|",'Blind Scoring Sheet'!D677)-1))))</f>
        <v/>
      </c>
      <c r="E677" s="81">
        <f>IF(ISNUMBER('Blind Scoring Sheet'!F677),'Blind Scoring Sheet'!F677,VALUE(TRIM(LEFT('Blind Scoring Sheet'!F677,FIND("|",'Blind Scoring Sheet'!F677)-1))))</f>
        <v/>
      </c>
      <c r="F677" s="81">
        <f>IF(ISNUMBER('Blind Scoring Sheet'!H677),'Blind Scoring Sheet'!H677,VALUE(TRIM(LEFT('Blind Scoring Sheet'!H677,FIND("|",'Blind Scoring Sheet'!H677)-1))))</f>
        <v/>
      </c>
      <c r="G677" s="81">
        <f>IF(ISNUMBER('Blind Scoring Sheet'!J677),'Blind Scoring Sheet'!J677,VALUE(TRIM(LEFT('Blind Scoring Sheet'!J677,FIND("|",'Blind Scoring Sheet'!J677)-1))))</f>
        <v/>
      </c>
      <c r="H677" s="80">
        <f>IF(ISNUMBER(SEARCH("|",'Blind Scoring Sheet'!K677)),TRIM(LEFT('Blind Scoring Sheet'!K677,FIND("|",'Blind Scoring Sheet'!K677)-1)),TRIM('Blind Scoring Sheet'!K677))</f>
        <v/>
      </c>
    </row>
    <row r="678" ht="15" customHeight="1" s="38">
      <c r="A678" s="80">
        <f>'Blind Scoring Sheet'!A678</f>
        <v/>
      </c>
      <c r="B678" s="80">
        <f>MID(INDEX('Anonymization Key'!$B$4:$B$1003,MATCH(A678,'Anonymization Key'!$A$4:$A$1003,0)),3,2)</f>
        <v/>
      </c>
      <c r="C678" s="81">
        <f>IF(ISNUMBER('Blind Scoring Sheet'!B678),'Blind Scoring Sheet'!B678,VALUE(TRIM(LEFT('Blind Scoring Sheet'!B678,FIND("|",'Blind Scoring Sheet'!B678)-1))))</f>
        <v/>
      </c>
      <c r="D678" s="81">
        <f>IF(ISNUMBER('Blind Scoring Sheet'!D678),'Blind Scoring Sheet'!D678,VALUE(TRIM(LEFT('Blind Scoring Sheet'!D678,FIND("|",'Blind Scoring Sheet'!D678)-1))))</f>
        <v/>
      </c>
      <c r="E678" s="81">
        <f>IF(ISNUMBER('Blind Scoring Sheet'!F678),'Blind Scoring Sheet'!F678,VALUE(TRIM(LEFT('Blind Scoring Sheet'!F678,FIND("|",'Blind Scoring Sheet'!F678)-1))))</f>
        <v/>
      </c>
      <c r="F678" s="81">
        <f>IF(ISNUMBER('Blind Scoring Sheet'!H678),'Blind Scoring Sheet'!H678,VALUE(TRIM(LEFT('Blind Scoring Sheet'!H678,FIND("|",'Blind Scoring Sheet'!H678)-1))))</f>
        <v/>
      </c>
      <c r="G678" s="81">
        <f>IF(ISNUMBER('Blind Scoring Sheet'!J678),'Blind Scoring Sheet'!J678,VALUE(TRIM(LEFT('Blind Scoring Sheet'!J678,FIND("|",'Blind Scoring Sheet'!J678)-1))))</f>
        <v/>
      </c>
      <c r="H678" s="80">
        <f>IF(ISNUMBER(SEARCH("|",'Blind Scoring Sheet'!K678)),TRIM(LEFT('Blind Scoring Sheet'!K678,FIND("|",'Blind Scoring Sheet'!K678)-1)),TRIM('Blind Scoring Sheet'!K678))</f>
        <v/>
      </c>
    </row>
    <row r="679" ht="15" customHeight="1" s="38">
      <c r="A679" s="80">
        <f>'Blind Scoring Sheet'!A679</f>
        <v/>
      </c>
      <c r="B679" s="80">
        <f>MID(INDEX('Anonymization Key'!$B$4:$B$1003,MATCH(A679,'Anonymization Key'!$A$4:$A$1003,0)),3,2)</f>
        <v/>
      </c>
      <c r="C679" s="81">
        <f>IF(ISNUMBER('Blind Scoring Sheet'!B679),'Blind Scoring Sheet'!B679,VALUE(TRIM(LEFT('Blind Scoring Sheet'!B679,FIND("|",'Blind Scoring Sheet'!B679)-1))))</f>
        <v/>
      </c>
      <c r="D679" s="81">
        <f>IF(ISNUMBER('Blind Scoring Sheet'!D679),'Blind Scoring Sheet'!D679,VALUE(TRIM(LEFT('Blind Scoring Sheet'!D679,FIND("|",'Blind Scoring Sheet'!D679)-1))))</f>
        <v/>
      </c>
      <c r="E679" s="81">
        <f>IF(ISNUMBER('Blind Scoring Sheet'!F679),'Blind Scoring Sheet'!F679,VALUE(TRIM(LEFT('Blind Scoring Sheet'!F679,FIND("|",'Blind Scoring Sheet'!F679)-1))))</f>
        <v/>
      </c>
      <c r="F679" s="81">
        <f>IF(ISNUMBER('Blind Scoring Sheet'!H679),'Blind Scoring Sheet'!H679,VALUE(TRIM(LEFT('Blind Scoring Sheet'!H679,FIND("|",'Blind Scoring Sheet'!H679)-1))))</f>
        <v/>
      </c>
      <c r="G679" s="81">
        <f>IF(ISNUMBER('Blind Scoring Sheet'!J679),'Blind Scoring Sheet'!J679,VALUE(TRIM(LEFT('Blind Scoring Sheet'!J679,FIND("|",'Blind Scoring Sheet'!J679)-1))))</f>
        <v/>
      </c>
      <c r="H679" s="80">
        <f>IF(ISNUMBER(SEARCH("|",'Blind Scoring Sheet'!K679)),TRIM(LEFT('Blind Scoring Sheet'!K679,FIND("|",'Blind Scoring Sheet'!K679)-1)),TRIM('Blind Scoring Sheet'!K679))</f>
        <v/>
      </c>
    </row>
    <row r="680" ht="15" customHeight="1" s="38">
      <c r="A680" s="80">
        <f>'Blind Scoring Sheet'!A680</f>
        <v/>
      </c>
      <c r="B680" s="80">
        <f>MID(INDEX('Anonymization Key'!$B$4:$B$1003,MATCH(A680,'Anonymization Key'!$A$4:$A$1003,0)),3,2)</f>
        <v/>
      </c>
      <c r="C680" s="81">
        <f>IF(ISNUMBER('Blind Scoring Sheet'!B680),'Blind Scoring Sheet'!B680,VALUE(TRIM(LEFT('Blind Scoring Sheet'!B680,FIND("|",'Blind Scoring Sheet'!B680)-1))))</f>
        <v/>
      </c>
      <c r="D680" s="81">
        <f>IF(ISNUMBER('Blind Scoring Sheet'!D680),'Blind Scoring Sheet'!D680,VALUE(TRIM(LEFT('Blind Scoring Sheet'!D680,FIND("|",'Blind Scoring Sheet'!D680)-1))))</f>
        <v/>
      </c>
      <c r="E680" s="81">
        <f>IF(ISNUMBER('Blind Scoring Sheet'!F680),'Blind Scoring Sheet'!F680,VALUE(TRIM(LEFT('Blind Scoring Sheet'!F680,FIND("|",'Blind Scoring Sheet'!F680)-1))))</f>
        <v/>
      </c>
      <c r="F680" s="81">
        <f>IF(ISNUMBER('Blind Scoring Sheet'!H680),'Blind Scoring Sheet'!H680,VALUE(TRIM(LEFT('Blind Scoring Sheet'!H680,FIND("|",'Blind Scoring Sheet'!H680)-1))))</f>
        <v/>
      </c>
      <c r="G680" s="81">
        <f>IF(ISNUMBER('Blind Scoring Sheet'!J680),'Blind Scoring Sheet'!J680,VALUE(TRIM(LEFT('Blind Scoring Sheet'!J680,FIND("|",'Blind Scoring Sheet'!J680)-1))))</f>
        <v/>
      </c>
      <c r="H680" s="80">
        <f>IF(ISNUMBER(SEARCH("|",'Blind Scoring Sheet'!K680)),TRIM(LEFT('Blind Scoring Sheet'!K680,FIND("|",'Blind Scoring Sheet'!K680)-1)),TRIM('Blind Scoring Sheet'!K680))</f>
        <v/>
      </c>
    </row>
    <row r="681" ht="15" customHeight="1" s="38">
      <c r="A681" s="80">
        <f>'Blind Scoring Sheet'!A681</f>
        <v/>
      </c>
      <c r="B681" s="80">
        <f>MID(INDEX('Anonymization Key'!$B$4:$B$1003,MATCH(A681,'Anonymization Key'!$A$4:$A$1003,0)),3,2)</f>
        <v/>
      </c>
      <c r="C681" s="81">
        <f>IF(ISNUMBER('Blind Scoring Sheet'!B681),'Blind Scoring Sheet'!B681,VALUE(TRIM(LEFT('Blind Scoring Sheet'!B681,FIND("|",'Blind Scoring Sheet'!B681)-1))))</f>
        <v/>
      </c>
      <c r="D681" s="81">
        <f>IF(ISNUMBER('Blind Scoring Sheet'!D681),'Blind Scoring Sheet'!D681,VALUE(TRIM(LEFT('Blind Scoring Sheet'!D681,FIND("|",'Blind Scoring Sheet'!D681)-1))))</f>
        <v/>
      </c>
      <c r="E681" s="81">
        <f>IF(ISNUMBER('Blind Scoring Sheet'!F681),'Blind Scoring Sheet'!F681,VALUE(TRIM(LEFT('Blind Scoring Sheet'!F681,FIND("|",'Blind Scoring Sheet'!F681)-1))))</f>
        <v/>
      </c>
      <c r="F681" s="81">
        <f>IF(ISNUMBER('Blind Scoring Sheet'!H681),'Blind Scoring Sheet'!H681,VALUE(TRIM(LEFT('Blind Scoring Sheet'!H681,FIND("|",'Blind Scoring Sheet'!H681)-1))))</f>
        <v/>
      </c>
      <c r="G681" s="81">
        <f>IF(ISNUMBER('Blind Scoring Sheet'!J681),'Blind Scoring Sheet'!J681,VALUE(TRIM(LEFT('Blind Scoring Sheet'!J681,FIND("|",'Blind Scoring Sheet'!J681)-1))))</f>
        <v/>
      </c>
      <c r="H681" s="80">
        <f>IF(ISNUMBER(SEARCH("|",'Blind Scoring Sheet'!K681)),TRIM(LEFT('Blind Scoring Sheet'!K681,FIND("|",'Blind Scoring Sheet'!K681)-1)),TRIM('Blind Scoring Sheet'!K681))</f>
        <v/>
      </c>
    </row>
    <row r="682" ht="15" customHeight="1" s="38">
      <c r="A682" s="80">
        <f>'Blind Scoring Sheet'!A682</f>
        <v/>
      </c>
      <c r="B682" s="80">
        <f>MID(INDEX('Anonymization Key'!$B$4:$B$1003,MATCH(A682,'Anonymization Key'!$A$4:$A$1003,0)),3,2)</f>
        <v/>
      </c>
      <c r="C682" s="81">
        <f>IF(ISNUMBER('Blind Scoring Sheet'!B682),'Blind Scoring Sheet'!B682,VALUE(TRIM(LEFT('Blind Scoring Sheet'!B682,FIND("|",'Blind Scoring Sheet'!B682)-1))))</f>
        <v/>
      </c>
      <c r="D682" s="81">
        <f>IF(ISNUMBER('Blind Scoring Sheet'!D682),'Blind Scoring Sheet'!D682,VALUE(TRIM(LEFT('Blind Scoring Sheet'!D682,FIND("|",'Blind Scoring Sheet'!D682)-1))))</f>
        <v/>
      </c>
      <c r="E682" s="81">
        <f>IF(ISNUMBER('Blind Scoring Sheet'!F682),'Blind Scoring Sheet'!F682,VALUE(TRIM(LEFT('Blind Scoring Sheet'!F682,FIND("|",'Blind Scoring Sheet'!F682)-1))))</f>
        <v/>
      </c>
      <c r="F682" s="81">
        <f>IF(ISNUMBER('Blind Scoring Sheet'!H682),'Blind Scoring Sheet'!H682,VALUE(TRIM(LEFT('Blind Scoring Sheet'!H682,FIND("|",'Blind Scoring Sheet'!H682)-1))))</f>
        <v/>
      </c>
      <c r="G682" s="81">
        <f>IF(ISNUMBER('Blind Scoring Sheet'!J682),'Blind Scoring Sheet'!J682,VALUE(TRIM(LEFT('Blind Scoring Sheet'!J682,FIND("|",'Blind Scoring Sheet'!J682)-1))))</f>
        <v/>
      </c>
      <c r="H682" s="80">
        <f>IF(ISNUMBER(SEARCH("|",'Blind Scoring Sheet'!K682)),TRIM(LEFT('Blind Scoring Sheet'!K682,FIND("|",'Blind Scoring Sheet'!K682)-1)),TRIM('Blind Scoring Sheet'!K682))</f>
        <v/>
      </c>
    </row>
    <row r="683" ht="15" customHeight="1" s="38">
      <c r="A683" s="80">
        <f>'Blind Scoring Sheet'!A683</f>
        <v/>
      </c>
      <c r="B683" s="80">
        <f>MID(INDEX('Anonymization Key'!$B$4:$B$1003,MATCH(A683,'Anonymization Key'!$A$4:$A$1003,0)),3,2)</f>
        <v/>
      </c>
      <c r="C683" s="81">
        <f>IF(ISNUMBER('Blind Scoring Sheet'!B683),'Blind Scoring Sheet'!B683,VALUE(TRIM(LEFT('Blind Scoring Sheet'!B683,FIND("|",'Blind Scoring Sheet'!B683)-1))))</f>
        <v/>
      </c>
      <c r="D683" s="81">
        <f>IF(ISNUMBER('Blind Scoring Sheet'!D683),'Blind Scoring Sheet'!D683,VALUE(TRIM(LEFT('Blind Scoring Sheet'!D683,FIND("|",'Blind Scoring Sheet'!D683)-1))))</f>
        <v/>
      </c>
      <c r="E683" s="81">
        <f>IF(ISNUMBER('Blind Scoring Sheet'!F683),'Blind Scoring Sheet'!F683,VALUE(TRIM(LEFT('Blind Scoring Sheet'!F683,FIND("|",'Blind Scoring Sheet'!F683)-1))))</f>
        <v/>
      </c>
      <c r="F683" s="81">
        <f>IF(ISNUMBER('Blind Scoring Sheet'!H683),'Blind Scoring Sheet'!H683,VALUE(TRIM(LEFT('Blind Scoring Sheet'!H683,FIND("|",'Blind Scoring Sheet'!H683)-1))))</f>
        <v/>
      </c>
      <c r="G683" s="81">
        <f>IF(ISNUMBER('Blind Scoring Sheet'!J683),'Blind Scoring Sheet'!J683,VALUE(TRIM(LEFT('Blind Scoring Sheet'!J683,FIND("|",'Blind Scoring Sheet'!J683)-1))))</f>
        <v/>
      </c>
      <c r="H683" s="80">
        <f>IF(ISNUMBER(SEARCH("|",'Blind Scoring Sheet'!K683)),TRIM(LEFT('Blind Scoring Sheet'!K683,FIND("|",'Blind Scoring Sheet'!K683)-1)),TRIM('Blind Scoring Sheet'!K683))</f>
        <v/>
      </c>
    </row>
    <row r="684" ht="15" customHeight="1" s="38">
      <c r="A684" s="80">
        <f>'Blind Scoring Sheet'!A684</f>
        <v/>
      </c>
      <c r="B684" s="80">
        <f>MID(INDEX('Anonymization Key'!$B$4:$B$1003,MATCH(A684,'Anonymization Key'!$A$4:$A$1003,0)),3,2)</f>
        <v/>
      </c>
      <c r="C684" s="81">
        <f>IF(ISNUMBER('Blind Scoring Sheet'!B684),'Blind Scoring Sheet'!B684,VALUE(TRIM(LEFT('Blind Scoring Sheet'!B684,FIND("|",'Blind Scoring Sheet'!B684)-1))))</f>
        <v/>
      </c>
      <c r="D684" s="81">
        <f>IF(ISNUMBER('Blind Scoring Sheet'!D684),'Blind Scoring Sheet'!D684,VALUE(TRIM(LEFT('Blind Scoring Sheet'!D684,FIND("|",'Blind Scoring Sheet'!D684)-1))))</f>
        <v/>
      </c>
      <c r="E684" s="81">
        <f>IF(ISNUMBER('Blind Scoring Sheet'!F684),'Blind Scoring Sheet'!F684,VALUE(TRIM(LEFT('Blind Scoring Sheet'!F684,FIND("|",'Blind Scoring Sheet'!F684)-1))))</f>
        <v/>
      </c>
      <c r="F684" s="81">
        <f>IF(ISNUMBER('Blind Scoring Sheet'!H684),'Blind Scoring Sheet'!H684,VALUE(TRIM(LEFT('Blind Scoring Sheet'!H684,FIND("|",'Blind Scoring Sheet'!H684)-1))))</f>
        <v/>
      </c>
      <c r="G684" s="81">
        <f>IF(ISNUMBER('Blind Scoring Sheet'!J684),'Blind Scoring Sheet'!J684,VALUE(TRIM(LEFT('Blind Scoring Sheet'!J684,FIND("|",'Blind Scoring Sheet'!J684)-1))))</f>
        <v/>
      </c>
      <c r="H684" s="80">
        <f>IF(ISNUMBER(SEARCH("|",'Blind Scoring Sheet'!K684)),TRIM(LEFT('Blind Scoring Sheet'!K684,FIND("|",'Blind Scoring Sheet'!K684)-1)),TRIM('Blind Scoring Sheet'!K684))</f>
        <v/>
      </c>
    </row>
    <row r="685" ht="15" customHeight="1" s="38">
      <c r="A685" s="80">
        <f>'Blind Scoring Sheet'!A685</f>
        <v/>
      </c>
      <c r="B685" s="80">
        <f>MID(INDEX('Anonymization Key'!$B$4:$B$1003,MATCH(A685,'Anonymization Key'!$A$4:$A$1003,0)),3,2)</f>
        <v/>
      </c>
      <c r="C685" s="81">
        <f>IF(ISNUMBER('Blind Scoring Sheet'!B685),'Blind Scoring Sheet'!B685,VALUE(TRIM(LEFT('Blind Scoring Sheet'!B685,FIND("|",'Blind Scoring Sheet'!B685)-1))))</f>
        <v/>
      </c>
      <c r="D685" s="81">
        <f>IF(ISNUMBER('Blind Scoring Sheet'!D685),'Blind Scoring Sheet'!D685,VALUE(TRIM(LEFT('Blind Scoring Sheet'!D685,FIND("|",'Blind Scoring Sheet'!D685)-1))))</f>
        <v/>
      </c>
      <c r="E685" s="81">
        <f>IF(ISNUMBER('Blind Scoring Sheet'!F685),'Blind Scoring Sheet'!F685,VALUE(TRIM(LEFT('Blind Scoring Sheet'!F685,FIND("|",'Blind Scoring Sheet'!F685)-1))))</f>
        <v/>
      </c>
      <c r="F685" s="81">
        <f>IF(ISNUMBER('Blind Scoring Sheet'!H685),'Blind Scoring Sheet'!H685,VALUE(TRIM(LEFT('Blind Scoring Sheet'!H685,FIND("|",'Blind Scoring Sheet'!H685)-1))))</f>
        <v/>
      </c>
      <c r="G685" s="81">
        <f>IF(ISNUMBER('Blind Scoring Sheet'!J685),'Blind Scoring Sheet'!J685,VALUE(TRIM(LEFT('Blind Scoring Sheet'!J685,FIND("|",'Blind Scoring Sheet'!J685)-1))))</f>
        <v/>
      </c>
      <c r="H685" s="80">
        <f>IF(ISNUMBER(SEARCH("|",'Blind Scoring Sheet'!K685)),TRIM(LEFT('Blind Scoring Sheet'!K685,FIND("|",'Blind Scoring Sheet'!K685)-1)),TRIM('Blind Scoring Sheet'!K685))</f>
        <v/>
      </c>
    </row>
    <row r="686" ht="15" customHeight="1" s="38">
      <c r="A686" s="80">
        <f>'Blind Scoring Sheet'!A686</f>
        <v/>
      </c>
      <c r="B686" s="80">
        <f>MID(INDEX('Anonymization Key'!$B$4:$B$1003,MATCH(A686,'Anonymization Key'!$A$4:$A$1003,0)),3,2)</f>
        <v/>
      </c>
      <c r="C686" s="81">
        <f>IF(ISNUMBER('Blind Scoring Sheet'!B686),'Blind Scoring Sheet'!B686,VALUE(TRIM(LEFT('Blind Scoring Sheet'!B686,FIND("|",'Blind Scoring Sheet'!B686)-1))))</f>
        <v/>
      </c>
      <c r="D686" s="81">
        <f>IF(ISNUMBER('Blind Scoring Sheet'!D686),'Blind Scoring Sheet'!D686,VALUE(TRIM(LEFT('Blind Scoring Sheet'!D686,FIND("|",'Blind Scoring Sheet'!D686)-1))))</f>
        <v/>
      </c>
      <c r="E686" s="81">
        <f>IF(ISNUMBER('Blind Scoring Sheet'!F686),'Blind Scoring Sheet'!F686,VALUE(TRIM(LEFT('Blind Scoring Sheet'!F686,FIND("|",'Blind Scoring Sheet'!F686)-1))))</f>
        <v/>
      </c>
      <c r="F686" s="81">
        <f>IF(ISNUMBER('Blind Scoring Sheet'!H686),'Blind Scoring Sheet'!H686,VALUE(TRIM(LEFT('Blind Scoring Sheet'!H686,FIND("|",'Blind Scoring Sheet'!H686)-1))))</f>
        <v/>
      </c>
      <c r="G686" s="81">
        <f>IF(ISNUMBER('Blind Scoring Sheet'!J686),'Blind Scoring Sheet'!J686,VALUE(TRIM(LEFT('Blind Scoring Sheet'!J686,FIND("|",'Blind Scoring Sheet'!J686)-1))))</f>
        <v/>
      </c>
      <c r="H686" s="80">
        <f>IF(ISNUMBER(SEARCH("|",'Blind Scoring Sheet'!K686)),TRIM(LEFT('Blind Scoring Sheet'!K686,FIND("|",'Blind Scoring Sheet'!K686)-1)),TRIM('Blind Scoring Sheet'!K686))</f>
        <v/>
      </c>
    </row>
    <row r="687" ht="15" customHeight="1" s="38">
      <c r="A687" s="80">
        <f>'Blind Scoring Sheet'!A687</f>
        <v/>
      </c>
      <c r="B687" s="80">
        <f>MID(INDEX('Anonymization Key'!$B$4:$B$1003,MATCH(A687,'Anonymization Key'!$A$4:$A$1003,0)),3,2)</f>
        <v/>
      </c>
      <c r="C687" s="81">
        <f>IF(ISNUMBER('Blind Scoring Sheet'!B687),'Blind Scoring Sheet'!B687,VALUE(TRIM(LEFT('Blind Scoring Sheet'!B687,FIND("|",'Blind Scoring Sheet'!B687)-1))))</f>
        <v/>
      </c>
      <c r="D687" s="81">
        <f>IF(ISNUMBER('Blind Scoring Sheet'!D687),'Blind Scoring Sheet'!D687,VALUE(TRIM(LEFT('Blind Scoring Sheet'!D687,FIND("|",'Blind Scoring Sheet'!D687)-1))))</f>
        <v/>
      </c>
      <c r="E687" s="81">
        <f>IF(ISNUMBER('Blind Scoring Sheet'!F687),'Blind Scoring Sheet'!F687,VALUE(TRIM(LEFT('Blind Scoring Sheet'!F687,FIND("|",'Blind Scoring Sheet'!F687)-1))))</f>
        <v/>
      </c>
      <c r="F687" s="81">
        <f>IF(ISNUMBER('Blind Scoring Sheet'!H687),'Blind Scoring Sheet'!H687,VALUE(TRIM(LEFT('Blind Scoring Sheet'!H687,FIND("|",'Blind Scoring Sheet'!H687)-1))))</f>
        <v/>
      </c>
      <c r="G687" s="81">
        <f>IF(ISNUMBER('Blind Scoring Sheet'!J687),'Blind Scoring Sheet'!J687,VALUE(TRIM(LEFT('Blind Scoring Sheet'!J687,FIND("|",'Blind Scoring Sheet'!J687)-1))))</f>
        <v/>
      </c>
      <c r="H687" s="80">
        <f>IF(ISNUMBER(SEARCH("|",'Blind Scoring Sheet'!K687)),TRIM(LEFT('Blind Scoring Sheet'!K687,FIND("|",'Blind Scoring Sheet'!K687)-1)),TRIM('Blind Scoring Sheet'!K687))</f>
        <v/>
      </c>
    </row>
    <row r="688" ht="15" customHeight="1" s="38">
      <c r="A688" s="80">
        <f>'Blind Scoring Sheet'!A688</f>
        <v/>
      </c>
      <c r="B688" s="80">
        <f>MID(INDEX('Anonymization Key'!$B$4:$B$1003,MATCH(A688,'Anonymization Key'!$A$4:$A$1003,0)),3,2)</f>
        <v/>
      </c>
      <c r="C688" s="81">
        <f>IF(ISNUMBER('Blind Scoring Sheet'!B688),'Blind Scoring Sheet'!B688,VALUE(TRIM(LEFT('Blind Scoring Sheet'!B688,FIND("|",'Blind Scoring Sheet'!B688)-1))))</f>
        <v/>
      </c>
      <c r="D688" s="81">
        <f>IF(ISNUMBER('Blind Scoring Sheet'!D688),'Blind Scoring Sheet'!D688,VALUE(TRIM(LEFT('Blind Scoring Sheet'!D688,FIND("|",'Blind Scoring Sheet'!D688)-1))))</f>
        <v/>
      </c>
      <c r="E688" s="81">
        <f>IF(ISNUMBER('Blind Scoring Sheet'!F688),'Blind Scoring Sheet'!F688,VALUE(TRIM(LEFT('Blind Scoring Sheet'!F688,FIND("|",'Blind Scoring Sheet'!F688)-1))))</f>
        <v/>
      </c>
      <c r="F688" s="81">
        <f>IF(ISNUMBER('Blind Scoring Sheet'!H688),'Blind Scoring Sheet'!H688,VALUE(TRIM(LEFT('Blind Scoring Sheet'!H688,FIND("|",'Blind Scoring Sheet'!H688)-1))))</f>
        <v/>
      </c>
      <c r="G688" s="81">
        <f>IF(ISNUMBER('Blind Scoring Sheet'!J688),'Blind Scoring Sheet'!J688,VALUE(TRIM(LEFT('Blind Scoring Sheet'!J688,FIND("|",'Blind Scoring Sheet'!J688)-1))))</f>
        <v/>
      </c>
      <c r="H688" s="80">
        <f>IF(ISNUMBER(SEARCH("|",'Blind Scoring Sheet'!K688)),TRIM(LEFT('Blind Scoring Sheet'!K688,FIND("|",'Blind Scoring Sheet'!K688)-1)),TRIM('Blind Scoring Sheet'!K688))</f>
        <v/>
      </c>
    </row>
    <row r="689" ht="15" customHeight="1" s="38">
      <c r="A689" s="80">
        <f>'Blind Scoring Sheet'!A689</f>
        <v/>
      </c>
      <c r="B689" s="80">
        <f>MID(INDEX('Anonymization Key'!$B$4:$B$1003,MATCH(A689,'Anonymization Key'!$A$4:$A$1003,0)),3,2)</f>
        <v/>
      </c>
      <c r="C689" s="81">
        <f>IF(ISNUMBER('Blind Scoring Sheet'!B689),'Blind Scoring Sheet'!B689,VALUE(TRIM(LEFT('Blind Scoring Sheet'!B689,FIND("|",'Blind Scoring Sheet'!B689)-1))))</f>
        <v/>
      </c>
      <c r="D689" s="81">
        <f>IF(ISNUMBER('Blind Scoring Sheet'!D689),'Blind Scoring Sheet'!D689,VALUE(TRIM(LEFT('Blind Scoring Sheet'!D689,FIND("|",'Blind Scoring Sheet'!D689)-1))))</f>
        <v/>
      </c>
      <c r="E689" s="81">
        <f>IF(ISNUMBER('Blind Scoring Sheet'!F689),'Blind Scoring Sheet'!F689,VALUE(TRIM(LEFT('Blind Scoring Sheet'!F689,FIND("|",'Blind Scoring Sheet'!F689)-1))))</f>
        <v/>
      </c>
      <c r="F689" s="81">
        <f>IF(ISNUMBER('Blind Scoring Sheet'!H689),'Blind Scoring Sheet'!H689,VALUE(TRIM(LEFT('Blind Scoring Sheet'!H689,FIND("|",'Blind Scoring Sheet'!H689)-1))))</f>
        <v/>
      </c>
      <c r="G689" s="81">
        <f>IF(ISNUMBER('Blind Scoring Sheet'!J689),'Blind Scoring Sheet'!J689,VALUE(TRIM(LEFT('Blind Scoring Sheet'!J689,FIND("|",'Blind Scoring Sheet'!J689)-1))))</f>
        <v/>
      </c>
      <c r="H689" s="80">
        <f>IF(ISNUMBER(SEARCH("|",'Blind Scoring Sheet'!K689)),TRIM(LEFT('Blind Scoring Sheet'!K689,FIND("|",'Blind Scoring Sheet'!K689)-1)),TRIM('Blind Scoring Sheet'!K689))</f>
        <v/>
      </c>
    </row>
    <row r="690" ht="15" customHeight="1" s="38">
      <c r="A690" s="80">
        <f>'Blind Scoring Sheet'!A690</f>
        <v/>
      </c>
      <c r="B690" s="80">
        <f>MID(INDEX('Anonymization Key'!$B$4:$B$1003,MATCH(A690,'Anonymization Key'!$A$4:$A$1003,0)),3,2)</f>
        <v/>
      </c>
      <c r="C690" s="81">
        <f>IF(ISNUMBER('Blind Scoring Sheet'!B690),'Blind Scoring Sheet'!B690,VALUE(TRIM(LEFT('Blind Scoring Sheet'!B690,FIND("|",'Blind Scoring Sheet'!B690)-1))))</f>
        <v/>
      </c>
      <c r="D690" s="81">
        <f>IF(ISNUMBER('Blind Scoring Sheet'!D690),'Blind Scoring Sheet'!D690,VALUE(TRIM(LEFT('Blind Scoring Sheet'!D690,FIND("|",'Blind Scoring Sheet'!D690)-1))))</f>
        <v/>
      </c>
      <c r="E690" s="81">
        <f>IF(ISNUMBER('Blind Scoring Sheet'!F690),'Blind Scoring Sheet'!F690,VALUE(TRIM(LEFT('Blind Scoring Sheet'!F690,FIND("|",'Blind Scoring Sheet'!F690)-1))))</f>
        <v/>
      </c>
      <c r="F690" s="81">
        <f>IF(ISNUMBER('Blind Scoring Sheet'!H690),'Blind Scoring Sheet'!H690,VALUE(TRIM(LEFT('Blind Scoring Sheet'!H690,FIND("|",'Blind Scoring Sheet'!H690)-1))))</f>
        <v/>
      </c>
      <c r="G690" s="81">
        <f>IF(ISNUMBER('Blind Scoring Sheet'!J690),'Blind Scoring Sheet'!J690,VALUE(TRIM(LEFT('Blind Scoring Sheet'!J690,FIND("|",'Blind Scoring Sheet'!J690)-1))))</f>
        <v/>
      </c>
      <c r="H690" s="80">
        <f>IF(ISNUMBER(SEARCH("|",'Blind Scoring Sheet'!K690)),TRIM(LEFT('Blind Scoring Sheet'!K690,FIND("|",'Blind Scoring Sheet'!K690)-1)),TRIM('Blind Scoring Sheet'!K690))</f>
        <v/>
      </c>
    </row>
    <row r="691" ht="15" customHeight="1" s="38">
      <c r="A691" s="80">
        <f>'Blind Scoring Sheet'!A691</f>
        <v/>
      </c>
      <c r="B691" s="80">
        <f>MID(INDEX('Anonymization Key'!$B$4:$B$1003,MATCH(A691,'Anonymization Key'!$A$4:$A$1003,0)),3,2)</f>
        <v/>
      </c>
      <c r="C691" s="81">
        <f>IF(ISNUMBER('Blind Scoring Sheet'!B691),'Blind Scoring Sheet'!B691,VALUE(TRIM(LEFT('Blind Scoring Sheet'!B691,FIND("|",'Blind Scoring Sheet'!B691)-1))))</f>
        <v/>
      </c>
      <c r="D691" s="81">
        <f>IF(ISNUMBER('Blind Scoring Sheet'!D691),'Blind Scoring Sheet'!D691,VALUE(TRIM(LEFT('Blind Scoring Sheet'!D691,FIND("|",'Blind Scoring Sheet'!D691)-1))))</f>
        <v/>
      </c>
      <c r="E691" s="81">
        <f>IF(ISNUMBER('Blind Scoring Sheet'!F691),'Blind Scoring Sheet'!F691,VALUE(TRIM(LEFT('Blind Scoring Sheet'!F691,FIND("|",'Blind Scoring Sheet'!F691)-1))))</f>
        <v/>
      </c>
      <c r="F691" s="81">
        <f>IF(ISNUMBER('Blind Scoring Sheet'!H691),'Blind Scoring Sheet'!H691,VALUE(TRIM(LEFT('Blind Scoring Sheet'!H691,FIND("|",'Blind Scoring Sheet'!H691)-1))))</f>
        <v/>
      </c>
      <c r="G691" s="81">
        <f>IF(ISNUMBER('Blind Scoring Sheet'!J691),'Blind Scoring Sheet'!J691,VALUE(TRIM(LEFT('Blind Scoring Sheet'!J691,FIND("|",'Blind Scoring Sheet'!J691)-1))))</f>
        <v/>
      </c>
      <c r="H691" s="80">
        <f>IF(ISNUMBER(SEARCH("|",'Blind Scoring Sheet'!K691)),TRIM(LEFT('Blind Scoring Sheet'!K691,FIND("|",'Blind Scoring Sheet'!K691)-1)),TRIM('Blind Scoring Sheet'!K691))</f>
        <v/>
      </c>
    </row>
    <row r="692" ht="15" customHeight="1" s="38">
      <c r="A692" s="80">
        <f>'Blind Scoring Sheet'!A692</f>
        <v/>
      </c>
      <c r="B692" s="80">
        <f>MID(INDEX('Anonymization Key'!$B$4:$B$1003,MATCH(A692,'Anonymization Key'!$A$4:$A$1003,0)),3,2)</f>
        <v/>
      </c>
      <c r="C692" s="81">
        <f>IF(ISNUMBER('Blind Scoring Sheet'!B692),'Blind Scoring Sheet'!B692,VALUE(TRIM(LEFT('Blind Scoring Sheet'!B692,FIND("|",'Blind Scoring Sheet'!B692)-1))))</f>
        <v/>
      </c>
      <c r="D692" s="81">
        <f>IF(ISNUMBER('Blind Scoring Sheet'!D692),'Blind Scoring Sheet'!D692,VALUE(TRIM(LEFT('Blind Scoring Sheet'!D692,FIND("|",'Blind Scoring Sheet'!D692)-1))))</f>
        <v/>
      </c>
      <c r="E692" s="81">
        <f>IF(ISNUMBER('Blind Scoring Sheet'!F692),'Blind Scoring Sheet'!F692,VALUE(TRIM(LEFT('Blind Scoring Sheet'!F692,FIND("|",'Blind Scoring Sheet'!F692)-1))))</f>
        <v/>
      </c>
      <c r="F692" s="81">
        <f>IF(ISNUMBER('Blind Scoring Sheet'!H692),'Blind Scoring Sheet'!H692,VALUE(TRIM(LEFT('Blind Scoring Sheet'!H692,FIND("|",'Blind Scoring Sheet'!H692)-1))))</f>
        <v/>
      </c>
      <c r="G692" s="81">
        <f>IF(ISNUMBER('Blind Scoring Sheet'!J692),'Blind Scoring Sheet'!J692,VALUE(TRIM(LEFT('Blind Scoring Sheet'!J692,FIND("|",'Blind Scoring Sheet'!J692)-1))))</f>
        <v/>
      </c>
      <c r="H692" s="80">
        <f>IF(ISNUMBER(SEARCH("|",'Blind Scoring Sheet'!K692)),TRIM(LEFT('Blind Scoring Sheet'!K692,FIND("|",'Blind Scoring Sheet'!K692)-1)),TRIM('Blind Scoring Sheet'!K692))</f>
        <v/>
      </c>
    </row>
    <row r="693" ht="15" customHeight="1" s="38">
      <c r="A693" s="80">
        <f>'Blind Scoring Sheet'!A693</f>
        <v/>
      </c>
      <c r="B693" s="80">
        <f>MID(INDEX('Anonymization Key'!$B$4:$B$1003,MATCH(A693,'Anonymization Key'!$A$4:$A$1003,0)),3,2)</f>
        <v/>
      </c>
      <c r="C693" s="81">
        <f>IF(ISNUMBER('Blind Scoring Sheet'!B693),'Blind Scoring Sheet'!B693,VALUE(TRIM(LEFT('Blind Scoring Sheet'!B693,FIND("|",'Blind Scoring Sheet'!B693)-1))))</f>
        <v/>
      </c>
      <c r="D693" s="81">
        <f>IF(ISNUMBER('Blind Scoring Sheet'!D693),'Blind Scoring Sheet'!D693,VALUE(TRIM(LEFT('Blind Scoring Sheet'!D693,FIND("|",'Blind Scoring Sheet'!D693)-1))))</f>
        <v/>
      </c>
      <c r="E693" s="81">
        <f>IF(ISNUMBER('Blind Scoring Sheet'!F693),'Blind Scoring Sheet'!F693,VALUE(TRIM(LEFT('Blind Scoring Sheet'!F693,FIND("|",'Blind Scoring Sheet'!F693)-1))))</f>
        <v/>
      </c>
      <c r="F693" s="81">
        <f>IF(ISNUMBER('Blind Scoring Sheet'!H693),'Blind Scoring Sheet'!H693,VALUE(TRIM(LEFT('Blind Scoring Sheet'!H693,FIND("|",'Blind Scoring Sheet'!H693)-1))))</f>
        <v/>
      </c>
      <c r="G693" s="81">
        <f>IF(ISNUMBER('Blind Scoring Sheet'!J693),'Blind Scoring Sheet'!J693,VALUE(TRIM(LEFT('Blind Scoring Sheet'!J693,FIND("|",'Blind Scoring Sheet'!J693)-1))))</f>
        <v/>
      </c>
      <c r="H693" s="80">
        <f>IF(ISNUMBER(SEARCH("|",'Blind Scoring Sheet'!K693)),TRIM(LEFT('Blind Scoring Sheet'!K693,FIND("|",'Blind Scoring Sheet'!K693)-1)),TRIM('Blind Scoring Sheet'!K693))</f>
        <v/>
      </c>
    </row>
    <row r="694" ht="15" customHeight="1" s="38">
      <c r="A694" s="80">
        <f>'Blind Scoring Sheet'!A694</f>
        <v/>
      </c>
      <c r="B694" s="80">
        <f>MID(INDEX('Anonymization Key'!$B$4:$B$1003,MATCH(A694,'Anonymization Key'!$A$4:$A$1003,0)),3,2)</f>
        <v/>
      </c>
      <c r="C694" s="81">
        <f>IF(ISNUMBER('Blind Scoring Sheet'!B694),'Blind Scoring Sheet'!B694,VALUE(TRIM(LEFT('Blind Scoring Sheet'!B694,FIND("|",'Blind Scoring Sheet'!B694)-1))))</f>
        <v/>
      </c>
      <c r="D694" s="81">
        <f>IF(ISNUMBER('Blind Scoring Sheet'!D694),'Blind Scoring Sheet'!D694,VALUE(TRIM(LEFT('Blind Scoring Sheet'!D694,FIND("|",'Blind Scoring Sheet'!D694)-1))))</f>
        <v/>
      </c>
      <c r="E694" s="81">
        <f>IF(ISNUMBER('Blind Scoring Sheet'!F694),'Blind Scoring Sheet'!F694,VALUE(TRIM(LEFT('Blind Scoring Sheet'!F694,FIND("|",'Blind Scoring Sheet'!F694)-1))))</f>
        <v/>
      </c>
      <c r="F694" s="81">
        <f>IF(ISNUMBER('Blind Scoring Sheet'!H694),'Blind Scoring Sheet'!H694,VALUE(TRIM(LEFT('Blind Scoring Sheet'!H694,FIND("|",'Blind Scoring Sheet'!H694)-1))))</f>
        <v/>
      </c>
      <c r="G694" s="81">
        <f>IF(ISNUMBER('Blind Scoring Sheet'!J694),'Blind Scoring Sheet'!J694,VALUE(TRIM(LEFT('Blind Scoring Sheet'!J694,FIND("|",'Blind Scoring Sheet'!J694)-1))))</f>
        <v/>
      </c>
      <c r="H694" s="80">
        <f>IF(ISNUMBER(SEARCH("|",'Blind Scoring Sheet'!K694)),TRIM(LEFT('Blind Scoring Sheet'!K694,FIND("|",'Blind Scoring Sheet'!K694)-1)),TRIM('Blind Scoring Sheet'!K694))</f>
        <v/>
      </c>
    </row>
    <row r="695" ht="15" customHeight="1" s="38">
      <c r="A695" s="80">
        <f>'Blind Scoring Sheet'!A695</f>
        <v/>
      </c>
      <c r="B695" s="80">
        <f>MID(INDEX('Anonymization Key'!$B$4:$B$1003,MATCH(A695,'Anonymization Key'!$A$4:$A$1003,0)),3,2)</f>
        <v/>
      </c>
      <c r="C695" s="81">
        <f>IF(ISNUMBER('Blind Scoring Sheet'!B695),'Blind Scoring Sheet'!B695,VALUE(TRIM(LEFT('Blind Scoring Sheet'!B695,FIND("|",'Blind Scoring Sheet'!B695)-1))))</f>
        <v/>
      </c>
      <c r="D695" s="81">
        <f>IF(ISNUMBER('Blind Scoring Sheet'!D695),'Blind Scoring Sheet'!D695,VALUE(TRIM(LEFT('Blind Scoring Sheet'!D695,FIND("|",'Blind Scoring Sheet'!D695)-1))))</f>
        <v/>
      </c>
      <c r="E695" s="81">
        <f>IF(ISNUMBER('Blind Scoring Sheet'!F695),'Blind Scoring Sheet'!F695,VALUE(TRIM(LEFT('Blind Scoring Sheet'!F695,FIND("|",'Blind Scoring Sheet'!F695)-1))))</f>
        <v/>
      </c>
      <c r="F695" s="81">
        <f>IF(ISNUMBER('Blind Scoring Sheet'!H695),'Blind Scoring Sheet'!H695,VALUE(TRIM(LEFT('Blind Scoring Sheet'!H695,FIND("|",'Blind Scoring Sheet'!H695)-1))))</f>
        <v/>
      </c>
      <c r="G695" s="81">
        <f>IF(ISNUMBER('Blind Scoring Sheet'!J695),'Blind Scoring Sheet'!J695,VALUE(TRIM(LEFT('Blind Scoring Sheet'!J695,FIND("|",'Blind Scoring Sheet'!J695)-1))))</f>
        <v/>
      </c>
      <c r="H695" s="80">
        <f>IF(ISNUMBER(SEARCH("|",'Blind Scoring Sheet'!K695)),TRIM(LEFT('Blind Scoring Sheet'!K695,FIND("|",'Blind Scoring Sheet'!K695)-1)),TRIM('Blind Scoring Sheet'!K695))</f>
        <v/>
      </c>
    </row>
    <row r="696" ht="15" customHeight="1" s="38">
      <c r="A696" s="80">
        <f>'Blind Scoring Sheet'!A696</f>
        <v/>
      </c>
      <c r="B696" s="80">
        <f>MID(INDEX('Anonymization Key'!$B$4:$B$1003,MATCH(A696,'Anonymization Key'!$A$4:$A$1003,0)),3,2)</f>
        <v/>
      </c>
      <c r="C696" s="81">
        <f>IF(ISNUMBER('Blind Scoring Sheet'!B696),'Blind Scoring Sheet'!B696,VALUE(TRIM(LEFT('Blind Scoring Sheet'!B696,FIND("|",'Blind Scoring Sheet'!B696)-1))))</f>
        <v/>
      </c>
      <c r="D696" s="81">
        <f>IF(ISNUMBER('Blind Scoring Sheet'!D696),'Blind Scoring Sheet'!D696,VALUE(TRIM(LEFT('Blind Scoring Sheet'!D696,FIND("|",'Blind Scoring Sheet'!D696)-1))))</f>
        <v/>
      </c>
      <c r="E696" s="81">
        <f>IF(ISNUMBER('Blind Scoring Sheet'!F696),'Blind Scoring Sheet'!F696,VALUE(TRIM(LEFT('Blind Scoring Sheet'!F696,FIND("|",'Blind Scoring Sheet'!F696)-1))))</f>
        <v/>
      </c>
      <c r="F696" s="81">
        <f>IF(ISNUMBER('Blind Scoring Sheet'!H696),'Blind Scoring Sheet'!H696,VALUE(TRIM(LEFT('Blind Scoring Sheet'!H696,FIND("|",'Blind Scoring Sheet'!H696)-1))))</f>
        <v/>
      </c>
      <c r="G696" s="81">
        <f>IF(ISNUMBER('Blind Scoring Sheet'!J696),'Blind Scoring Sheet'!J696,VALUE(TRIM(LEFT('Blind Scoring Sheet'!J696,FIND("|",'Blind Scoring Sheet'!J696)-1))))</f>
        <v/>
      </c>
      <c r="H696" s="80">
        <f>IF(ISNUMBER(SEARCH("|",'Blind Scoring Sheet'!K696)),TRIM(LEFT('Blind Scoring Sheet'!K696,FIND("|",'Blind Scoring Sheet'!K696)-1)),TRIM('Blind Scoring Sheet'!K696))</f>
        <v/>
      </c>
    </row>
    <row r="697" ht="15" customHeight="1" s="38">
      <c r="A697" s="80">
        <f>'Blind Scoring Sheet'!A697</f>
        <v/>
      </c>
      <c r="B697" s="80">
        <f>MID(INDEX('Anonymization Key'!$B$4:$B$1003,MATCH(A697,'Anonymization Key'!$A$4:$A$1003,0)),3,2)</f>
        <v/>
      </c>
      <c r="C697" s="81">
        <f>IF(ISNUMBER('Blind Scoring Sheet'!B697),'Blind Scoring Sheet'!B697,VALUE(TRIM(LEFT('Blind Scoring Sheet'!B697,FIND("|",'Blind Scoring Sheet'!B697)-1))))</f>
        <v/>
      </c>
      <c r="D697" s="81">
        <f>IF(ISNUMBER('Blind Scoring Sheet'!D697),'Blind Scoring Sheet'!D697,VALUE(TRIM(LEFT('Blind Scoring Sheet'!D697,FIND("|",'Blind Scoring Sheet'!D697)-1))))</f>
        <v/>
      </c>
      <c r="E697" s="81">
        <f>IF(ISNUMBER('Blind Scoring Sheet'!F697),'Blind Scoring Sheet'!F697,VALUE(TRIM(LEFT('Blind Scoring Sheet'!F697,FIND("|",'Blind Scoring Sheet'!F697)-1))))</f>
        <v/>
      </c>
      <c r="F697" s="81">
        <f>IF(ISNUMBER('Blind Scoring Sheet'!H697),'Blind Scoring Sheet'!H697,VALUE(TRIM(LEFT('Blind Scoring Sheet'!H697,FIND("|",'Blind Scoring Sheet'!H697)-1))))</f>
        <v/>
      </c>
      <c r="G697" s="81">
        <f>IF(ISNUMBER('Blind Scoring Sheet'!J697),'Blind Scoring Sheet'!J697,VALUE(TRIM(LEFT('Blind Scoring Sheet'!J697,FIND("|",'Blind Scoring Sheet'!J697)-1))))</f>
        <v/>
      </c>
      <c r="H697" s="80">
        <f>IF(ISNUMBER(SEARCH("|",'Blind Scoring Sheet'!K697)),TRIM(LEFT('Blind Scoring Sheet'!K697,FIND("|",'Blind Scoring Sheet'!K697)-1)),TRIM('Blind Scoring Sheet'!K697))</f>
        <v/>
      </c>
    </row>
    <row r="698" ht="15" customHeight="1" s="38">
      <c r="A698" s="80">
        <f>'Blind Scoring Sheet'!A698</f>
        <v/>
      </c>
      <c r="B698" s="80">
        <f>MID(INDEX('Anonymization Key'!$B$4:$B$1003,MATCH(A698,'Anonymization Key'!$A$4:$A$1003,0)),3,2)</f>
        <v/>
      </c>
      <c r="C698" s="81">
        <f>IF(ISNUMBER('Blind Scoring Sheet'!B698),'Blind Scoring Sheet'!B698,VALUE(TRIM(LEFT('Blind Scoring Sheet'!B698,FIND("|",'Blind Scoring Sheet'!B698)-1))))</f>
        <v/>
      </c>
      <c r="D698" s="81">
        <f>IF(ISNUMBER('Blind Scoring Sheet'!D698),'Blind Scoring Sheet'!D698,VALUE(TRIM(LEFT('Blind Scoring Sheet'!D698,FIND("|",'Blind Scoring Sheet'!D698)-1))))</f>
        <v/>
      </c>
      <c r="E698" s="81">
        <f>IF(ISNUMBER('Blind Scoring Sheet'!F698),'Blind Scoring Sheet'!F698,VALUE(TRIM(LEFT('Blind Scoring Sheet'!F698,FIND("|",'Blind Scoring Sheet'!F698)-1))))</f>
        <v/>
      </c>
      <c r="F698" s="81">
        <f>IF(ISNUMBER('Blind Scoring Sheet'!H698),'Blind Scoring Sheet'!H698,VALUE(TRIM(LEFT('Blind Scoring Sheet'!H698,FIND("|",'Blind Scoring Sheet'!H698)-1))))</f>
        <v/>
      </c>
      <c r="G698" s="81">
        <f>IF(ISNUMBER('Blind Scoring Sheet'!J698),'Blind Scoring Sheet'!J698,VALUE(TRIM(LEFT('Blind Scoring Sheet'!J698,FIND("|",'Blind Scoring Sheet'!J698)-1))))</f>
        <v/>
      </c>
      <c r="H698" s="80">
        <f>IF(ISNUMBER(SEARCH("|",'Blind Scoring Sheet'!K698)),TRIM(LEFT('Blind Scoring Sheet'!K698,FIND("|",'Blind Scoring Sheet'!K698)-1)),TRIM('Blind Scoring Sheet'!K698))</f>
        <v/>
      </c>
    </row>
    <row r="699" ht="15" customHeight="1" s="38">
      <c r="A699" s="80">
        <f>'Blind Scoring Sheet'!A699</f>
        <v/>
      </c>
      <c r="B699" s="80">
        <f>MID(INDEX('Anonymization Key'!$B$4:$B$1003,MATCH(A699,'Anonymization Key'!$A$4:$A$1003,0)),3,2)</f>
        <v/>
      </c>
      <c r="C699" s="81">
        <f>IF(ISNUMBER('Blind Scoring Sheet'!B699),'Blind Scoring Sheet'!B699,VALUE(TRIM(LEFT('Blind Scoring Sheet'!B699,FIND("|",'Blind Scoring Sheet'!B699)-1))))</f>
        <v/>
      </c>
      <c r="D699" s="81">
        <f>IF(ISNUMBER('Blind Scoring Sheet'!D699),'Blind Scoring Sheet'!D699,VALUE(TRIM(LEFT('Blind Scoring Sheet'!D699,FIND("|",'Blind Scoring Sheet'!D699)-1))))</f>
        <v/>
      </c>
      <c r="E699" s="81">
        <f>IF(ISNUMBER('Blind Scoring Sheet'!F699),'Blind Scoring Sheet'!F699,VALUE(TRIM(LEFT('Blind Scoring Sheet'!F699,FIND("|",'Blind Scoring Sheet'!F699)-1))))</f>
        <v/>
      </c>
      <c r="F699" s="81">
        <f>IF(ISNUMBER('Blind Scoring Sheet'!H699),'Blind Scoring Sheet'!H699,VALUE(TRIM(LEFT('Blind Scoring Sheet'!H699,FIND("|",'Blind Scoring Sheet'!H699)-1))))</f>
        <v/>
      </c>
      <c r="G699" s="81">
        <f>IF(ISNUMBER('Blind Scoring Sheet'!J699),'Blind Scoring Sheet'!J699,VALUE(TRIM(LEFT('Blind Scoring Sheet'!J699,FIND("|",'Blind Scoring Sheet'!J699)-1))))</f>
        <v/>
      </c>
      <c r="H699" s="80">
        <f>IF(ISNUMBER(SEARCH("|",'Blind Scoring Sheet'!K699)),TRIM(LEFT('Blind Scoring Sheet'!K699,FIND("|",'Blind Scoring Sheet'!K699)-1)),TRIM('Blind Scoring Sheet'!K699))</f>
        <v/>
      </c>
    </row>
    <row r="700" ht="15" customHeight="1" s="38">
      <c r="A700" s="80">
        <f>'Blind Scoring Sheet'!A700</f>
        <v/>
      </c>
      <c r="B700" s="80">
        <f>MID(INDEX('Anonymization Key'!$B$4:$B$1003,MATCH(A700,'Anonymization Key'!$A$4:$A$1003,0)),3,2)</f>
        <v/>
      </c>
      <c r="C700" s="81">
        <f>IF(ISNUMBER('Blind Scoring Sheet'!B700),'Blind Scoring Sheet'!B700,VALUE(TRIM(LEFT('Blind Scoring Sheet'!B700,FIND("|",'Blind Scoring Sheet'!B700)-1))))</f>
        <v/>
      </c>
      <c r="D700" s="81">
        <f>IF(ISNUMBER('Blind Scoring Sheet'!D700),'Blind Scoring Sheet'!D700,VALUE(TRIM(LEFT('Blind Scoring Sheet'!D700,FIND("|",'Blind Scoring Sheet'!D700)-1))))</f>
        <v/>
      </c>
      <c r="E700" s="81">
        <f>IF(ISNUMBER('Blind Scoring Sheet'!F700),'Blind Scoring Sheet'!F700,VALUE(TRIM(LEFT('Blind Scoring Sheet'!F700,FIND("|",'Blind Scoring Sheet'!F700)-1))))</f>
        <v/>
      </c>
      <c r="F700" s="81">
        <f>IF(ISNUMBER('Blind Scoring Sheet'!H700),'Blind Scoring Sheet'!H700,VALUE(TRIM(LEFT('Blind Scoring Sheet'!H700,FIND("|",'Blind Scoring Sheet'!H700)-1))))</f>
        <v/>
      </c>
      <c r="G700" s="81">
        <f>IF(ISNUMBER('Blind Scoring Sheet'!J700),'Blind Scoring Sheet'!J700,VALUE(TRIM(LEFT('Blind Scoring Sheet'!J700,FIND("|",'Blind Scoring Sheet'!J700)-1))))</f>
        <v/>
      </c>
      <c r="H700" s="80">
        <f>IF(ISNUMBER(SEARCH("|",'Blind Scoring Sheet'!K700)),TRIM(LEFT('Blind Scoring Sheet'!K700,FIND("|",'Blind Scoring Sheet'!K700)-1)),TRIM('Blind Scoring Sheet'!K700))</f>
        <v/>
      </c>
    </row>
    <row r="701" ht="15" customHeight="1" s="38">
      <c r="A701" s="80">
        <f>'Blind Scoring Sheet'!A701</f>
        <v/>
      </c>
      <c r="B701" s="80">
        <f>MID(INDEX('Anonymization Key'!$B$4:$B$1003,MATCH(A701,'Anonymization Key'!$A$4:$A$1003,0)),3,2)</f>
        <v/>
      </c>
      <c r="C701" s="81">
        <f>IF(ISNUMBER('Blind Scoring Sheet'!B701),'Blind Scoring Sheet'!B701,VALUE(TRIM(LEFT('Blind Scoring Sheet'!B701,FIND("|",'Blind Scoring Sheet'!B701)-1))))</f>
        <v/>
      </c>
      <c r="D701" s="81">
        <f>IF(ISNUMBER('Blind Scoring Sheet'!D701),'Blind Scoring Sheet'!D701,VALUE(TRIM(LEFT('Blind Scoring Sheet'!D701,FIND("|",'Blind Scoring Sheet'!D701)-1))))</f>
        <v/>
      </c>
      <c r="E701" s="81">
        <f>IF(ISNUMBER('Blind Scoring Sheet'!F701),'Blind Scoring Sheet'!F701,VALUE(TRIM(LEFT('Blind Scoring Sheet'!F701,FIND("|",'Blind Scoring Sheet'!F701)-1))))</f>
        <v/>
      </c>
      <c r="F701" s="81">
        <f>IF(ISNUMBER('Blind Scoring Sheet'!H701),'Blind Scoring Sheet'!H701,VALUE(TRIM(LEFT('Blind Scoring Sheet'!H701,FIND("|",'Blind Scoring Sheet'!H701)-1))))</f>
        <v/>
      </c>
      <c r="G701" s="81">
        <f>IF(ISNUMBER('Blind Scoring Sheet'!J701),'Blind Scoring Sheet'!J701,VALUE(TRIM(LEFT('Blind Scoring Sheet'!J701,FIND("|",'Blind Scoring Sheet'!J701)-1))))</f>
        <v/>
      </c>
      <c r="H701" s="80">
        <f>IF(ISNUMBER(SEARCH("|",'Blind Scoring Sheet'!K701)),TRIM(LEFT('Blind Scoring Sheet'!K701,FIND("|",'Blind Scoring Sheet'!K701)-1)),TRIM('Blind Scoring Sheet'!K701))</f>
        <v/>
      </c>
    </row>
    <row r="702" ht="15" customHeight="1" s="38">
      <c r="A702" s="80">
        <f>'Blind Scoring Sheet'!A702</f>
        <v/>
      </c>
      <c r="B702" s="80">
        <f>MID(INDEX('Anonymization Key'!$B$4:$B$1003,MATCH(A702,'Anonymization Key'!$A$4:$A$1003,0)),3,2)</f>
        <v/>
      </c>
      <c r="C702" s="81">
        <f>IF(ISNUMBER('Blind Scoring Sheet'!B702),'Blind Scoring Sheet'!B702,VALUE(TRIM(LEFT('Blind Scoring Sheet'!B702,FIND("|",'Blind Scoring Sheet'!B702)-1))))</f>
        <v/>
      </c>
      <c r="D702" s="81">
        <f>IF(ISNUMBER('Blind Scoring Sheet'!D702),'Blind Scoring Sheet'!D702,VALUE(TRIM(LEFT('Blind Scoring Sheet'!D702,FIND("|",'Blind Scoring Sheet'!D702)-1))))</f>
        <v/>
      </c>
      <c r="E702" s="81">
        <f>IF(ISNUMBER('Blind Scoring Sheet'!F702),'Blind Scoring Sheet'!F702,VALUE(TRIM(LEFT('Blind Scoring Sheet'!F702,FIND("|",'Blind Scoring Sheet'!F702)-1))))</f>
        <v/>
      </c>
      <c r="F702" s="81">
        <f>IF(ISNUMBER('Blind Scoring Sheet'!H702),'Blind Scoring Sheet'!H702,VALUE(TRIM(LEFT('Blind Scoring Sheet'!H702,FIND("|",'Blind Scoring Sheet'!H702)-1))))</f>
        <v/>
      </c>
      <c r="G702" s="81">
        <f>IF(ISNUMBER('Blind Scoring Sheet'!J702),'Blind Scoring Sheet'!J702,VALUE(TRIM(LEFT('Blind Scoring Sheet'!J702,FIND("|",'Blind Scoring Sheet'!J702)-1))))</f>
        <v/>
      </c>
      <c r="H702" s="80">
        <f>IF(ISNUMBER(SEARCH("|",'Blind Scoring Sheet'!K702)),TRIM(LEFT('Blind Scoring Sheet'!K702,FIND("|",'Blind Scoring Sheet'!K702)-1)),TRIM('Blind Scoring Sheet'!K702))</f>
        <v/>
      </c>
    </row>
    <row r="703" ht="15" customHeight="1" s="38">
      <c r="A703" s="80">
        <f>'Blind Scoring Sheet'!A703</f>
        <v/>
      </c>
      <c r="B703" s="80">
        <f>MID(INDEX('Anonymization Key'!$B$4:$B$1003,MATCH(A703,'Anonymization Key'!$A$4:$A$1003,0)),3,2)</f>
        <v/>
      </c>
      <c r="C703" s="81">
        <f>IF(ISNUMBER('Blind Scoring Sheet'!B703),'Blind Scoring Sheet'!B703,VALUE(TRIM(LEFT('Blind Scoring Sheet'!B703,FIND("|",'Blind Scoring Sheet'!B703)-1))))</f>
        <v/>
      </c>
      <c r="D703" s="81">
        <f>IF(ISNUMBER('Blind Scoring Sheet'!D703),'Blind Scoring Sheet'!D703,VALUE(TRIM(LEFT('Blind Scoring Sheet'!D703,FIND("|",'Blind Scoring Sheet'!D703)-1))))</f>
        <v/>
      </c>
      <c r="E703" s="81">
        <f>IF(ISNUMBER('Blind Scoring Sheet'!F703),'Blind Scoring Sheet'!F703,VALUE(TRIM(LEFT('Blind Scoring Sheet'!F703,FIND("|",'Blind Scoring Sheet'!F703)-1))))</f>
        <v/>
      </c>
      <c r="F703" s="81">
        <f>IF(ISNUMBER('Blind Scoring Sheet'!H703),'Blind Scoring Sheet'!H703,VALUE(TRIM(LEFT('Blind Scoring Sheet'!H703,FIND("|",'Blind Scoring Sheet'!H703)-1))))</f>
        <v/>
      </c>
      <c r="G703" s="81">
        <f>IF(ISNUMBER('Blind Scoring Sheet'!J703),'Blind Scoring Sheet'!J703,VALUE(TRIM(LEFT('Blind Scoring Sheet'!J703,FIND("|",'Blind Scoring Sheet'!J703)-1))))</f>
        <v/>
      </c>
      <c r="H703" s="80">
        <f>IF(ISNUMBER(SEARCH("|",'Blind Scoring Sheet'!K703)),TRIM(LEFT('Blind Scoring Sheet'!K703,FIND("|",'Blind Scoring Sheet'!K703)-1)),TRIM('Blind Scoring Sheet'!K703))</f>
        <v/>
      </c>
    </row>
    <row r="704" ht="15" customHeight="1" s="38">
      <c r="A704" s="80">
        <f>'Blind Scoring Sheet'!A704</f>
        <v/>
      </c>
      <c r="B704" s="80">
        <f>MID(INDEX('Anonymization Key'!$B$4:$B$1003,MATCH(A704,'Anonymization Key'!$A$4:$A$1003,0)),3,2)</f>
        <v/>
      </c>
      <c r="C704" s="81">
        <f>IF(ISNUMBER('Blind Scoring Sheet'!B704),'Blind Scoring Sheet'!B704,VALUE(TRIM(LEFT('Blind Scoring Sheet'!B704,FIND("|",'Blind Scoring Sheet'!B704)-1))))</f>
        <v/>
      </c>
      <c r="D704" s="81">
        <f>IF(ISNUMBER('Blind Scoring Sheet'!D704),'Blind Scoring Sheet'!D704,VALUE(TRIM(LEFT('Blind Scoring Sheet'!D704,FIND("|",'Blind Scoring Sheet'!D704)-1))))</f>
        <v/>
      </c>
      <c r="E704" s="81">
        <f>IF(ISNUMBER('Blind Scoring Sheet'!F704),'Blind Scoring Sheet'!F704,VALUE(TRIM(LEFT('Blind Scoring Sheet'!F704,FIND("|",'Blind Scoring Sheet'!F704)-1))))</f>
        <v/>
      </c>
      <c r="F704" s="81">
        <f>IF(ISNUMBER('Blind Scoring Sheet'!H704),'Blind Scoring Sheet'!H704,VALUE(TRIM(LEFT('Blind Scoring Sheet'!H704,FIND("|",'Blind Scoring Sheet'!H704)-1))))</f>
        <v/>
      </c>
      <c r="G704" s="81">
        <f>IF(ISNUMBER('Blind Scoring Sheet'!J704),'Blind Scoring Sheet'!J704,VALUE(TRIM(LEFT('Blind Scoring Sheet'!J704,FIND("|",'Blind Scoring Sheet'!J704)-1))))</f>
        <v/>
      </c>
      <c r="H704" s="80">
        <f>IF(ISNUMBER(SEARCH("|",'Blind Scoring Sheet'!K704)),TRIM(LEFT('Blind Scoring Sheet'!K704,FIND("|",'Blind Scoring Sheet'!K704)-1)),TRIM('Blind Scoring Sheet'!K704))</f>
        <v/>
      </c>
    </row>
    <row r="705" ht="15" customHeight="1" s="38">
      <c r="A705" s="80">
        <f>'Blind Scoring Sheet'!A705</f>
        <v/>
      </c>
      <c r="B705" s="80">
        <f>MID(INDEX('Anonymization Key'!$B$4:$B$1003,MATCH(A705,'Anonymization Key'!$A$4:$A$1003,0)),3,2)</f>
        <v/>
      </c>
      <c r="C705" s="81">
        <f>IF(ISNUMBER('Blind Scoring Sheet'!B705),'Blind Scoring Sheet'!B705,VALUE(TRIM(LEFT('Blind Scoring Sheet'!B705,FIND("|",'Blind Scoring Sheet'!B705)-1))))</f>
        <v/>
      </c>
      <c r="D705" s="81">
        <f>IF(ISNUMBER('Blind Scoring Sheet'!D705),'Blind Scoring Sheet'!D705,VALUE(TRIM(LEFT('Blind Scoring Sheet'!D705,FIND("|",'Blind Scoring Sheet'!D705)-1))))</f>
        <v/>
      </c>
      <c r="E705" s="81">
        <f>IF(ISNUMBER('Blind Scoring Sheet'!F705),'Blind Scoring Sheet'!F705,VALUE(TRIM(LEFT('Blind Scoring Sheet'!F705,FIND("|",'Blind Scoring Sheet'!F705)-1))))</f>
        <v/>
      </c>
      <c r="F705" s="81">
        <f>IF(ISNUMBER('Blind Scoring Sheet'!H705),'Blind Scoring Sheet'!H705,VALUE(TRIM(LEFT('Blind Scoring Sheet'!H705,FIND("|",'Blind Scoring Sheet'!H705)-1))))</f>
        <v/>
      </c>
      <c r="G705" s="81">
        <f>IF(ISNUMBER('Blind Scoring Sheet'!J705),'Blind Scoring Sheet'!J705,VALUE(TRIM(LEFT('Blind Scoring Sheet'!J705,FIND("|",'Blind Scoring Sheet'!J705)-1))))</f>
        <v/>
      </c>
      <c r="H705" s="80">
        <f>IF(ISNUMBER(SEARCH("|",'Blind Scoring Sheet'!K705)),TRIM(LEFT('Blind Scoring Sheet'!K705,FIND("|",'Blind Scoring Sheet'!K705)-1)),TRIM('Blind Scoring Sheet'!K705))</f>
        <v/>
      </c>
    </row>
    <row r="706" ht="15" customHeight="1" s="38">
      <c r="A706" s="80">
        <f>'Blind Scoring Sheet'!A706</f>
        <v/>
      </c>
      <c r="B706" s="80">
        <f>MID(INDEX('Anonymization Key'!$B$4:$B$1003,MATCH(A706,'Anonymization Key'!$A$4:$A$1003,0)),3,2)</f>
        <v/>
      </c>
      <c r="C706" s="81">
        <f>IF(ISNUMBER('Blind Scoring Sheet'!B706),'Blind Scoring Sheet'!B706,VALUE(TRIM(LEFT('Blind Scoring Sheet'!B706,FIND("|",'Blind Scoring Sheet'!B706)-1))))</f>
        <v/>
      </c>
      <c r="D706" s="81">
        <f>IF(ISNUMBER('Blind Scoring Sheet'!D706),'Blind Scoring Sheet'!D706,VALUE(TRIM(LEFT('Blind Scoring Sheet'!D706,FIND("|",'Blind Scoring Sheet'!D706)-1))))</f>
        <v/>
      </c>
      <c r="E706" s="81">
        <f>IF(ISNUMBER('Blind Scoring Sheet'!F706),'Blind Scoring Sheet'!F706,VALUE(TRIM(LEFT('Blind Scoring Sheet'!F706,FIND("|",'Blind Scoring Sheet'!F706)-1))))</f>
        <v/>
      </c>
      <c r="F706" s="81">
        <f>IF(ISNUMBER('Blind Scoring Sheet'!H706),'Blind Scoring Sheet'!H706,VALUE(TRIM(LEFT('Blind Scoring Sheet'!H706,FIND("|",'Blind Scoring Sheet'!H706)-1))))</f>
        <v/>
      </c>
      <c r="G706" s="81">
        <f>IF(ISNUMBER('Blind Scoring Sheet'!J706),'Blind Scoring Sheet'!J706,VALUE(TRIM(LEFT('Blind Scoring Sheet'!J706,FIND("|",'Blind Scoring Sheet'!J706)-1))))</f>
        <v/>
      </c>
      <c r="H706" s="80">
        <f>IF(ISNUMBER(SEARCH("|",'Blind Scoring Sheet'!K706)),TRIM(LEFT('Blind Scoring Sheet'!K706,FIND("|",'Blind Scoring Sheet'!K706)-1)),TRIM('Blind Scoring Sheet'!K706))</f>
        <v/>
      </c>
    </row>
    <row r="707" ht="15" customHeight="1" s="38">
      <c r="A707" s="80">
        <f>'Blind Scoring Sheet'!A707</f>
        <v/>
      </c>
      <c r="B707" s="80">
        <f>MID(INDEX('Anonymization Key'!$B$4:$B$1003,MATCH(A707,'Anonymization Key'!$A$4:$A$1003,0)),3,2)</f>
        <v/>
      </c>
      <c r="C707" s="81">
        <f>IF(ISNUMBER('Blind Scoring Sheet'!B707),'Blind Scoring Sheet'!B707,VALUE(TRIM(LEFT('Blind Scoring Sheet'!B707,FIND("|",'Blind Scoring Sheet'!B707)-1))))</f>
        <v/>
      </c>
      <c r="D707" s="81">
        <f>IF(ISNUMBER('Blind Scoring Sheet'!D707),'Blind Scoring Sheet'!D707,VALUE(TRIM(LEFT('Blind Scoring Sheet'!D707,FIND("|",'Blind Scoring Sheet'!D707)-1))))</f>
        <v/>
      </c>
      <c r="E707" s="81">
        <f>IF(ISNUMBER('Blind Scoring Sheet'!F707),'Blind Scoring Sheet'!F707,VALUE(TRIM(LEFT('Blind Scoring Sheet'!F707,FIND("|",'Blind Scoring Sheet'!F707)-1))))</f>
        <v/>
      </c>
      <c r="F707" s="81">
        <f>IF(ISNUMBER('Blind Scoring Sheet'!H707),'Blind Scoring Sheet'!H707,VALUE(TRIM(LEFT('Blind Scoring Sheet'!H707,FIND("|",'Blind Scoring Sheet'!H707)-1))))</f>
        <v/>
      </c>
      <c r="G707" s="81">
        <f>IF(ISNUMBER('Blind Scoring Sheet'!J707),'Blind Scoring Sheet'!J707,VALUE(TRIM(LEFT('Blind Scoring Sheet'!J707,FIND("|",'Blind Scoring Sheet'!J707)-1))))</f>
        <v/>
      </c>
      <c r="H707" s="80">
        <f>IF(ISNUMBER(SEARCH("|",'Blind Scoring Sheet'!K707)),TRIM(LEFT('Blind Scoring Sheet'!K707,FIND("|",'Blind Scoring Sheet'!K707)-1)),TRIM('Blind Scoring Sheet'!K707))</f>
        <v/>
      </c>
    </row>
    <row r="708" ht="15" customHeight="1" s="38">
      <c r="A708" s="80">
        <f>'Blind Scoring Sheet'!A708</f>
        <v/>
      </c>
      <c r="B708" s="80">
        <f>MID(INDEX('Anonymization Key'!$B$4:$B$1003,MATCH(A708,'Anonymization Key'!$A$4:$A$1003,0)),3,2)</f>
        <v/>
      </c>
      <c r="C708" s="81">
        <f>IF(ISNUMBER('Blind Scoring Sheet'!B708),'Blind Scoring Sheet'!B708,VALUE(TRIM(LEFT('Blind Scoring Sheet'!B708,FIND("|",'Blind Scoring Sheet'!B708)-1))))</f>
        <v/>
      </c>
      <c r="D708" s="81">
        <f>IF(ISNUMBER('Blind Scoring Sheet'!D708),'Blind Scoring Sheet'!D708,VALUE(TRIM(LEFT('Blind Scoring Sheet'!D708,FIND("|",'Blind Scoring Sheet'!D708)-1))))</f>
        <v/>
      </c>
      <c r="E708" s="81">
        <f>IF(ISNUMBER('Blind Scoring Sheet'!F708),'Blind Scoring Sheet'!F708,VALUE(TRIM(LEFT('Blind Scoring Sheet'!F708,FIND("|",'Blind Scoring Sheet'!F708)-1))))</f>
        <v/>
      </c>
      <c r="F708" s="81">
        <f>IF(ISNUMBER('Blind Scoring Sheet'!H708),'Blind Scoring Sheet'!H708,VALUE(TRIM(LEFT('Blind Scoring Sheet'!H708,FIND("|",'Blind Scoring Sheet'!H708)-1))))</f>
        <v/>
      </c>
      <c r="G708" s="81">
        <f>IF(ISNUMBER('Blind Scoring Sheet'!J708),'Blind Scoring Sheet'!J708,VALUE(TRIM(LEFT('Blind Scoring Sheet'!J708,FIND("|",'Blind Scoring Sheet'!J708)-1))))</f>
        <v/>
      </c>
      <c r="H708" s="80">
        <f>IF(ISNUMBER(SEARCH("|",'Blind Scoring Sheet'!K708)),TRIM(LEFT('Blind Scoring Sheet'!K708,FIND("|",'Blind Scoring Sheet'!K708)-1)),TRIM('Blind Scoring Sheet'!K708))</f>
        <v/>
      </c>
    </row>
    <row r="709" ht="15" customHeight="1" s="38">
      <c r="A709" s="80">
        <f>'Blind Scoring Sheet'!A709</f>
        <v/>
      </c>
      <c r="B709" s="80">
        <f>MID(INDEX('Anonymization Key'!$B$4:$B$1003,MATCH(A709,'Anonymization Key'!$A$4:$A$1003,0)),3,2)</f>
        <v/>
      </c>
      <c r="C709" s="81">
        <f>IF(ISNUMBER('Blind Scoring Sheet'!B709),'Blind Scoring Sheet'!B709,VALUE(TRIM(LEFT('Blind Scoring Sheet'!B709,FIND("|",'Blind Scoring Sheet'!B709)-1))))</f>
        <v/>
      </c>
      <c r="D709" s="81">
        <f>IF(ISNUMBER('Blind Scoring Sheet'!D709),'Blind Scoring Sheet'!D709,VALUE(TRIM(LEFT('Blind Scoring Sheet'!D709,FIND("|",'Blind Scoring Sheet'!D709)-1))))</f>
        <v/>
      </c>
      <c r="E709" s="81">
        <f>IF(ISNUMBER('Blind Scoring Sheet'!F709),'Blind Scoring Sheet'!F709,VALUE(TRIM(LEFT('Blind Scoring Sheet'!F709,FIND("|",'Blind Scoring Sheet'!F709)-1))))</f>
        <v/>
      </c>
      <c r="F709" s="81">
        <f>IF(ISNUMBER('Blind Scoring Sheet'!H709),'Blind Scoring Sheet'!H709,VALUE(TRIM(LEFT('Blind Scoring Sheet'!H709,FIND("|",'Blind Scoring Sheet'!H709)-1))))</f>
        <v/>
      </c>
      <c r="G709" s="81">
        <f>IF(ISNUMBER('Blind Scoring Sheet'!J709),'Blind Scoring Sheet'!J709,VALUE(TRIM(LEFT('Blind Scoring Sheet'!J709,FIND("|",'Blind Scoring Sheet'!J709)-1))))</f>
        <v/>
      </c>
      <c r="H709" s="80">
        <f>IF(ISNUMBER(SEARCH("|",'Blind Scoring Sheet'!K709)),TRIM(LEFT('Blind Scoring Sheet'!K709,FIND("|",'Blind Scoring Sheet'!K709)-1)),TRIM('Blind Scoring Sheet'!K709))</f>
        <v/>
      </c>
    </row>
    <row r="710" ht="15" customHeight="1" s="38">
      <c r="A710" s="80">
        <f>'Blind Scoring Sheet'!A710</f>
        <v/>
      </c>
      <c r="B710" s="80">
        <f>MID(INDEX('Anonymization Key'!$B$4:$B$1003,MATCH(A710,'Anonymization Key'!$A$4:$A$1003,0)),3,2)</f>
        <v/>
      </c>
      <c r="C710" s="81">
        <f>IF(ISNUMBER('Blind Scoring Sheet'!B710),'Blind Scoring Sheet'!B710,VALUE(TRIM(LEFT('Blind Scoring Sheet'!B710,FIND("|",'Blind Scoring Sheet'!B710)-1))))</f>
        <v/>
      </c>
      <c r="D710" s="81">
        <f>IF(ISNUMBER('Blind Scoring Sheet'!D710),'Blind Scoring Sheet'!D710,VALUE(TRIM(LEFT('Blind Scoring Sheet'!D710,FIND("|",'Blind Scoring Sheet'!D710)-1))))</f>
        <v/>
      </c>
      <c r="E710" s="81">
        <f>IF(ISNUMBER('Blind Scoring Sheet'!F710),'Blind Scoring Sheet'!F710,VALUE(TRIM(LEFT('Blind Scoring Sheet'!F710,FIND("|",'Blind Scoring Sheet'!F710)-1))))</f>
        <v/>
      </c>
      <c r="F710" s="81">
        <f>IF(ISNUMBER('Blind Scoring Sheet'!H710),'Blind Scoring Sheet'!H710,VALUE(TRIM(LEFT('Blind Scoring Sheet'!H710,FIND("|",'Blind Scoring Sheet'!H710)-1))))</f>
        <v/>
      </c>
      <c r="G710" s="81">
        <f>IF(ISNUMBER('Blind Scoring Sheet'!J710),'Blind Scoring Sheet'!J710,VALUE(TRIM(LEFT('Blind Scoring Sheet'!J710,FIND("|",'Blind Scoring Sheet'!J710)-1))))</f>
        <v/>
      </c>
      <c r="H710" s="80">
        <f>IF(ISNUMBER(SEARCH("|",'Blind Scoring Sheet'!K710)),TRIM(LEFT('Blind Scoring Sheet'!K710,FIND("|",'Blind Scoring Sheet'!K710)-1)),TRIM('Blind Scoring Sheet'!K710))</f>
        <v/>
      </c>
    </row>
    <row r="711" ht="15" customHeight="1" s="38">
      <c r="A711" s="80">
        <f>'Blind Scoring Sheet'!A711</f>
        <v/>
      </c>
      <c r="B711" s="80">
        <f>MID(INDEX('Anonymization Key'!$B$4:$B$1003,MATCH(A711,'Anonymization Key'!$A$4:$A$1003,0)),3,2)</f>
        <v/>
      </c>
      <c r="C711" s="81">
        <f>IF(ISNUMBER('Blind Scoring Sheet'!B711),'Blind Scoring Sheet'!B711,VALUE(TRIM(LEFT('Blind Scoring Sheet'!B711,FIND("|",'Blind Scoring Sheet'!B711)-1))))</f>
        <v/>
      </c>
      <c r="D711" s="81">
        <f>IF(ISNUMBER('Blind Scoring Sheet'!D711),'Blind Scoring Sheet'!D711,VALUE(TRIM(LEFT('Blind Scoring Sheet'!D711,FIND("|",'Blind Scoring Sheet'!D711)-1))))</f>
        <v/>
      </c>
      <c r="E711" s="81">
        <f>IF(ISNUMBER('Blind Scoring Sheet'!F711),'Blind Scoring Sheet'!F711,VALUE(TRIM(LEFT('Blind Scoring Sheet'!F711,FIND("|",'Blind Scoring Sheet'!F711)-1))))</f>
        <v/>
      </c>
      <c r="F711" s="81">
        <f>IF(ISNUMBER('Blind Scoring Sheet'!H711),'Blind Scoring Sheet'!H711,VALUE(TRIM(LEFT('Blind Scoring Sheet'!H711,FIND("|",'Blind Scoring Sheet'!H711)-1))))</f>
        <v/>
      </c>
      <c r="G711" s="81">
        <f>IF(ISNUMBER('Blind Scoring Sheet'!J711),'Blind Scoring Sheet'!J711,VALUE(TRIM(LEFT('Blind Scoring Sheet'!J711,FIND("|",'Blind Scoring Sheet'!J711)-1))))</f>
        <v/>
      </c>
      <c r="H711" s="80">
        <f>IF(ISNUMBER(SEARCH("|",'Blind Scoring Sheet'!K711)),TRIM(LEFT('Blind Scoring Sheet'!K711,FIND("|",'Blind Scoring Sheet'!K711)-1)),TRIM('Blind Scoring Sheet'!K711))</f>
        <v/>
      </c>
    </row>
    <row r="712" ht="15" customHeight="1" s="38">
      <c r="A712" s="80">
        <f>'Blind Scoring Sheet'!A712</f>
        <v/>
      </c>
      <c r="B712" s="80">
        <f>MID(INDEX('Anonymization Key'!$B$4:$B$1003,MATCH(A712,'Anonymization Key'!$A$4:$A$1003,0)),3,2)</f>
        <v/>
      </c>
      <c r="C712" s="81">
        <f>IF(ISNUMBER('Blind Scoring Sheet'!B712),'Blind Scoring Sheet'!B712,VALUE(TRIM(LEFT('Blind Scoring Sheet'!B712,FIND("|",'Blind Scoring Sheet'!B712)-1))))</f>
        <v/>
      </c>
      <c r="D712" s="81">
        <f>IF(ISNUMBER('Blind Scoring Sheet'!D712),'Blind Scoring Sheet'!D712,VALUE(TRIM(LEFT('Blind Scoring Sheet'!D712,FIND("|",'Blind Scoring Sheet'!D712)-1))))</f>
        <v/>
      </c>
      <c r="E712" s="81">
        <f>IF(ISNUMBER('Blind Scoring Sheet'!F712),'Blind Scoring Sheet'!F712,VALUE(TRIM(LEFT('Blind Scoring Sheet'!F712,FIND("|",'Blind Scoring Sheet'!F712)-1))))</f>
        <v/>
      </c>
      <c r="F712" s="81">
        <f>IF(ISNUMBER('Blind Scoring Sheet'!H712),'Blind Scoring Sheet'!H712,VALUE(TRIM(LEFT('Blind Scoring Sheet'!H712,FIND("|",'Blind Scoring Sheet'!H712)-1))))</f>
        <v/>
      </c>
      <c r="G712" s="81">
        <f>IF(ISNUMBER('Blind Scoring Sheet'!J712),'Blind Scoring Sheet'!J712,VALUE(TRIM(LEFT('Blind Scoring Sheet'!J712,FIND("|",'Blind Scoring Sheet'!J712)-1))))</f>
        <v/>
      </c>
      <c r="H712" s="80">
        <f>IF(ISNUMBER(SEARCH("|",'Blind Scoring Sheet'!K712)),TRIM(LEFT('Blind Scoring Sheet'!K712,FIND("|",'Blind Scoring Sheet'!K712)-1)),TRIM('Blind Scoring Sheet'!K712))</f>
        <v/>
      </c>
    </row>
    <row r="713" ht="15" customHeight="1" s="38">
      <c r="A713" s="80">
        <f>'Blind Scoring Sheet'!A713</f>
        <v/>
      </c>
      <c r="B713" s="80">
        <f>MID(INDEX('Anonymization Key'!$B$4:$B$1003,MATCH(A713,'Anonymization Key'!$A$4:$A$1003,0)),3,2)</f>
        <v/>
      </c>
      <c r="C713" s="81">
        <f>IF(ISNUMBER('Blind Scoring Sheet'!B713),'Blind Scoring Sheet'!B713,VALUE(TRIM(LEFT('Blind Scoring Sheet'!B713,FIND("|",'Blind Scoring Sheet'!B713)-1))))</f>
        <v/>
      </c>
      <c r="D713" s="81">
        <f>IF(ISNUMBER('Blind Scoring Sheet'!D713),'Blind Scoring Sheet'!D713,VALUE(TRIM(LEFT('Blind Scoring Sheet'!D713,FIND("|",'Blind Scoring Sheet'!D713)-1))))</f>
        <v/>
      </c>
      <c r="E713" s="81">
        <f>IF(ISNUMBER('Blind Scoring Sheet'!F713),'Blind Scoring Sheet'!F713,VALUE(TRIM(LEFT('Blind Scoring Sheet'!F713,FIND("|",'Blind Scoring Sheet'!F713)-1))))</f>
        <v/>
      </c>
      <c r="F713" s="81">
        <f>IF(ISNUMBER('Blind Scoring Sheet'!H713),'Blind Scoring Sheet'!H713,VALUE(TRIM(LEFT('Blind Scoring Sheet'!H713,FIND("|",'Blind Scoring Sheet'!H713)-1))))</f>
        <v/>
      </c>
      <c r="G713" s="81">
        <f>IF(ISNUMBER('Blind Scoring Sheet'!J713),'Blind Scoring Sheet'!J713,VALUE(TRIM(LEFT('Blind Scoring Sheet'!J713,FIND("|",'Blind Scoring Sheet'!J713)-1))))</f>
        <v/>
      </c>
      <c r="H713" s="80">
        <f>IF(ISNUMBER(SEARCH("|",'Blind Scoring Sheet'!K713)),TRIM(LEFT('Blind Scoring Sheet'!K713,FIND("|",'Blind Scoring Sheet'!K713)-1)),TRIM('Blind Scoring Sheet'!K713))</f>
        <v/>
      </c>
    </row>
    <row r="714" ht="15" customHeight="1" s="38">
      <c r="A714" s="80">
        <f>'Blind Scoring Sheet'!A714</f>
        <v/>
      </c>
      <c r="B714" s="80">
        <f>MID(INDEX('Anonymization Key'!$B$4:$B$1003,MATCH(A714,'Anonymization Key'!$A$4:$A$1003,0)),3,2)</f>
        <v/>
      </c>
      <c r="C714" s="81">
        <f>IF(ISNUMBER('Blind Scoring Sheet'!B714),'Blind Scoring Sheet'!B714,VALUE(TRIM(LEFT('Blind Scoring Sheet'!B714,FIND("|",'Blind Scoring Sheet'!B714)-1))))</f>
        <v/>
      </c>
      <c r="D714" s="81">
        <f>IF(ISNUMBER('Blind Scoring Sheet'!D714),'Blind Scoring Sheet'!D714,VALUE(TRIM(LEFT('Blind Scoring Sheet'!D714,FIND("|",'Blind Scoring Sheet'!D714)-1))))</f>
        <v/>
      </c>
      <c r="E714" s="81">
        <f>IF(ISNUMBER('Blind Scoring Sheet'!F714),'Blind Scoring Sheet'!F714,VALUE(TRIM(LEFT('Blind Scoring Sheet'!F714,FIND("|",'Blind Scoring Sheet'!F714)-1))))</f>
        <v/>
      </c>
      <c r="F714" s="81">
        <f>IF(ISNUMBER('Blind Scoring Sheet'!H714),'Blind Scoring Sheet'!H714,VALUE(TRIM(LEFT('Blind Scoring Sheet'!H714,FIND("|",'Blind Scoring Sheet'!H714)-1))))</f>
        <v/>
      </c>
      <c r="G714" s="81">
        <f>IF(ISNUMBER('Blind Scoring Sheet'!J714),'Blind Scoring Sheet'!J714,VALUE(TRIM(LEFT('Blind Scoring Sheet'!J714,FIND("|",'Blind Scoring Sheet'!J714)-1))))</f>
        <v/>
      </c>
      <c r="H714" s="80">
        <f>IF(ISNUMBER(SEARCH("|",'Blind Scoring Sheet'!K714)),TRIM(LEFT('Blind Scoring Sheet'!K714,FIND("|",'Blind Scoring Sheet'!K714)-1)),TRIM('Blind Scoring Sheet'!K714))</f>
        <v/>
      </c>
    </row>
    <row r="715" ht="15" customHeight="1" s="38">
      <c r="A715" s="80">
        <f>'Blind Scoring Sheet'!A715</f>
        <v/>
      </c>
      <c r="B715" s="80">
        <f>MID(INDEX('Anonymization Key'!$B$4:$B$1003,MATCH(A715,'Anonymization Key'!$A$4:$A$1003,0)),3,2)</f>
        <v/>
      </c>
      <c r="C715" s="81">
        <f>IF(ISNUMBER('Blind Scoring Sheet'!B715),'Blind Scoring Sheet'!B715,VALUE(TRIM(LEFT('Blind Scoring Sheet'!B715,FIND("|",'Blind Scoring Sheet'!B715)-1))))</f>
        <v/>
      </c>
      <c r="D715" s="81">
        <f>IF(ISNUMBER('Blind Scoring Sheet'!D715),'Blind Scoring Sheet'!D715,VALUE(TRIM(LEFT('Blind Scoring Sheet'!D715,FIND("|",'Blind Scoring Sheet'!D715)-1))))</f>
        <v/>
      </c>
      <c r="E715" s="81">
        <f>IF(ISNUMBER('Blind Scoring Sheet'!F715),'Blind Scoring Sheet'!F715,VALUE(TRIM(LEFT('Blind Scoring Sheet'!F715,FIND("|",'Blind Scoring Sheet'!F715)-1))))</f>
        <v/>
      </c>
      <c r="F715" s="81">
        <f>IF(ISNUMBER('Blind Scoring Sheet'!H715),'Blind Scoring Sheet'!H715,VALUE(TRIM(LEFT('Blind Scoring Sheet'!H715,FIND("|",'Blind Scoring Sheet'!H715)-1))))</f>
        <v/>
      </c>
      <c r="G715" s="81">
        <f>IF(ISNUMBER('Blind Scoring Sheet'!J715),'Blind Scoring Sheet'!J715,VALUE(TRIM(LEFT('Blind Scoring Sheet'!J715,FIND("|",'Blind Scoring Sheet'!J715)-1))))</f>
        <v/>
      </c>
      <c r="H715" s="80">
        <f>IF(ISNUMBER(SEARCH("|",'Blind Scoring Sheet'!K715)),TRIM(LEFT('Blind Scoring Sheet'!K715,FIND("|",'Blind Scoring Sheet'!K715)-1)),TRIM('Blind Scoring Sheet'!K715))</f>
        <v/>
      </c>
    </row>
    <row r="716" ht="15" customHeight="1" s="38">
      <c r="A716" s="80">
        <f>'Blind Scoring Sheet'!A716</f>
        <v/>
      </c>
      <c r="B716" s="80">
        <f>MID(INDEX('Anonymization Key'!$B$4:$B$1003,MATCH(A716,'Anonymization Key'!$A$4:$A$1003,0)),3,2)</f>
        <v/>
      </c>
      <c r="C716" s="81">
        <f>IF(ISNUMBER('Blind Scoring Sheet'!B716),'Blind Scoring Sheet'!B716,VALUE(TRIM(LEFT('Blind Scoring Sheet'!B716,FIND("|",'Blind Scoring Sheet'!B716)-1))))</f>
        <v/>
      </c>
      <c r="D716" s="81">
        <f>IF(ISNUMBER('Blind Scoring Sheet'!D716),'Blind Scoring Sheet'!D716,VALUE(TRIM(LEFT('Blind Scoring Sheet'!D716,FIND("|",'Blind Scoring Sheet'!D716)-1))))</f>
        <v/>
      </c>
      <c r="E716" s="81">
        <f>IF(ISNUMBER('Blind Scoring Sheet'!F716),'Blind Scoring Sheet'!F716,VALUE(TRIM(LEFT('Blind Scoring Sheet'!F716,FIND("|",'Blind Scoring Sheet'!F716)-1))))</f>
        <v/>
      </c>
      <c r="F716" s="81">
        <f>IF(ISNUMBER('Blind Scoring Sheet'!H716),'Blind Scoring Sheet'!H716,VALUE(TRIM(LEFT('Blind Scoring Sheet'!H716,FIND("|",'Blind Scoring Sheet'!H716)-1))))</f>
        <v/>
      </c>
      <c r="G716" s="81">
        <f>IF(ISNUMBER('Blind Scoring Sheet'!J716),'Blind Scoring Sheet'!J716,VALUE(TRIM(LEFT('Blind Scoring Sheet'!J716,FIND("|",'Blind Scoring Sheet'!J716)-1))))</f>
        <v/>
      </c>
      <c r="H716" s="80">
        <f>IF(ISNUMBER(SEARCH("|",'Blind Scoring Sheet'!K716)),TRIM(LEFT('Blind Scoring Sheet'!K716,FIND("|",'Blind Scoring Sheet'!K716)-1)),TRIM('Blind Scoring Sheet'!K716))</f>
        <v/>
      </c>
    </row>
    <row r="717" ht="15" customHeight="1" s="38">
      <c r="A717" s="80">
        <f>'Blind Scoring Sheet'!A717</f>
        <v/>
      </c>
      <c r="B717" s="80">
        <f>MID(INDEX('Anonymization Key'!$B$4:$B$1003,MATCH(A717,'Anonymization Key'!$A$4:$A$1003,0)),3,2)</f>
        <v/>
      </c>
      <c r="C717" s="81">
        <f>IF(ISNUMBER('Blind Scoring Sheet'!B717),'Blind Scoring Sheet'!B717,VALUE(TRIM(LEFT('Blind Scoring Sheet'!B717,FIND("|",'Blind Scoring Sheet'!B717)-1))))</f>
        <v/>
      </c>
      <c r="D717" s="81">
        <f>IF(ISNUMBER('Blind Scoring Sheet'!D717),'Blind Scoring Sheet'!D717,VALUE(TRIM(LEFT('Blind Scoring Sheet'!D717,FIND("|",'Blind Scoring Sheet'!D717)-1))))</f>
        <v/>
      </c>
      <c r="E717" s="81">
        <f>IF(ISNUMBER('Blind Scoring Sheet'!F717),'Blind Scoring Sheet'!F717,VALUE(TRIM(LEFT('Blind Scoring Sheet'!F717,FIND("|",'Blind Scoring Sheet'!F717)-1))))</f>
        <v/>
      </c>
      <c r="F717" s="81">
        <f>IF(ISNUMBER('Blind Scoring Sheet'!H717),'Blind Scoring Sheet'!H717,VALUE(TRIM(LEFT('Blind Scoring Sheet'!H717,FIND("|",'Blind Scoring Sheet'!H717)-1))))</f>
        <v/>
      </c>
      <c r="G717" s="81">
        <f>IF(ISNUMBER('Blind Scoring Sheet'!J717),'Blind Scoring Sheet'!J717,VALUE(TRIM(LEFT('Blind Scoring Sheet'!J717,FIND("|",'Blind Scoring Sheet'!J717)-1))))</f>
        <v/>
      </c>
      <c r="H717" s="80">
        <f>IF(ISNUMBER(SEARCH("|",'Blind Scoring Sheet'!K717)),TRIM(LEFT('Blind Scoring Sheet'!K717,FIND("|",'Blind Scoring Sheet'!K717)-1)),TRIM('Blind Scoring Sheet'!K717))</f>
        <v/>
      </c>
    </row>
    <row r="718" ht="15" customHeight="1" s="38">
      <c r="A718" s="80">
        <f>'Blind Scoring Sheet'!A718</f>
        <v/>
      </c>
      <c r="B718" s="80">
        <f>MID(INDEX('Anonymization Key'!$B$4:$B$1003,MATCH(A718,'Anonymization Key'!$A$4:$A$1003,0)),3,2)</f>
        <v/>
      </c>
      <c r="C718" s="81">
        <f>IF(ISNUMBER('Blind Scoring Sheet'!B718),'Blind Scoring Sheet'!B718,VALUE(TRIM(LEFT('Blind Scoring Sheet'!B718,FIND("|",'Blind Scoring Sheet'!B718)-1))))</f>
        <v/>
      </c>
      <c r="D718" s="81">
        <f>IF(ISNUMBER('Blind Scoring Sheet'!D718),'Blind Scoring Sheet'!D718,VALUE(TRIM(LEFT('Blind Scoring Sheet'!D718,FIND("|",'Blind Scoring Sheet'!D718)-1))))</f>
        <v/>
      </c>
      <c r="E718" s="81">
        <f>IF(ISNUMBER('Blind Scoring Sheet'!F718),'Blind Scoring Sheet'!F718,VALUE(TRIM(LEFT('Blind Scoring Sheet'!F718,FIND("|",'Blind Scoring Sheet'!F718)-1))))</f>
        <v/>
      </c>
      <c r="F718" s="81">
        <f>IF(ISNUMBER('Blind Scoring Sheet'!H718),'Blind Scoring Sheet'!H718,VALUE(TRIM(LEFT('Blind Scoring Sheet'!H718,FIND("|",'Blind Scoring Sheet'!H718)-1))))</f>
        <v/>
      </c>
      <c r="G718" s="81">
        <f>IF(ISNUMBER('Blind Scoring Sheet'!J718),'Blind Scoring Sheet'!J718,VALUE(TRIM(LEFT('Blind Scoring Sheet'!J718,FIND("|",'Blind Scoring Sheet'!J718)-1))))</f>
        <v/>
      </c>
      <c r="H718" s="80">
        <f>IF(ISNUMBER(SEARCH("|",'Blind Scoring Sheet'!K718)),TRIM(LEFT('Blind Scoring Sheet'!K718,FIND("|",'Blind Scoring Sheet'!K718)-1)),TRIM('Blind Scoring Sheet'!K718))</f>
        <v/>
      </c>
    </row>
    <row r="719" ht="15" customHeight="1" s="38">
      <c r="A719" s="80">
        <f>'Blind Scoring Sheet'!A719</f>
        <v/>
      </c>
      <c r="B719" s="80">
        <f>MID(INDEX('Anonymization Key'!$B$4:$B$1003,MATCH(A719,'Anonymization Key'!$A$4:$A$1003,0)),3,2)</f>
        <v/>
      </c>
      <c r="C719" s="81">
        <f>IF(ISNUMBER('Blind Scoring Sheet'!B719),'Blind Scoring Sheet'!B719,VALUE(TRIM(LEFT('Blind Scoring Sheet'!B719,FIND("|",'Blind Scoring Sheet'!B719)-1))))</f>
        <v/>
      </c>
      <c r="D719" s="81">
        <f>IF(ISNUMBER('Blind Scoring Sheet'!D719),'Blind Scoring Sheet'!D719,VALUE(TRIM(LEFT('Blind Scoring Sheet'!D719,FIND("|",'Blind Scoring Sheet'!D719)-1))))</f>
        <v/>
      </c>
      <c r="E719" s="81">
        <f>IF(ISNUMBER('Blind Scoring Sheet'!F719),'Blind Scoring Sheet'!F719,VALUE(TRIM(LEFT('Blind Scoring Sheet'!F719,FIND("|",'Blind Scoring Sheet'!F719)-1))))</f>
        <v/>
      </c>
      <c r="F719" s="81">
        <f>IF(ISNUMBER('Blind Scoring Sheet'!H719),'Blind Scoring Sheet'!H719,VALUE(TRIM(LEFT('Blind Scoring Sheet'!H719,FIND("|",'Blind Scoring Sheet'!H719)-1))))</f>
        <v/>
      </c>
      <c r="G719" s="81">
        <f>IF(ISNUMBER('Blind Scoring Sheet'!J719),'Blind Scoring Sheet'!J719,VALUE(TRIM(LEFT('Blind Scoring Sheet'!J719,FIND("|",'Blind Scoring Sheet'!J719)-1))))</f>
        <v/>
      </c>
      <c r="H719" s="80">
        <f>IF(ISNUMBER(SEARCH("|",'Blind Scoring Sheet'!K719)),TRIM(LEFT('Blind Scoring Sheet'!K719,FIND("|",'Blind Scoring Sheet'!K719)-1)),TRIM('Blind Scoring Sheet'!K719))</f>
        <v/>
      </c>
    </row>
    <row r="720" ht="15" customHeight="1" s="38">
      <c r="A720" s="80">
        <f>'Blind Scoring Sheet'!A720</f>
        <v/>
      </c>
      <c r="B720" s="80">
        <f>MID(INDEX('Anonymization Key'!$B$4:$B$1003,MATCH(A720,'Anonymization Key'!$A$4:$A$1003,0)),3,2)</f>
        <v/>
      </c>
      <c r="C720" s="81">
        <f>IF(ISNUMBER('Blind Scoring Sheet'!B720),'Blind Scoring Sheet'!B720,VALUE(TRIM(LEFT('Blind Scoring Sheet'!B720,FIND("|",'Blind Scoring Sheet'!B720)-1))))</f>
        <v/>
      </c>
      <c r="D720" s="81">
        <f>IF(ISNUMBER('Blind Scoring Sheet'!D720),'Blind Scoring Sheet'!D720,VALUE(TRIM(LEFT('Blind Scoring Sheet'!D720,FIND("|",'Blind Scoring Sheet'!D720)-1))))</f>
        <v/>
      </c>
      <c r="E720" s="81">
        <f>IF(ISNUMBER('Blind Scoring Sheet'!F720),'Blind Scoring Sheet'!F720,VALUE(TRIM(LEFT('Blind Scoring Sheet'!F720,FIND("|",'Blind Scoring Sheet'!F720)-1))))</f>
        <v/>
      </c>
      <c r="F720" s="81">
        <f>IF(ISNUMBER('Blind Scoring Sheet'!H720),'Blind Scoring Sheet'!H720,VALUE(TRIM(LEFT('Blind Scoring Sheet'!H720,FIND("|",'Blind Scoring Sheet'!H720)-1))))</f>
        <v/>
      </c>
      <c r="G720" s="81">
        <f>IF(ISNUMBER('Blind Scoring Sheet'!J720),'Blind Scoring Sheet'!J720,VALUE(TRIM(LEFT('Blind Scoring Sheet'!J720,FIND("|",'Blind Scoring Sheet'!J720)-1))))</f>
        <v/>
      </c>
      <c r="H720" s="80">
        <f>IF(ISNUMBER(SEARCH("|",'Blind Scoring Sheet'!K720)),TRIM(LEFT('Blind Scoring Sheet'!K720,FIND("|",'Blind Scoring Sheet'!K720)-1)),TRIM('Blind Scoring Sheet'!K720))</f>
        <v/>
      </c>
    </row>
    <row r="721" ht="15" customHeight="1" s="38">
      <c r="A721" s="80">
        <f>'Blind Scoring Sheet'!A721</f>
        <v/>
      </c>
      <c r="B721" s="80">
        <f>MID(INDEX('Anonymization Key'!$B$4:$B$1003,MATCH(A721,'Anonymization Key'!$A$4:$A$1003,0)),3,2)</f>
        <v/>
      </c>
      <c r="C721" s="81">
        <f>IF(ISNUMBER('Blind Scoring Sheet'!B721),'Blind Scoring Sheet'!B721,VALUE(TRIM(LEFT('Blind Scoring Sheet'!B721,FIND("|",'Blind Scoring Sheet'!B721)-1))))</f>
        <v/>
      </c>
      <c r="D721" s="81">
        <f>IF(ISNUMBER('Blind Scoring Sheet'!D721),'Blind Scoring Sheet'!D721,VALUE(TRIM(LEFT('Blind Scoring Sheet'!D721,FIND("|",'Blind Scoring Sheet'!D721)-1))))</f>
        <v/>
      </c>
      <c r="E721" s="81">
        <f>IF(ISNUMBER('Blind Scoring Sheet'!F721),'Blind Scoring Sheet'!F721,VALUE(TRIM(LEFT('Blind Scoring Sheet'!F721,FIND("|",'Blind Scoring Sheet'!F721)-1))))</f>
        <v/>
      </c>
      <c r="F721" s="81">
        <f>IF(ISNUMBER('Blind Scoring Sheet'!H721),'Blind Scoring Sheet'!H721,VALUE(TRIM(LEFT('Blind Scoring Sheet'!H721,FIND("|",'Blind Scoring Sheet'!H721)-1))))</f>
        <v/>
      </c>
      <c r="G721" s="81">
        <f>IF(ISNUMBER('Blind Scoring Sheet'!J721),'Blind Scoring Sheet'!J721,VALUE(TRIM(LEFT('Blind Scoring Sheet'!J721,FIND("|",'Blind Scoring Sheet'!J721)-1))))</f>
        <v/>
      </c>
      <c r="H721" s="80">
        <f>IF(ISNUMBER(SEARCH("|",'Blind Scoring Sheet'!K721)),TRIM(LEFT('Blind Scoring Sheet'!K721,FIND("|",'Blind Scoring Sheet'!K721)-1)),TRIM('Blind Scoring Sheet'!K721))</f>
        <v/>
      </c>
    </row>
    <row r="722" ht="15" customHeight="1" s="38">
      <c r="A722" s="80">
        <f>'Blind Scoring Sheet'!A722</f>
        <v/>
      </c>
      <c r="B722" s="80">
        <f>MID(INDEX('Anonymization Key'!$B$4:$B$1003,MATCH(A722,'Anonymization Key'!$A$4:$A$1003,0)),3,2)</f>
        <v/>
      </c>
      <c r="C722" s="81">
        <f>IF(ISNUMBER('Blind Scoring Sheet'!B722),'Blind Scoring Sheet'!B722,VALUE(TRIM(LEFT('Blind Scoring Sheet'!B722,FIND("|",'Blind Scoring Sheet'!B722)-1))))</f>
        <v/>
      </c>
      <c r="D722" s="81">
        <f>IF(ISNUMBER('Blind Scoring Sheet'!D722),'Blind Scoring Sheet'!D722,VALUE(TRIM(LEFT('Blind Scoring Sheet'!D722,FIND("|",'Blind Scoring Sheet'!D722)-1))))</f>
        <v/>
      </c>
      <c r="E722" s="81">
        <f>IF(ISNUMBER('Blind Scoring Sheet'!F722),'Blind Scoring Sheet'!F722,VALUE(TRIM(LEFT('Blind Scoring Sheet'!F722,FIND("|",'Blind Scoring Sheet'!F722)-1))))</f>
        <v/>
      </c>
      <c r="F722" s="81">
        <f>IF(ISNUMBER('Blind Scoring Sheet'!H722),'Blind Scoring Sheet'!H722,VALUE(TRIM(LEFT('Blind Scoring Sheet'!H722,FIND("|",'Blind Scoring Sheet'!H722)-1))))</f>
        <v/>
      </c>
      <c r="G722" s="81">
        <f>IF(ISNUMBER('Blind Scoring Sheet'!J722),'Blind Scoring Sheet'!J722,VALUE(TRIM(LEFT('Blind Scoring Sheet'!J722,FIND("|",'Blind Scoring Sheet'!J722)-1))))</f>
        <v/>
      </c>
      <c r="H722" s="80">
        <f>IF(ISNUMBER(SEARCH("|",'Blind Scoring Sheet'!K722)),TRIM(LEFT('Blind Scoring Sheet'!K722,FIND("|",'Blind Scoring Sheet'!K722)-1)),TRIM('Blind Scoring Sheet'!K722))</f>
        <v/>
      </c>
    </row>
    <row r="723" ht="15" customHeight="1" s="38">
      <c r="A723" s="80">
        <f>'Blind Scoring Sheet'!A723</f>
        <v/>
      </c>
      <c r="B723" s="80">
        <f>MID(INDEX('Anonymization Key'!$B$4:$B$1003,MATCH(A723,'Anonymization Key'!$A$4:$A$1003,0)),3,2)</f>
        <v/>
      </c>
      <c r="C723" s="81">
        <f>IF(ISNUMBER('Blind Scoring Sheet'!B723),'Blind Scoring Sheet'!B723,VALUE(TRIM(LEFT('Blind Scoring Sheet'!B723,FIND("|",'Blind Scoring Sheet'!B723)-1))))</f>
        <v/>
      </c>
      <c r="D723" s="81">
        <f>IF(ISNUMBER('Blind Scoring Sheet'!D723),'Blind Scoring Sheet'!D723,VALUE(TRIM(LEFT('Blind Scoring Sheet'!D723,FIND("|",'Blind Scoring Sheet'!D723)-1))))</f>
        <v/>
      </c>
      <c r="E723" s="81">
        <f>IF(ISNUMBER('Blind Scoring Sheet'!F723),'Blind Scoring Sheet'!F723,VALUE(TRIM(LEFT('Blind Scoring Sheet'!F723,FIND("|",'Blind Scoring Sheet'!F723)-1))))</f>
        <v/>
      </c>
      <c r="F723" s="81">
        <f>IF(ISNUMBER('Blind Scoring Sheet'!H723),'Blind Scoring Sheet'!H723,VALUE(TRIM(LEFT('Blind Scoring Sheet'!H723,FIND("|",'Blind Scoring Sheet'!H723)-1))))</f>
        <v/>
      </c>
      <c r="G723" s="81">
        <f>IF(ISNUMBER('Blind Scoring Sheet'!J723),'Blind Scoring Sheet'!J723,VALUE(TRIM(LEFT('Blind Scoring Sheet'!J723,FIND("|",'Blind Scoring Sheet'!J723)-1))))</f>
        <v/>
      </c>
      <c r="H723" s="80">
        <f>IF(ISNUMBER(SEARCH("|",'Blind Scoring Sheet'!K723)),TRIM(LEFT('Blind Scoring Sheet'!K723,FIND("|",'Blind Scoring Sheet'!K723)-1)),TRIM('Blind Scoring Sheet'!K723))</f>
        <v/>
      </c>
    </row>
    <row r="724" ht="15" customHeight="1" s="38">
      <c r="A724" s="80">
        <f>'Blind Scoring Sheet'!A724</f>
        <v/>
      </c>
      <c r="B724" s="80">
        <f>MID(INDEX('Anonymization Key'!$B$4:$B$1003,MATCH(A724,'Anonymization Key'!$A$4:$A$1003,0)),3,2)</f>
        <v/>
      </c>
      <c r="C724" s="81">
        <f>IF(ISNUMBER('Blind Scoring Sheet'!B724),'Blind Scoring Sheet'!B724,VALUE(TRIM(LEFT('Blind Scoring Sheet'!B724,FIND("|",'Blind Scoring Sheet'!B724)-1))))</f>
        <v/>
      </c>
      <c r="D724" s="81">
        <f>IF(ISNUMBER('Blind Scoring Sheet'!D724),'Blind Scoring Sheet'!D724,VALUE(TRIM(LEFT('Blind Scoring Sheet'!D724,FIND("|",'Blind Scoring Sheet'!D724)-1))))</f>
        <v/>
      </c>
      <c r="E724" s="81">
        <f>IF(ISNUMBER('Blind Scoring Sheet'!F724),'Blind Scoring Sheet'!F724,VALUE(TRIM(LEFT('Blind Scoring Sheet'!F724,FIND("|",'Blind Scoring Sheet'!F724)-1))))</f>
        <v/>
      </c>
      <c r="F724" s="81">
        <f>IF(ISNUMBER('Blind Scoring Sheet'!H724),'Blind Scoring Sheet'!H724,VALUE(TRIM(LEFT('Blind Scoring Sheet'!H724,FIND("|",'Blind Scoring Sheet'!H724)-1))))</f>
        <v/>
      </c>
      <c r="G724" s="81">
        <f>IF(ISNUMBER('Blind Scoring Sheet'!J724),'Blind Scoring Sheet'!J724,VALUE(TRIM(LEFT('Blind Scoring Sheet'!J724,FIND("|",'Blind Scoring Sheet'!J724)-1))))</f>
        <v/>
      </c>
      <c r="H724" s="80">
        <f>IF(ISNUMBER(SEARCH("|",'Blind Scoring Sheet'!K724)),TRIM(LEFT('Blind Scoring Sheet'!K724,FIND("|",'Blind Scoring Sheet'!K724)-1)),TRIM('Blind Scoring Sheet'!K724))</f>
        <v/>
      </c>
    </row>
    <row r="725" ht="15" customHeight="1" s="38">
      <c r="A725" s="80">
        <f>'Blind Scoring Sheet'!A725</f>
        <v/>
      </c>
      <c r="B725" s="80">
        <f>MID(INDEX('Anonymization Key'!$B$4:$B$1003,MATCH(A725,'Anonymization Key'!$A$4:$A$1003,0)),3,2)</f>
        <v/>
      </c>
      <c r="C725" s="81">
        <f>IF(ISNUMBER('Blind Scoring Sheet'!B725),'Blind Scoring Sheet'!B725,VALUE(TRIM(LEFT('Blind Scoring Sheet'!B725,FIND("|",'Blind Scoring Sheet'!B725)-1))))</f>
        <v/>
      </c>
      <c r="D725" s="81">
        <f>IF(ISNUMBER('Blind Scoring Sheet'!D725),'Blind Scoring Sheet'!D725,VALUE(TRIM(LEFT('Blind Scoring Sheet'!D725,FIND("|",'Blind Scoring Sheet'!D725)-1))))</f>
        <v/>
      </c>
      <c r="E725" s="81">
        <f>IF(ISNUMBER('Blind Scoring Sheet'!F725),'Blind Scoring Sheet'!F725,VALUE(TRIM(LEFT('Blind Scoring Sheet'!F725,FIND("|",'Blind Scoring Sheet'!F725)-1))))</f>
        <v/>
      </c>
      <c r="F725" s="81">
        <f>IF(ISNUMBER('Blind Scoring Sheet'!H725),'Blind Scoring Sheet'!H725,VALUE(TRIM(LEFT('Blind Scoring Sheet'!H725,FIND("|",'Blind Scoring Sheet'!H725)-1))))</f>
        <v/>
      </c>
      <c r="G725" s="81">
        <f>IF(ISNUMBER('Blind Scoring Sheet'!J725),'Blind Scoring Sheet'!J725,VALUE(TRIM(LEFT('Blind Scoring Sheet'!J725,FIND("|",'Blind Scoring Sheet'!J725)-1))))</f>
        <v/>
      </c>
      <c r="H725" s="80">
        <f>IF(ISNUMBER(SEARCH("|",'Blind Scoring Sheet'!K725)),TRIM(LEFT('Blind Scoring Sheet'!K725,FIND("|",'Blind Scoring Sheet'!K725)-1)),TRIM('Blind Scoring Sheet'!K725))</f>
        <v/>
      </c>
    </row>
    <row r="726" ht="15" customHeight="1" s="38">
      <c r="A726" s="80">
        <f>'Blind Scoring Sheet'!A726</f>
        <v/>
      </c>
      <c r="B726" s="80">
        <f>MID(INDEX('Anonymization Key'!$B$4:$B$1003,MATCH(A726,'Anonymization Key'!$A$4:$A$1003,0)),3,2)</f>
        <v/>
      </c>
      <c r="C726" s="81">
        <f>IF(ISNUMBER('Blind Scoring Sheet'!B726),'Blind Scoring Sheet'!B726,VALUE(TRIM(LEFT('Blind Scoring Sheet'!B726,FIND("|",'Blind Scoring Sheet'!B726)-1))))</f>
        <v/>
      </c>
      <c r="D726" s="81">
        <f>IF(ISNUMBER('Blind Scoring Sheet'!D726),'Blind Scoring Sheet'!D726,VALUE(TRIM(LEFT('Blind Scoring Sheet'!D726,FIND("|",'Blind Scoring Sheet'!D726)-1))))</f>
        <v/>
      </c>
      <c r="E726" s="81">
        <f>IF(ISNUMBER('Blind Scoring Sheet'!F726),'Blind Scoring Sheet'!F726,VALUE(TRIM(LEFT('Blind Scoring Sheet'!F726,FIND("|",'Blind Scoring Sheet'!F726)-1))))</f>
        <v/>
      </c>
      <c r="F726" s="81">
        <f>IF(ISNUMBER('Blind Scoring Sheet'!H726),'Blind Scoring Sheet'!H726,VALUE(TRIM(LEFT('Blind Scoring Sheet'!H726,FIND("|",'Blind Scoring Sheet'!H726)-1))))</f>
        <v/>
      </c>
      <c r="G726" s="81">
        <f>IF(ISNUMBER('Blind Scoring Sheet'!J726),'Blind Scoring Sheet'!J726,VALUE(TRIM(LEFT('Blind Scoring Sheet'!J726,FIND("|",'Blind Scoring Sheet'!J726)-1))))</f>
        <v/>
      </c>
      <c r="H726" s="80">
        <f>IF(ISNUMBER(SEARCH("|",'Blind Scoring Sheet'!K726)),TRIM(LEFT('Blind Scoring Sheet'!K726,FIND("|",'Blind Scoring Sheet'!K726)-1)),TRIM('Blind Scoring Sheet'!K726))</f>
        <v/>
      </c>
    </row>
    <row r="727" ht="15" customHeight="1" s="38">
      <c r="A727" s="80">
        <f>'Blind Scoring Sheet'!A727</f>
        <v/>
      </c>
      <c r="B727" s="80">
        <f>MID(INDEX('Anonymization Key'!$B$4:$B$1003,MATCH(A727,'Anonymization Key'!$A$4:$A$1003,0)),3,2)</f>
        <v/>
      </c>
      <c r="C727" s="81">
        <f>IF(ISNUMBER('Blind Scoring Sheet'!B727),'Blind Scoring Sheet'!B727,VALUE(TRIM(LEFT('Blind Scoring Sheet'!B727,FIND("|",'Blind Scoring Sheet'!B727)-1))))</f>
        <v/>
      </c>
      <c r="D727" s="81">
        <f>IF(ISNUMBER('Blind Scoring Sheet'!D727),'Blind Scoring Sheet'!D727,VALUE(TRIM(LEFT('Blind Scoring Sheet'!D727,FIND("|",'Blind Scoring Sheet'!D727)-1))))</f>
        <v/>
      </c>
      <c r="E727" s="81">
        <f>IF(ISNUMBER('Blind Scoring Sheet'!F727),'Blind Scoring Sheet'!F727,VALUE(TRIM(LEFT('Blind Scoring Sheet'!F727,FIND("|",'Blind Scoring Sheet'!F727)-1))))</f>
        <v/>
      </c>
      <c r="F727" s="81">
        <f>IF(ISNUMBER('Blind Scoring Sheet'!H727),'Blind Scoring Sheet'!H727,VALUE(TRIM(LEFT('Blind Scoring Sheet'!H727,FIND("|",'Blind Scoring Sheet'!H727)-1))))</f>
        <v/>
      </c>
      <c r="G727" s="81">
        <f>IF(ISNUMBER('Blind Scoring Sheet'!J727),'Blind Scoring Sheet'!J727,VALUE(TRIM(LEFT('Blind Scoring Sheet'!J727,FIND("|",'Blind Scoring Sheet'!J727)-1))))</f>
        <v/>
      </c>
      <c r="H727" s="80">
        <f>IF(ISNUMBER(SEARCH("|",'Blind Scoring Sheet'!K727)),TRIM(LEFT('Blind Scoring Sheet'!K727,FIND("|",'Blind Scoring Sheet'!K727)-1)),TRIM('Blind Scoring Sheet'!K727))</f>
        <v/>
      </c>
    </row>
    <row r="728" ht="15" customHeight="1" s="38">
      <c r="A728" s="80">
        <f>'Blind Scoring Sheet'!A728</f>
        <v/>
      </c>
      <c r="B728" s="80">
        <f>MID(INDEX('Anonymization Key'!$B$4:$B$1003,MATCH(A728,'Anonymization Key'!$A$4:$A$1003,0)),3,2)</f>
        <v/>
      </c>
      <c r="C728" s="81">
        <f>IF(ISNUMBER('Blind Scoring Sheet'!B728),'Blind Scoring Sheet'!B728,VALUE(TRIM(LEFT('Blind Scoring Sheet'!B728,FIND("|",'Blind Scoring Sheet'!B728)-1))))</f>
        <v/>
      </c>
      <c r="D728" s="81">
        <f>IF(ISNUMBER('Blind Scoring Sheet'!D728),'Blind Scoring Sheet'!D728,VALUE(TRIM(LEFT('Blind Scoring Sheet'!D728,FIND("|",'Blind Scoring Sheet'!D728)-1))))</f>
        <v/>
      </c>
      <c r="E728" s="81">
        <f>IF(ISNUMBER('Blind Scoring Sheet'!F728),'Blind Scoring Sheet'!F728,VALUE(TRIM(LEFT('Blind Scoring Sheet'!F728,FIND("|",'Blind Scoring Sheet'!F728)-1))))</f>
        <v/>
      </c>
      <c r="F728" s="81">
        <f>IF(ISNUMBER('Blind Scoring Sheet'!H728),'Blind Scoring Sheet'!H728,VALUE(TRIM(LEFT('Blind Scoring Sheet'!H728,FIND("|",'Blind Scoring Sheet'!H728)-1))))</f>
        <v/>
      </c>
      <c r="G728" s="81">
        <f>IF(ISNUMBER('Blind Scoring Sheet'!J728),'Blind Scoring Sheet'!J728,VALUE(TRIM(LEFT('Blind Scoring Sheet'!J728,FIND("|",'Blind Scoring Sheet'!J728)-1))))</f>
        <v/>
      </c>
      <c r="H728" s="80">
        <f>IF(ISNUMBER(SEARCH("|",'Blind Scoring Sheet'!K728)),TRIM(LEFT('Blind Scoring Sheet'!K728,FIND("|",'Blind Scoring Sheet'!K728)-1)),TRIM('Blind Scoring Sheet'!K728))</f>
        <v/>
      </c>
    </row>
    <row r="729" ht="15" customHeight="1" s="38">
      <c r="A729" s="80">
        <f>'Blind Scoring Sheet'!A729</f>
        <v/>
      </c>
      <c r="B729" s="80">
        <f>MID(INDEX('Anonymization Key'!$B$4:$B$1003,MATCH(A729,'Anonymization Key'!$A$4:$A$1003,0)),3,2)</f>
        <v/>
      </c>
      <c r="C729" s="81">
        <f>IF(ISNUMBER('Blind Scoring Sheet'!B729),'Blind Scoring Sheet'!B729,VALUE(TRIM(LEFT('Blind Scoring Sheet'!B729,FIND("|",'Blind Scoring Sheet'!B729)-1))))</f>
        <v/>
      </c>
      <c r="D729" s="81">
        <f>IF(ISNUMBER('Blind Scoring Sheet'!D729),'Blind Scoring Sheet'!D729,VALUE(TRIM(LEFT('Blind Scoring Sheet'!D729,FIND("|",'Blind Scoring Sheet'!D729)-1))))</f>
        <v/>
      </c>
      <c r="E729" s="81">
        <f>IF(ISNUMBER('Blind Scoring Sheet'!F729),'Blind Scoring Sheet'!F729,VALUE(TRIM(LEFT('Blind Scoring Sheet'!F729,FIND("|",'Blind Scoring Sheet'!F729)-1))))</f>
        <v/>
      </c>
      <c r="F729" s="81">
        <f>IF(ISNUMBER('Blind Scoring Sheet'!H729),'Blind Scoring Sheet'!H729,VALUE(TRIM(LEFT('Blind Scoring Sheet'!H729,FIND("|",'Blind Scoring Sheet'!H729)-1))))</f>
        <v/>
      </c>
      <c r="G729" s="81">
        <f>IF(ISNUMBER('Blind Scoring Sheet'!J729),'Blind Scoring Sheet'!J729,VALUE(TRIM(LEFT('Blind Scoring Sheet'!J729,FIND("|",'Blind Scoring Sheet'!J729)-1))))</f>
        <v/>
      </c>
      <c r="H729" s="80">
        <f>IF(ISNUMBER(SEARCH("|",'Blind Scoring Sheet'!K729)),TRIM(LEFT('Blind Scoring Sheet'!K729,FIND("|",'Blind Scoring Sheet'!K729)-1)),TRIM('Blind Scoring Sheet'!K729))</f>
        <v/>
      </c>
    </row>
    <row r="730" ht="15" customHeight="1" s="38">
      <c r="A730" s="80">
        <f>'Blind Scoring Sheet'!A730</f>
        <v/>
      </c>
      <c r="B730" s="80">
        <f>MID(INDEX('Anonymization Key'!$B$4:$B$1003,MATCH(A730,'Anonymization Key'!$A$4:$A$1003,0)),3,2)</f>
        <v/>
      </c>
      <c r="C730" s="81">
        <f>IF(ISNUMBER('Blind Scoring Sheet'!B730),'Blind Scoring Sheet'!B730,VALUE(TRIM(LEFT('Blind Scoring Sheet'!B730,FIND("|",'Blind Scoring Sheet'!B730)-1))))</f>
        <v/>
      </c>
      <c r="D730" s="81">
        <f>IF(ISNUMBER('Blind Scoring Sheet'!D730),'Blind Scoring Sheet'!D730,VALUE(TRIM(LEFT('Blind Scoring Sheet'!D730,FIND("|",'Blind Scoring Sheet'!D730)-1))))</f>
        <v/>
      </c>
      <c r="E730" s="81">
        <f>IF(ISNUMBER('Blind Scoring Sheet'!F730),'Blind Scoring Sheet'!F730,VALUE(TRIM(LEFT('Blind Scoring Sheet'!F730,FIND("|",'Blind Scoring Sheet'!F730)-1))))</f>
        <v/>
      </c>
      <c r="F730" s="81">
        <f>IF(ISNUMBER('Blind Scoring Sheet'!H730),'Blind Scoring Sheet'!H730,VALUE(TRIM(LEFT('Blind Scoring Sheet'!H730,FIND("|",'Blind Scoring Sheet'!H730)-1))))</f>
        <v/>
      </c>
      <c r="G730" s="81">
        <f>IF(ISNUMBER('Blind Scoring Sheet'!J730),'Blind Scoring Sheet'!J730,VALUE(TRIM(LEFT('Blind Scoring Sheet'!J730,FIND("|",'Blind Scoring Sheet'!J730)-1))))</f>
        <v/>
      </c>
      <c r="H730" s="80">
        <f>IF(ISNUMBER(SEARCH("|",'Blind Scoring Sheet'!K730)),TRIM(LEFT('Blind Scoring Sheet'!K730,FIND("|",'Blind Scoring Sheet'!K730)-1)),TRIM('Blind Scoring Sheet'!K730))</f>
        <v/>
      </c>
    </row>
    <row r="731" ht="15" customHeight="1" s="38">
      <c r="A731" s="80">
        <f>'Blind Scoring Sheet'!A731</f>
        <v/>
      </c>
      <c r="B731" s="80">
        <f>MID(INDEX('Anonymization Key'!$B$4:$B$1003,MATCH(A731,'Anonymization Key'!$A$4:$A$1003,0)),3,2)</f>
        <v/>
      </c>
      <c r="C731" s="81">
        <f>IF(ISNUMBER('Blind Scoring Sheet'!B731),'Blind Scoring Sheet'!B731,VALUE(TRIM(LEFT('Blind Scoring Sheet'!B731,FIND("|",'Blind Scoring Sheet'!B731)-1))))</f>
        <v/>
      </c>
      <c r="D731" s="81">
        <f>IF(ISNUMBER('Blind Scoring Sheet'!D731),'Blind Scoring Sheet'!D731,VALUE(TRIM(LEFT('Blind Scoring Sheet'!D731,FIND("|",'Blind Scoring Sheet'!D731)-1))))</f>
        <v/>
      </c>
      <c r="E731" s="81">
        <f>IF(ISNUMBER('Blind Scoring Sheet'!F731),'Blind Scoring Sheet'!F731,VALUE(TRIM(LEFT('Blind Scoring Sheet'!F731,FIND("|",'Blind Scoring Sheet'!F731)-1))))</f>
        <v/>
      </c>
      <c r="F731" s="81">
        <f>IF(ISNUMBER('Blind Scoring Sheet'!H731),'Blind Scoring Sheet'!H731,VALUE(TRIM(LEFT('Blind Scoring Sheet'!H731,FIND("|",'Blind Scoring Sheet'!H731)-1))))</f>
        <v/>
      </c>
      <c r="G731" s="81">
        <f>IF(ISNUMBER('Blind Scoring Sheet'!J731),'Blind Scoring Sheet'!J731,VALUE(TRIM(LEFT('Blind Scoring Sheet'!J731,FIND("|",'Blind Scoring Sheet'!J731)-1))))</f>
        <v/>
      </c>
      <c r="H731" s="80">
        <f>IF(ISNUMBER(SEARCH("|",'Blind Scoring Sheet'!K731)),TRIM(LEFT('Blind Scoring Sheet'!K731,FIND("|",'Blind Scoring Sheet'!K731)-1)),TRIM('Blind Scoring Sheet'!K731))</f>
        <v/>
      </c>
    </row>
    <row r="732" ht="15" customHeight="1" s="38">
      <c r="A732" s="80">
        <f>'Blind Scoring Sheet'!A732</f>
        <v/>
      </c>
      <c r="B732" s="80">
        <f>MID(INDEX('Anonymization Key'!$B$4:$B$1003,MATCH(A732,'Anonymization Key'!$A$4:$A$1003,0)),3,2)</f>
        <v/>
      </c>
      <c r="C732" s="81">
        <f>IF(ISNUMBER('Blind Scoring Sheet'!B732),'Blind Scoring Sheet'!B732,VALUE(TRIM(LEFT('Blind Scoring Sheet'!B732,FIND("|",'Blind Scoring Sheet'!B732)-1))))</f>
        <v/>
      </c>
      <c r="D732" s="81">
        <f>IF(ISNUMBER('Blind Scoring Sheet'!D732),'Blind Scoring Sheet'!D732,VALUE(TRIM(LEFT('Blind Scoring Sheet'!D732,FIND("|",'Blind Scoring Sheet'!D732)-1))))</f>
        <v/>
      </c>
      <c r="E732" s="81">
        <f>IF(ISNUMBER('Blind Scoring Sheet'!F732),'Blind Scoring Sheet'!F732,VALUE(TRIM(LEFT('Blind Scoring Sheet'!F732,FIND("|",'Blind Scoring Sheet'!F732)-1))))</f>
        <v/>
      </c>
      <c r="F732" s="81">
        <f>IF(ISNUMBER('Blind Scoring Sheet'!H732),'Blind Scoring Sheet'!H732,VALUE(TRIM(LEFT('Blind Scoring Sheet'!H732,FIND("|",'Blind Scoring Sheet'!H732)-1))))</f>
        <v/>
      </c>
      <c r="G732" s="81">
        <f>IF(ISNUMBER('Blind Scoring Sheet'!J732),'Blind Scoring Sheet'!J732,VALUE(TRIM(LEFT('Blind Scoring Sheet'!J732,FIND("|",'Blind Scoring Sheet'!J732)-1))))</f>
        <v/>
      </c>
      <c r="H732" s="80">
        <f>IF(ISNUMBER(SEARCH("|",'Blind Scoring Sheet'!K732)),TRIM(LEFT('Blind Scoring Sheet'!K732,FIND("|",'Blind Scoring Sheet'!K732)-1)),TRIM('Blind Scoring Sheet'!K732))</f>
        <v/>
      </c>
    </row>
    <row r="733" ht="15" customHeight="1" s="38">
      <c r="A733" s="80">
        <f>'Blind Scoring Sheet'!A733</f>
        <v/>
      </c>
      <c r="B733" s="80">
        <f>MID(INDEX('Anonymization Key'!$B$4:$B$1003,MATCH(A733,'Anonymization Key'!$A$4:$A$1003,0)),3,2)</f>
        <v/>
      </c>
      <c r="C733" s="81">
        <f>IF(ISNUMBER('Blind Scoring Sheet'!B733),'Blind Scoring Sheet'!B733,VALUE(TRIM(LEFT('Blind Scoring Sheet'!B733,FIND("|",'Blind Scoring Sheet'!B733)-1))))</f>
        <v/>
      </c>
      <c r="D733" s="81">
        <f>IF(ISNUMBER('Blind Scoring Sheet'!D733),'Blind Scoring Sheet'!D733,VALUE(TRIM(LEFT('Blind Scoring Sheet'!D733,FIND("|",'Blind Scoring Sheet'!D733)-1))))</f>
        <v/>
      </c>
      <c r="E733" s="81">
        <f>IF(ISNUMBER('Blind Scoring Sheet'!F733),'Blind Scoring Sheet'!F733,VALUE(TRIM(LEFT('Blind Scoring Sheet'!F733,FIND("|",'Blind Scoring Sheet'!F733)-1))))</f>
        <v/>
      </c>
      <c r="F733" s="81">
        <f>IF(ISNUMBER('Blind Scoring Sheet'!H733),'Blind Scoring Sheet'!H733,VALUE(TRIM(LEFT('Blind Scoring Sheet'!H733,FIND("|",'Blind Scoring Sheet'!H733)-1))))</f>
        <v/>
      </c>
      <c r="G733" s="81">
        <f>IF(ISNUMBER('Blind Scoring Sheet'!J733),'Blind Scoring Sheet'!J733,VALUE(TRIM(LEFT('Blind Scoring Sheet'!J733,FIND("|",'Blind Scoring Sheet'!J733)-1))))</f>
        <v/>
      </c>
      <c r="H733" s="80">
        <f>IF(ISNUMBER(SEARCH("|",'Blind Scoring Sheet'!K733)),TRIM(LEFT('Blind Scoring Sheet'!K733,FIND("|",'Blind Scoring Sheet'!K733)-1)),TRIM('Blind Scoring Sheet'!K733))</f>
        <v/>
      </c>
    </row>
    <row r="734" ht="15" customHeight="1" s="38">
      <c r="A734" s="80">
        <f>'Blind Scoring Sheet'!A734</f>
        <v/>
      </c>
      <c r="B734" s="80">
        <f>MID(INDEX('Anonymization Key'!$B$4:$B$1003,MATCH(A734,'Anonymization Key'!$A$4:$A$1003,0)),3,2)</f>
        <v/>
      </c>
      <c r="C734" s="81">
        <f>IF(ISNUMBER('Blind Scoring Sheet'!B734),'Blind Scoring Sheet'!B734,VALUE(TRIM(LEFT('Blind Scoring Sheet'!B734,FIND("|",'Blind Scoring Sheet'!B734)-1))))</f>
        <v/>
      </c>
      <c r="D734" s="81">
        <f>IF(ISNUMBER('Blind Scoring Sheet'!D734),'Blind Scoring Sheet'!D734,VALUE(TRIM(LEFT('Blind Scoring Sheet'!D734,FIND("|",'Blind Scoring Sheet'!D734)-1))))</f>
        <v/>
      </c>
      <c r="E734" s="81">
        <f>IF(ISNUMBER('Blind Scoring Sheet'!F734),'Blind Scoring Sheet'!F734,VALUE(TRIM(LEFT('Blind Scoring Sheet'!F734,FIND("|",'Blind Scoring Sheet'!F734)-1))))</f>
        <v/>
      </c>
      <c r="F734" s="81">
        <f>IF(ISNUMBER('Blind Scoring Sheet'!H734),'Blind Scoring Sheet'!H734,VALUE(TRIM(LEFT('Blind Scoring Sheet'!H734,FIND("|",'Blind Scoring Sheet'!H734)-1))))</f>
        <v/>
      </c>
      <c r="G734" s="81">
        <f>IF(ISNUMBER('Blind Scoring Sheet'!J734),'Blind Scoring Sheet'!J734,VALUE(TRIM(LEFT('Blind Scoring Sheet'!J734,FIND("|",'Blind Scoring Sheet'!J734)-1))))</f>
        <v/>
      </c>
      <c r="H734" s="80">
        <f>IF(ISNUMBER(SEARCH("|",'Blind Scoring Sheet'!K734)),TRIM(LEFT('Blind Scoring Sheet'!K734,FIND("|",'Blind Scoring Sheet'!K734)-1)),TRIM('Blind Scoring Sheet'!K734))</f>
        <v/>
      </c>
    </row>
    <row r="735" ht="15" customHeight="1" s="38">
      <c r="A735" s="80">
        <f>'Blind Scoring Sheet'!A735</f>
        <v/>
      </c>
      <c r="B735" s="80">
        <f>MID(INDEX('Anonymization Key'!$B$4:$B$1003,MATCH(A735,'Anonymization Key'!$A$4:$A$1003,0)),3,2)</f>
        <v/>
      </c>
      <c r="C735" s="81">
        <f>IF(ISNUMBER('Blind Scoring Sheet'!B735),'Blind Scoring Sheet'!B735,VALUE(TRIM(LEFT('Blind Scoring Sheet'!B735,FIND("|",'Blind Scoring Sheet'!B735)-1))))</f>
        <v/>
      </c>
      <c r="D735" s="81">
        <f>IF(ISNUMBER('Blind Scoring Sheet'!D735),'Blind Scoring Sheet'!D735,VALUE(TRIM(LEFT('Blind Scoring Sheet'!D735,FIND("|",'Blind Scoring Sheet'!D735)-1))))</f>
        <v/>
      </c>
      <c r="E735" s="81">
        <f>IF(ISNUMBER('Blind Scoring Sheet'!F735),'Blind Scoring Sheet'!F735,VALUE(TRIM(LEFT('Blind Scoring Sheet'!F735,FIND("|",'Blind Scoring Sheet'!F735)-1))))</f>
        <v/>
      </c>
      <c r="F735" s="81">
        <f>IF(ISNUMBER('Blind Scoring Sheet'!H735),'Blind Scoring Sheet'!H735,VALUE(TRIM(LEFT('Blind Scoring Sheet'!H735,FIND("|",'Blind Scoring Sheet'!H735)-1))))</f>
        <v/>
      </c>
      <c r="G735" s="81">
        <f>IF(ISNUMBER('Blind Scoring Sheet'!J735),'Blind Scoring Sheet'!J735,VALUE(TRIM(LEFT('Blind Scoring Sheet'!J735,FIND("|",'Blind Scoring Sheet'!J735)-1))))</f>
        <v/>
      </c>
      <c r="H735" s="80">
        <f>IF(ISNUMBER(SEARCH("|",'Blind Scoring Sheet'!K735)),TRIM(LEFT('Blind Scoring Sheet'!K735,FIND("|",'Blind Scoring Sheet'!K735)-1)),TRIM('Blind Scoring Sheet'!K735))</f>
        <v/>
      </c>
    </row>
    <row r="736" ht="15" customHeight="1" s="38">
      <c r="A736" s="80">
        <f>'Blind Scoring Sheet'!A736</f>
        <v/>
      </c>
      <c r="B736" s="80">
        <f>MID(INDEX('Anonymization Key'!$B$4:$B$1003,MATCH(A736,'Anonymization Key'!$A$4:$A$1003,0)),3,2)</f>
        <v/>
      </c>
      <c r="C736" s="81">
        <f>IF(ISNUMBER('Blind Scoring Sheet'!B736),'Blind Scoring Sheet'!B736,VALUE(TRIM(LEFT('Blind Scoring Sheet'!B736,FIND("|",'Blind Scoring Sheet'!B736)-1))))</f>
        <v/>
      </c>
      <c r="D736" s="81">
        <f>IF(ISNUMBER('Blind Scoring Sheet'!D736),'Blind Scoring Sheet'!D736,VALUE(TRIM(LEFT('Blind Scoring Sheet'!D736,FIND("|",'Blind Scoring Sheet'!D736)-1))))</f>
        <v/>
      </c>
      <c r="E736" s="81">
        <f>IF(ISNUMBER('Blind Scoring Sheet'!F736),'Blind Scoring Sheet'!F736,VALUE(TRIM(LEFT('Blind Scoring Sheet'!F736,FIND("|",'Blind Scoring Sheet'!F736)-1))))</f>
        <v/>
      </c>
      <c r="F736" s="81">
        <f>IF(ISNUMBER('Blind Scoring Sheet'!H736),'Blind Scoring Sheet'!H736,VALUE(TRIM(LEFT('Blind Scoring Sheet'!H736,FIND("|",'Blind Scoring Sheet'!H736)-1))))</f>
        <v/>
      </c>
      <c r="G736" s="81">
        <f>IF(ISNUMBER('Blind Scoring Sheet'!J736),'Blind Scoring Sheet'!J736,VALUE(TRIM(LEFT('Blind Scoring Sheet'!J736,FIND("|",'Blind Scoring Sheet'!J736)-1))))</f>
        <v/>
      </c>
      <c r="H736" s="80">
        <f>IF(ISNUMBER(SEARCH("|",'Blind Scoring Sheet'!K736)),TRIM(LEFT('Blind Scoring Sheet'!K736,FIND("|",'Blind Scoring Sheet'!K736)-1)),TRIM('Blind Scoring Sheet'!K736))</f>
        <v/>
      </c>
    </row>
    <row r="737" ht="15" customHeight="1" s="38">
      <c r="A737" s="80">
        <f>'Blind Scoring Sheet'!A737</f>
        <v/>
      </c>
      <c r="B737" s="80">
        <f>MID(INDEX('Anonymization Key'!$B$4:$B$1003,MATCH(A737,'Anonymization Key'!$A$4:$A$1003,0)),3,2)</f>
        <v/>
      </c>
      <c r="C737" s="81">
        <f>IF(ISNUMBER('Blind Scoring Sheet'!B737),'Blind Scoring Sheet'!B737,VALUE(TRIM(LEFT('Blind Scoring Sheet'!B737,FIND("|",'Blind Scoring Sheet'!B737)-1))))</f>
        <v/>
      </c>
      <c r="D737" s="81">
        <f>IF(ISNUMBER('Blind Scoring Sheet'!D737),'Blind Scoring Sheet'!D737,VALUE(TRIM(LEFT('Blind Scoring Sheet'!D737,FIND("|",'Blind Scoring Sheet'!D737)-1))))</f>
        <v/>
      </c>
      <c r="E737" s="81">
        <f>IF(ISNUMBER('Blind Scoring Sheet'!F737),'Blind Scoring Sheet'!F737,VALUE(TRIM(LEFT('Blind Scoring Sheet'!F737,FIND("|",'Blind Scoring Sheet'!F737)-1))))</f>
        <v/>
      </c>
      <c r="F737" s="81">
        <f>IF(ISNUMBER('Blind Scoring Sheet'!H737),'Blind Scoring Sheet'!H737,VALUE(TRIM(LEFT('Blind Scoring Sheet'!H737,FIND("|",'Blind Scoring Sheet'!H737)-1))))</f>
        <v/>
      </c>
      <c r="G737" s="81">
        <f>IF(ISNUMBER('Blind Scoring Sheet'!J737),'Blind Scoring Sheet'!J737,VALUE(TRIM(LEFT('Blind Scoring Sheet'!J737,FIND("|",'Blind Scoring Sheet'!J737)-1))))</f>
        <v/>
      </c>
      <c r="H737" s="80">
        <f>IF(ISNUMBER(SEARCH("|",'Blind Scoring Sheet'!K737)),TRIM(LEFT('Blind Scoring Sheet'!K737,FIND("|",'Blind Scoring Sheet'!K737)-1)),TRIM('Blind Scoring Sheet'!K737))</f>
        <v/>
      </c>
    </row>
    <row r="738" ht="15" customHeight="1" s="38">
      <c r="A738" s="80">
        <f>'Blind Scoring Sheet'!A738</f>
        <v/>
      </c>
      <c r="B738" s="80">
        <f>MID(INDEX('Anonymization Key'!$B$4:$B$1003,MATCH(A738,'Anonymization Key'!$A$4:$A$1003,0)),3,2)</f>
        <v/>
      </c>
      <c r="C738" s="81">
        <f>IF(ISNUMBER('Blind Scoring Sheet'!B738),'Blind Scoring Sheet'!B738,VALUE(TRIM(LEFT('Blind Scoring Sheet'!B738,FIND("|",'Blind Scoring Sheet'!B738)-1))))</f>
        <v/>
      </c>
      <c r="D738" s="81">
        <f>IF(ISNUMBER('Blind Scoring Sheet'!D738),'Blind Scoring Sheet'!D738,VALUE(TRIM(LEFT('Blind Scoring Sheet'!D738,FIND("|",'Blind Scoring Sheet'!D738)-1))))</f>
        <v/>
      </c>
      <c r="E738" s="81">
        <f>IF(ISNUMBER('Blind Scoring Sheet'!F738),'Blind Scoring Sheet'!F738,VALUE(TRIM(LEFT('Blind Scoring Sheet'!F738,FIND("|",'Blind Scoring Sheet'!F738)-1))))</f>
        <v/>
      </c>
      <c r="F738" s="81">
        <f>IF(ISNUMBER('Blind Scoring Sheet'!H738),'Blind Scoring Sheet'!H738,VALUE(TRIM(LEFT('Blind Scoring Sheet'!H738,FIND("|",'Blind Scoring Sheet'!H738)-1))))</f>
        <v/>
      </c>
      <c r="G738" s="81">
        <f>IF(ISNUMBER('Blind Scoring Sheet'!J738),'Blind Scoring Sheet'!J738,VALUE(TRIM(LEFT('Blind Scoring Sheet'!J738,FIND("|",'Blind Scoring Sheet'!J738)-1))))</f>
        <v/>
      </c>
      <c r="H738" s="80">
        <f>IF(ISNUMBER(SEARCH("|",'Blind Scoring Sheet'!K738)),TRIM(LEFT('Blind Scoring Sheet'!K738,FIND("|",'Blind Scoring Sheet'!K738)-1)),TRIM('Blind Scoring Sheet'!K738))</f>
        <v/>
      </c>
    </row>
    <row r="739" ht="15" customHeight="1" s="38">
      <c r="A739" s="80">
        <f>'Blind Scoring Sheet'!A739</f>
        <v/>
      </c>
      <c r="B739" s="80">
        <f>MID(INDEX('Anonymization Key'!$B$4:$B$1003,MATCH(A739,'Anonymization Key'!$A$4:$A$1003,0)),3,2)</f>
        <v/>
      </c>
      <c r="C739" s="81">
        <f>IF(ISNUMBER('Blind Scoring Sheet'!B739),'Blind Scoring Sheet'!B739,VALUE(TRIM(LEFT('Blind Scoring Sheet'!B739,FIND("|",'Blind Scoring Sheet'!B739)-1))))</f>
        <v/>
      </c>
      <c r="D739" s="81">
        <f>IF(ISNUMBER('Blind Scoring Sheet'!D739),'Blind Scoring Sheet'!D739,VALUE(TRIM(LEFT('Blind Scoring Sheet'!D739,FIND("|",'Blind Scoring Sheet'!D739)-1))))</f>
        <v/>
      </c>
      <c r="E739" s="81">
        <f>IF(ISNUMBER('Blind Scoring Sheet'!F739),'Blind Scoring Sheet'!F739,VALUE(TRIM(LEFT('Blind Scoring Sheet'!F739,FIND("|",'Blind Scoring Sheet'!F739)-1))))</f>
        <v/>
      </c>
      <c r="F739" s="81">
        <f>IF(ISNUMBER('Blind Scoring Sheet'!H739),'Blind Scoring Sheet'!H739,VALUE(TRIM(LEFT('Blind Scoring Sheet'!H739,FIND("|",'Blind Scoring Sheet'!H739)-1))))</f>
        <v/>
      </c>
      <c r="G739" s="81">
        <f>IF(ISNUMBER('Blind Scoring Sheet'!J739),'Blind Scoring Sheet'!J739,VALUE(TRIM(LEFT('Blind Scoring Sheet'!J739,FIND("|",'Blind Scoring Sheet'!J739)-1))))</f>
        <v/>
      </c>
      <c r="H739" s="80">
        <f>IF(ISNUMBER(SEARCH("|",'Blind Scoring Sheet'!K739)),TRIM(LEFT('Blind Scoring Sheet'!K739,FIND("|",'Blind Scoring Sheet'!K739)-1)),TRIM('Blind Scoring Sheet'!K739))</f>
        <v/>
      </c>
    </row>
    <row r="740" ht="15" customHeight="1" s="38">
      <c r="A740" s="80">
        <f>'Blind Scoring Sheet'!A740</f>
        <v/>
      </c>
      <c r="B740" s="80">
        <f>MID(INDEX('Anonymization Key'!$B$4:$B$1003,MATCH(A740,'Anonymization Key'!$A$4:$A$1003,0)),3,2)</f>
        <v/>
      </c>
      <c r="C740" s="81">
        <f>IF(ISNUMBER('Blind Scoring Sheet'!B740),'Blind Scoring Sheet'!B740,VALUE(TRIM(LEFT('Blind Scoring Sheet'!B740,FIND("|",'Blind Scoring Sheet'!B740)-1))))</f>
        <v/>
      </c>
      <c r="D740" s="81">
        <f>IF(ISNUMBER('Blind Scoring Sheet'!D740),'Blind Scoring Sheet'!D740,VALUE(TRIM(LEFT('Blind Scoring Sheet'!D740,FIND("|",'Blind Scoring Sheet'!D740)-1))))</f>
        <v/>
      </c>
      <c r="E740" s="81">
        <f>IF(ISNUMBER('Blind Scoring Sheet'!F740),'Blind Scoring Sheet'!F740,VALUE(TRIM(LEFT('Blind Scoring Sheet'!F740,FIND("|",'Blind Scoring Sheet'!F740)-1))))</f>
        <v/>
      </c>
      <c r="F740" s="81">
        <f>IF(ISNUMBER('Blind Scoring Sheet'!H740),'Blind Scoring Sheet'!H740,VALUE(TRIM(LEFT('Blind Scoring Sheet'!H740,FIND("|",'Blind Scoring Sheet'!H740)-1))))</f>
        <v/>
      </c>
      <c r="G740" s="81">
        <f>IF(ISNUMBER('Blind Scoring Sheet'!J740),'Blind Scoring Sheet'!J740,VALUE(TRIM(LEFT('Blind Scoring Sheet'!J740,FIND("|",'Blind Scoring Sheet'!J740)-1))))</f>
        <v/>
      </c>
      <c r="H740" s="80">
        <f>IF(ISNUMBER(SEARCH("|",'Blind Scoring Sheet'!K740)),TRIM(LEFT('Blind Scoring Sheet'!K740,FIND("|",'Blind Scoring Sheet'!K740)-1)),TRIM('Blind Scoring Sheet'!K740))</f>
        <v/>
      </c>
    </row>
    <row r="741" ht="15" customHeight="1" s="38">
      <c r="A741" s="80">
        <f>'Blind Scoring Sheet'!A741</f>
        <v/>
      </c>
      <c r="B741" s="80">
        <f>MID(INDEX('Anonymization Key'!$B$4:$B$1003,MATCH(A741,'Anonymization Key'!$A$4:$A$1003,0)),3,2)</f>
        <v/>
      </c>
      <c r="C741" s="81">
        <f>IF(ISNUMBER('Blind Scoring Sheet'!B741),'Blind Scoring Sheet'!B741,VALUE(TRIM(LEFT('Blind Scoring Sheet'!B741,FIND("|",'Blind Scoring Sheet'!B741)-1))))</f>
        <v/>
      </c>
      <c r="D741" s="81">
        <f>IF(ISNUMBER('Blind Scoring Sheet'!D741),'Blind Scoring Sheet'!D741,VALUE(TRIM(LEFT('Blind Scoring Sheet'!D741,FIND("|",'Blind Scoring Sheet'!D741)-1))))</f>
        <v/>
      </c>
      <c r="E741" s="81">
        <f>IF(ISNUMBER('Blind Scoring Sheet'!F741),'Blind Scoring Sheet'!F741,VALUE(TRIM(LEFT('Blind Scoring Sheet'!F741,FIND("|",'Blind Scoring Sheet'!F741)-1))))</f>
        <v/>
      </c>
      <c r="F741" s="81">
        <f>IF(ISNUMBER('Blind Scoring Sheet'!H741),'Blind Scoring Sheet'!H741,VALUE(TRIM(LEFT('Blind Scoring Sheet'!H741,FIND("|",'Blind Scoring Sheet'!H741)-1))))</f>
        <v/>
      </c>
      <c r="G741" s="81">
        <f>IF(ISNUMBER('Blind Scoring Sheet'!J741),'Blind Scoring Sheet'!J741,VALUE(TRIM(LEFT('Blind Scoring Sheet'!J741,FIND("|",'Blind Scoring Sheet'!J741)-1))))</f>
        <v/>
      </c>
      <c r="H741" s="80">
        <f>IF(ISNUMBER(SEARCH("|",'Blind Scoring Sheet'!K741)),TRIM(LEFT('Blind Scoring Sheet'!K741,FIND("|",'Blind Scoring Sheet'!K741)-1)),TRIM('Blind Scoring Sheet'!K741))</f>
        <v/>
      </c>
    </row>
    <row r="742" ht="15" customHeight="1" s="38">
      <c r="A742" s="80">
        <f>'Blind Scoring Sheet'!A742</f>
        <v/>
      </c>
      <c r="B742" s="80">
        <f>MID(INDEX('Anonymization Key'!$B$4:$B$1003,MATCH(A742,'Anonymization Key'!$A$4:$A$1003,0)),3,2)</f>
        <v/>
      </c>
      <c r="C742" s="81">
        <f>IF(ISNUMBER('Blind Scoring Sheet'!B742),'Blind Scoring Sheet'!B742,VALUE(TRIM(LEFT('Blind Scoring Sheet'!B742,FIND("|",'Blind Scoring Sheet'!B742)-1))))</f>
        <v/>
      </c>
      <c r="D742" s="81">
        <f>IF(ISNUMBER('Blind Scoring Sheet'!D742),'Blind Scoring Sheet'!D742,VALUE(TRIM(LEFT('Blind Scoring Sheet'!D742,FIND("|",'Blind Scoring Sheet'!D742)-1))))</f>
        <v/>
      </c>
      <c r="E742" s="81">
        <f>IF(ISNUMBER('Blind Scoring Sheet'!F742),'Blind Scoring Sheet'!F742,VALUE(TRIM(LEFT('Blind Scoring Sheet'!F742,FIND("|",'Blind Scoring Sheet'!F742)-1))))</f>
        <v/>
      </c>
      <c r="F742" s="81">
        <f>IF(ISNUMBER('Blind Scoring Sheet'!H742),'Blind Scoring Sheet'!H742,VALUE(TRIM(LEFT('Blind Scoring Sheet'!H742,FIND("|",'Blind Scoring Sheet'!H742)-1))))</f>
        <v/>
      </c>
      <c r="G742" s="81">
        <f>IF(ISNUMBER('Blind Scoring Sheet'!J742),'Blind Scoring Sheet'!J742,VALUE(TRIM(LEFT('Blind Scoring Sheet'!J742,FIND("|",'Blind Scoring Sheet'!J742)-1))))</f>
        <v/>
      </c>
      <c r="H742" s="80">
        <f>IF(ISNUMBER(SEARCH("|",'Blind Scoring Sheet'!K742)),TRIM(LEFT('Blind Scoring Sheet'!K742,FIND("|",'Blind Scoring Sheet'!K742)-1)),TRIM('Blind Scoring Sheet'!K742))</f>
        <v/>
      </c>
    </row>
    <row r="743" ht="15" customHeight="1" s="38">
      <c r="A743" s="80">
        <f>'Blind Scoring Sheet'!A743</f>
        <v/>
      </c>
      <c r="B743" s="80">
        <f>MID(INDEX('Anonymization Key'!$B$4:$B$1003,MATCH(A743,'Anonymization Key'!$A$4:$A$1003,0)),3,2)</f>
        <v/>
      </c>
      <c r="C743" s="81">
        <f>IF(ISNUMBER('Blind Scoring Sheet'!B743),'Blind Scoring Sheet'!B743,VALUE(TRIM(LEFT('Blind Scoring Sheet'!B743,FIND("|",'Blind Scoring Sheet'!B743)-1))))</f>
        <v/>
      </c>
      <c r="D743" s="81">
        <f>IF(ISNUMBER('Blind Scoring Sheet'!D743),'Blind Scoring Sheet'!D743,VALUE(TRIM(LEFT('Blind Scoring Sheet'!D743,FIND("|",'Blind Scoring Sheet'!D743)-1))))</f>
        <v/>
      </c>
      <c r="E743" s="81">
        <f>IF(ISNUMBER('Blind Scoring Sheet'!F743),'Blind Scoring Sheet'!F743,VALUE(TRIM(LEFT('Blind Scoring Sheet'!F743,FIND("|",'Blind Scoring Sheet'!F743)-1))))</f>
        <v/>
      </c>
      <c r="F743" s="81">
        <f>IF(ISNUMBER('Blind Scoring Sheet'!H743),'Blind Scoring Sheet'!H743,VALUE(TRIM(LEFT('Blind Scoring Sheet'!H743,FIND("|",'Blind Scoring Sheet'!H743)-1))))</f>
        <v/>
      </c>
      <c r="G743" s="81">
        <f>IF(ISNUMBER('Blind Scoring Sheet'!J743),'Blind Scoring Sheet'!J743,VALUE(TRIM(LEFT('Blind Scoring Sheet'!J743,FIND("|",'Blind Scoring Sheet'!J743)-1))))</f>
        <v/>
      </c>
      <c r="H743" s="80">
        <f>IF(ISNUMBER(SEARCH("|",'Blind Scoring Sheet'!K743)),TRIM(LEFT('Blind Scoring Sheet'!K743,FIND("|",'Blind Scoring Sheet'!K743)-1)),TRIM('Blind Scoring Sheet'!K743))</f>
        <v/>
      </c>
    </row>
    <row r="744" ht="15" customHeight="1" s="38">
      <c r="A744" s="80">
        <f>'Blind Scoring Sheet'!A744</f>
        <v/>
      </c>
      <c r="B744" s="80">
        <f>MID(INDEX('Anonymization Key'!$B$4:$B$1003,MATCH(A744,'Anonymization Key'!$A$4:$A$1003,0)),3,2)</f>
        <v/>
      </c>
      <c r="C744" s="81">
        <f>IF(ISNUMBER('Blind Scoring Sheet'!B744),'Blind Scoring Sheet'!B744,VALUE(TRIM(LEFT('Blind Scoring Sheet'!B744,FIND("|",'Blind Scoring Sheet'!B744)-1))))</f>
        <v/>
      </c>
      <c r="D744" s="81">
        <f>IF(ISNUMBER('Blind Scoring Sheet'!D744),'Blind Scoring Sheet'!D744,VALUE(TRIM(LEFT('Blind Scoring Sheet'!D744,FIND("|",'Blind Scoring Sheet'!D744)-1))))</f>
        <v/>
      </c>
      <c r="E744" s="81">
        <f>IF(ISNUMBER('Blind Scoring Sheet'!F744),'Blind Scoring Sheet'!F744,VALUE(TRIM(LEFT('Blind Scoring Sheet'!F744,FIND("|",'Blind Scoring Sheet'!F744)-1))))</f>
        <v/>
      </c>
      <c r="F744" s="81">
        <f>IF(ISNUMBER('Blind Scoring Sheet'!H744),'Blind Scoring Sheet'!H744,VALUE(TRIM(LEFT('Blind Scoring Sheet'!H744,FIND("|",'Blind Scoring Sheet'!H744)-1))))</f>
        <v/>
      </c>
      <c r="G744" s="81">
        <f>IF(ISNUMBER('Blind Scoring Sheet'!J744),'Blind Scoring Sheet'!J744,VALUE(TRIM(LEFT('Blind Scoring Sheet'!J744,FIND("|",'Blind Scoring Sheet'!J744)-1))))</f>
        <v/>
      </c>
      <c r="H744" s="80">
        <f>IF(ISNUMBER(SEARCH("|",'Blind Scoring Sheet'!K744)),TRIM(LEFT('Blind Scoring Sheet'!K744,FIND("|",'Blind Scoring Sheet'!K744)-1)),TRIM('Blind Scoring Sheet'!K744))</f>
        <v/>
      </c>
    </row>
    <row r="745" ht="15" customHeight="1" s="38">
      <c r="A745" s="80">
        <f>'Blind Scoring Sheet'!A745</f>
        <v/>
      </c>
      <c r="B745" s="80">
        <f>MID(INDEX('Anonymization Key'!$B$4:$B$1003,MATCH(A745,'Anonymization Key'!$A$4:$A$1003,0)),3,2)</f>
        <v/>
      </c>
      <c r="C745" s="81">
        <f>IF(ISNUMBER('Blind Scoring Sheet'!B745),'Blind Scoring Sheet'!B745,VALUE(TRIM(LEFT('Blind Scoring Sheet'!B745,FIND("|",'Blind Scoring Sheet'!B745)-1))))</f>
        <v/>
      </c>
      <c r="D745" s="81">
        <f>IF(ISNUMBER('Blind Scoring Sheet'!D745),'Blind Scoring Sheet'!D745,VALUE(TRIM(LEFT('Blind Scoring Sheet'!D745,FIND("|",'Blind Scoring Sheet'!D745)-1))))</f>
        <v/>
      </c>
      <c r="E745" s="81">
        <f>IF(ISNUMBER('Blind Scoring Sheet'!F745),'Blind Scoring Sheet'!F745,VALUE(TRIM(LEFT('Blind Scoring Sheet'!F745,FIND("|",'Blind Scoring Sheet'!F745)-1))))</f>
        <v/>
      </c>
      <c r="F745" s="81">
        <f>IF(ISNUMBER('Blind Scoring Sheet'!H745),'Blind Scoring Sheet'!H745,VALUE(TRIM(LEFT('Blind Scoring Sheet'!H745,FIND("|",'Blind Scoring Sheet'!H745)-1))))</f>
        <v/>
      </c>
      <c r="G745" s="81">
        <f>IF(ISNUMBER('Blind Scoring Sheet'!J745),'Blind Scoring Sheet'!J745,VALUE(TRIM(LEFT('Blind Scoring Sheet'!J745,FIND("|",'Blind Scoring Sheet'!J745)-1))))</f>
        <v/>
      </c>
      <c r="H745" s="80">
        <f>IF(ISNUMBER(SEARCH("|",'Blind Scoring Sheet'!K745)),TRIM(LEFT('Blind Scoring Sheet'!K745,FIND("|",'Blind Scoring Sheet'!K745)-1)),TRIM('Blind Scoring Sheet'!K745))</f>
        <v/>
      </c>
    </row>
    <row r="746" ht="15" customHeight="1" s="38">
      <c r="A746" s="80">
        <f>'Blind Scoring Sheet'!A746</f>
        <v/>
      </c>
      <c r="B746" s="80">
        <f>MID(INDEX('Anonymization Key'!$B$4:$B$1003,MATCH(A746,'Anonymization Key'!$A$4:$A$1003,0)),3,2)</f>
        <v/>
      </c>
      <c r="C746" s="81">
        <f>IF(ISNUMBER('Blind Scoring Sheet'!B746),'Blind Scoring Sheet'!B746,VALUE(TRIM(LEFT('Blind Scoring Sheet'!B746,FIND("|",'Blind Scoring Sheet'!B746)-1))))</f>
        <v/>
      </c>
      <c r="D746" s="81">
        <f>IF(ISNUMBER('Blind Scoring Sheet'!D746),'Blind Scoring Sheet'!D746,VALUE(TRIM(LEFT('Blind Scoring Sheet'!D746,FIND("|",'Blind Scoring Sheet'!D746)-1))))</f>
        <v/>
      </c>
      <c r="E746" s="81">
        <f>IF(ISNUMBER('Blind Scoring Sheet'!F746),'Blind Scoring Sheet'!F746,VALUE(TRIM(LEFT('Blind Scoring Sheet'!F746,FIND("|",'Blind Scoring Sheet'!F746)-1))))</f>
        <v/>
      </c>
      <c r="F746" s="81">
        <f>IF(ISNUMBER('Blind Scoring Sheet'!H746),'Blind Scoring Sheet'!H746,VALUE(TRIM(LEFT('Blind Scoring Sheet'!H746,FIND("|",'Blind Scoring Sheet'!H746)-1))))</f>
        <v/>
      </c>
      <c r="G746" s="81">
        <f>IF(ISNUMBER('Blind Scoring Sheet'!J746),'Blind Scoring Sheet'!J746,VALUE(TRIM(LEFT('Blind Scoring Sheet'!J746,FIND("|",'Blind Scoring Sheet'!J746)-1))))</f>
        <v/>
      </c>
      <c r="H746" s="80">
        <f>IF(ISNUMBER(SEARCH("|",'Blind Scoring Sheet'!K746)),TRIM(LEFT('Blind Scoring Sheet'!K746,FIND("|",'Blind Scoring Sheet'!K746)-1)),TRIM('Blind Scoring Sheet'!K746))</f>
        <v/>
      </c>
    </row>
    <row r="747" ht="15" customHeight="1" s="38">
      <c r="A747" s="80">
        <f>'Blind Scoring Sheet'!A747</f>
        <v/>
      </c>
      <c r="B747" s="80">
        <f>MID(INDEX('Anonymization Key'!$B$4:$B$1003,MATCH(A747,'Anonymization Key'!$A$4:$A$1003,0)),3,2)</f>
        <v/>
      </c>
      <c r="C747" s="81">
        <f>IF(ISNUMBER('Blind Scoring Sheet'!B747),'Blind Scoring Sheet'!B747,VALUE(TRIM(LEFT('Blind Scoring Sheet'!B747,FIND("|",'Blind Scoring Sheet'!B747)-1))))</f>
        <v/>
      </c>
      <c r="D747" s="81">
        <f>IF(ISNUMBER('Blind Scoring Sheet'!D747),'Blind Scoring Sheet'!D747,VALUE(TRIM(LEFT('Blind Scoring Sheet'!D747,FIND("|",'Blind Scoring Sheet'!D747)-1))))</f>
        <v/>
      </c>
      <c r="E747" s="81">
        <f>IF(ISNUMBER('Blind Scoring Sheet'!F747),'Blind Scoring Sheet'!F747,VALUE(TRIM(LEFT('Blind Scoring Sheet'!F747,FIND("|",'Blind Scoring Sheet'!F747)-1))))</f>
        <v/>
      </c>
      <c r="F747" s="81">
        <f>IF(ISNUMBER('Blind Scoring Sheet'!H747),'Blind Scoring Sheet'!H747,VALUE(TRIM(LEFT('Blind Scoring Sheet'!H747,FIND("|",'Blind Scoring Sheet'!H747)-1))))</f>
        <v/>
      </c>
      <c r="G747" s="81">
        <f>IF(ISNUMBER('Blind Scoring Sheet'!J747),'Blind Scoring Sheet'!J747,VALUE(TRIM(LEFT('Blind Scoring Sheet'!J747,FIND("|",'Blind Scoring Sheet'!J747)-1))))</f>
        <v/>
      </c>
      <c r="H747" s="80">
        <f>IF(ISNUMBER(SEARCH("|",'Blind Scoring Sheet'!K747)),TRIM(LEFT('Blind Scoring Sheet'!K747,FIND("|",'Blind Scoring Sheet'!K747)-1)),TRIM('Blind Scoring Sheet'!K747))</f>
        <v/>
      </c>
    </row>
    <row r="748" ht="15" customHeight="1" s="38">
      <c r="A748" s="80">
        <f>'Blind Scoring Sheet'!A748</f>
        <v/>
      </c>
      <c r="B748" s="80">
        <f>MID(INDEX('Anonymization Key'!$B$4:$B$1003,MATCH(A748,'Anonymization Key'!$A$4:$A$1003,0)),3,2)</f>
        <v/>
      </c>
      <c r="C748" s="81">
        <f>IF(ISNUMBER('Blind Scoring Sheet'!B748),'Blind Scoring Sheet'!B748,VALUE(TRIM(LEFT('Blind Scoring Sheet'!B748,FIND("|",'Blind Scoring Sheet'!B748)-1))))</f>
        <v/>
      </c>
      <c r="D748" s="81">
        <f>IF(ISNUMBER('Blind Scoring Sheet'!D748),'Blind Scoring Sheet'!D748,VALUE(TRIM(LEFT('Blind Scoring Sheet'!D748,FIND("|",'Blind Scoring Sheet'!D748)-1))))</f>
        <v/>
      </c>
      <c r="E748" s="81">
        <f>IF(ISNUMBER('Blind Scoring Sheet'!F748),'Blind Scoring Sheet'!F748,VALUE(TRIM(LEFT('Blind Scoring Sheet'!F748,FIND("|",'Blind Scoring Sheet'!F748)-1))))</f>
        <v/>
      </c>
      <c r="F748" s="81">
        <f>IF(ISNUMBER('Blind Scoring Sheet'!H748),'Blind Scoring Sheet'!H748,VALUE(TRIM(LEFT('Blind Scoring Sheet'!H748,FIND("|",'Blind Scoring Sheet'!H748)-1))))</f>
        <v/>
      </c>
      <c r="G748" s="81">
        <f>IF(ISNUMBER('Blind Scoring Sheet'!J748),'Blind Scoring Sheet'!J748,VALUE(TRIM(LEFT('Blind Scoring Sheet'!J748,FIND("|",'Blind Scoring Sheet'!J748)-1))))</f>
        <v/>
      </c>
      <c r="H748" s="80">
        <f>IF(ISNUMBER(SEARCH("|",'Blind Scoring Sheet'!K748)),TRIM(LEFT('Blind Scoring Sheet'!K748,FIND("|",'Blind Scoring Sheet'!K748)-1)),TRIM('Blind Scoring Sheet'!K748))</f>
        <v/>
      </c>
    </row>
    <row r="749" ht="15" customHeight="1" s="38">
      <c r="A749" s="80">
        <f>'Blind Scoring Sheet'!A749</f>
        <v/>
      </c>
      <c r="B749" s="80">
        <f>MID(INDEX('Anonymization Key'!$B$4:$B$1003,MATCH(A749,'Anonymization Key'!$A$4:$A$1003,0)),3,2)</f>
        <v/>
      </c>
      <c r="C749" s="81">
        <f>IF(ISNUMBER('Blind Scoring Sheet'!B749),'Blind Scoring Sheet'!B749,VALUE(TRIM(LEFT('Blind Scoring Sheet'!B749,FIND("|",'Blind Scoring Sheet'!B749)-1))))</f>
        <v/>
      </c>
      <c r="D749" s="81">
        <f>IF(ISNUMBER('Blind Scoring Sheet'!D749),'Blind Scoring Sheet'!D749,VALUE(TRIM(LEFT('Blind Scoring Sheet'!D749,FIND("|",'Blind Scoring Sheet'!D749)-1))))</f>
        <v/>
      </c>
      <c r="E749" s="81">
        <f>IF(ISNUMBER('Blind Scoring Sheet'!F749),'Blind Scoring Sheet'!F749,VALUE(TRIM(LEFT('Blind Scoring Sheet'!F749,FIND("|",'Blind Scoring Sheet'!F749)-1))))</f>
        <v/>
      </c>
      <c r="F749" s="81">
        <f>IF(ISNUMBER('Blind Scoring Sheet'!H749),'Blind Scoring Sheet'!H749,VALUE(TRIM(LEFT('Blind Scoring Sheet'!H749,FIND("|",'Blind Scoring Sheet'!H749)-1))))</f>
        <v/>
      </c>
      <c r="G749" s="81">
        <f>IF(ISNUMBER('Blind Scoring Sheet'!J749),'Blind Scoring Sheet'!J749,VALUE(TRIM(LEFT('Blind Scoring Sheet'!J749,FIND("|",'Blind Scoring Sheet'!J749)-1))))</f>
        <v/>
      </c>
      <c r="H749" s="80">
        <f>IF(ISNUMBER(SEARCH("|",'Blind Scoring Sheet'!K749)),TRIM(LEFT('Blind Scoring Sheet'!K749,FIND("|",'Blind Scoring Sheet'!K749)-1)),TRIM('Blind Scoring Sheet'!K749))</f>
        <v/>
      </c>
    </row>
    <row r="750" ht="15" customHeight="1" s="38">
      <c r="A750" s="80">
        <f>'Blind Scoring Sheet'!A750</f>
        <v/>
      </c>
      <c r="B750" s="80">
        <f>MID(INDEX('Anonymization Key'!$B$4:$B$1003,MATCH(A750,'Anonymization Key'!$A$4:$A$1003,0)),3,2)</f>
        <v/>
      </c>
      <c r="C750" s="81">
        <f>IF(ISNUMBER('Blind Scoring Sheet'!B750),'Blind Scoring Sheet'!B750,VALUE(TRIM(LEFT('Blind Scoring Sheet'!B750,FIND("|",'Blind Scoring Sheet'!B750)-1))))</f>
        <v/>
      </c>
      <c r="D750" s="81">
        <f>IF(ISNUMBER('Blind Scoring Sheet'!D750),'Blind Scoring Sheet'!D750,VALUE(TRIM(LEFT('Blind Scoring Sheet'!D750,FIND("|",'Blind Scoring Sheet'!D750)-1))))</f>
        <v/>
      </c>
      <c r="E750" s="81">
        <f>IF(ISNUMBER('Blind Scoring Sheet'!F750),'Blind Scoring Sheet'!F750,VALUE(TRIM(LEFT('Blind Scoring Sheet'!F750,FIND("|",'Blind Scoring Sheet'!F750)-1))))</f>
        <v/>
      </c>
      <c r="F750" s="81">
        <f>IF(ISNUMBER('Blind Scoring Sheet'!H750),'Blind Scoring Sheet'!H750,VALUE(TRIM(LEFT('Blind Scoring Sheet'!H750,FIND("|",'Blind Scoring Sheet'!H750)-1))))</f>
        <v/>
      </c>
      <c r="G750" s="81">
        <f>IF(ISNUMBER('Blind Scoring Sheet'!J750),'Blind Scoring Sheet'!J750,VALUE(TRIM(LEFT('Blind Scoring Sheet'!J750,FIND("|",'Blind Scoring Sheet'!J750)-1))))</f>
        <v/>
      </c>
      <c r="H750" s="80">
        <f>IF(ISNUMBER(SEARCH("|",'Blind Scoring Sheet'!K750)),TRIM(LEFT('Blind Scoring Sheet'!K750,FIND("|",'Blind Scoring Sheet'!K750)-1)),TRIM('Blind Scoring Sheet'!K750))</f>
        <v/>
      </c>
    </row>
    <row r="751" ht="15" customHeight="1" s="38">
      <c r="A751" s="80">
        <f>'Blind Scoring Sheet'!A751</f>
        <v/>
      </c>
      <c r="B751" s="80">
        <f>MID(INDEX('Anonymization Key'!$B$4:$B$1003,MATCH(A751,'Anonymization Key'!$A$4:$A$1003,0)),3,2)</f>
        <v/>
      </c>
      <c r="C751" s="81">
        <f>IF(ISNUMBER('Blind Scoring Sheet'!B751),'Blind Scoring Sheet'!B751,VALUE(TRIM(LEFT('Blind Scoring Sheet'!B751,FIND("|",'Blind Scoring Sheet'!B751)-1))))</f>
        <v/>
      </c>
      <c r="D751" s="81">
        <f>IF(ISNUMBER('Blind Scoring Sheet'!D751),'Blind Scoring Sheet'!D751,VALUE(TRIM(LEFT('Blind Scoring Sheet'!D751,FIND("|",'Blind Scoring Sheet'!D751)-1))))</f>
        <v/>
      </c>
      <c r="E751" s="81">
        <f>IF(ISNUMBER('Blind Scoring Sheet'!F751),'Blind Scoring Sheet'!F751,VALUE(TRIM(LEFT('Blind Scoring Sheet'!F751,FIND("|",'Blind Scoring Sheet'!F751)-1))))</f>
        <v/>
      </c>
      <c r="F751" s="81">
        <f>IF(ISNUMBER('Blind Scoring Sheet'!H751),'Blind Scoring Sheet'!H751,VALUE(TRIM(LEFT('Blind Scoring Sheet'!H751,FIND("|",'Blind Scoring Sheet'!H751)-1))))</f>
        <v/>
      </c>
      <c r="G751" s="81">
        <f>IF(ISNUMBER('Blind Scoring Sheet'!J751),'Blind Scoring Sheet'!J751,VALUE(TRIM(LEFT('Blind Scoring Sheet'!J751,FIND("|",'Blind Scoring Sheet'!J751)-1))))</f>
        <v/>
      </c>
      <c r="H751" s="80">
        <f>IF(ISNUMBER(SEARCH("|",'Blind Scoring Sheet'!K751)),TRIM(LEFT('Blind Scoring Sheet'!K751,FIND("|",'Blind Scoring Sheet'!K751)-1)),TRIM('Blind Scoring Sheet'!K751))</f>
        <v/>
      </c>
    </row>
    <row r="752" ht="15" customHeight="1" s="38">
      <c r="A752" s="80">
        <f>'Blind Scoring Sheet'!A752</f>
        <v/>
      </c>
      <c r="B752" s="80">
        <f>MID(INDEX('Anonymization Key'!$B$4:$B$1003,MATCH(A752,'Anonymization Key'!$A$4:$A$1003,0)),3,2)</f>
        <v/>
      </c>
      <c r="C752" s="81">
        <f>IF(ISNUMBER('Blind Scoring Sheet'!B752),'Blind Scoring Sheet'!B752,VALUE(TRIM(LEFT('Blind Scoring Sheet'!B752,FIND("|",'Blind Scoring Sheet'!B752)-1))))</f>
        <v/>
      </c>
      <c r="D752" s="81">
        <f>IF(ISNUMBER('Blind Scoring Sheet'!D752),'Blind Scoring Sheet'!D752,VALUE(TRIM(LEFT('Blind Scoring Sheet'!D752,FIND("|",'Blind Scoring Sheet'!D752)-1))))</f>
        <v/>
      </c>
      <c r="E752" s="81">
        <f>IF(ISNUMBER('Blind Scoring Sheet'!F752),'Blind Scoring Sheet'!F752,VALUE(TRIM(LEFT('Blind Scoring Sheet'!F752,FIND("|",'Blind Scoring Sheet'!F752)-1))))</f>
        <v/>
      </c>
      <c r="F752" s="81">
        <f>IF(ISNUMBER('Blind Scoring Sheet'!H752),'Blind Scoring Sheet'!H752,VALUE(TRIM(LEFT('Blind Scoring Sheet'!H752,FIND("|",'Blind Scoring Sheet'!H752)-1))))</f>
        <v/>
      </c>
      <c r="G752" s="81">
        <f>IF(ISNUMBER('Blind Scoring Sheet'!J752),'Blind Scoring Sheet'!J752,VALUE(TRIM(LEFT('Blind Scoring Sheet'!J752,FIND("|",'Blind Scoring Sheet'!J752)-1))))</f>
        <v/>
      </c>
      <c r="H752" s="80">
        <f>IF(ISNUMBER(SEARCH("|",'Blind Scoring Sheet'!K752)),TRIM(LEFT('Blind Scoring Sheet'!K752,FIND("|",'Blind Scoring Sheet'!K752)-1)),TRIM('Blind Scoring Sheet'!K752))</f>
        <v/>
      </c>
    </row>
    <row r="753" ht="15" customHeight="1" s="38">
      <c r="A753" s="80">
        <f>'Blind Scoring Sheet'!A753</f>
        <v/>
      </c>
      <c r="B753" s="80">
        <f>MID(INDEX('Anonymization Key'!$B$4:$B$1003,MATCH(A753,'Anonymization Key'!$A$4:$A$1003,0)),3,2)</f>
        <v/>
      </c>
      <c r="C753" s="81">
        <f>IF(ISNUMBER('Blind Scoring Sheet'!B753),'Blind Scoring Sheet'!B753,VALUE(TRIM(LEFT('Blind Scoring Sheet'!B753,FIND("|",'Blind Scoring Sheet'!B753)-1))))</f>
        <v/>
      </c>
      <c r="D753" s="81">
        <f>IF(ISNUMBER('Blind Scoring Sheet'!D753),'Blind Scoring Sheet'!D753,VALUE(TRIM(LEFT('Blind Scoring Sheet'!D753,FIND("|",'Blind Scoring Sheet'!D753)-1))))</f>
        <v/>
      </c>
      <c r="E753" s="81">
        <f>IF(ISNUMBER('Blind Scoring Sheet'!F753),'Blind Scoring Sheet'!F753,VALUE(TRIM(LEFT('Blind Scoring Sheet'!F753,FIND("|",'Blind Scoring Sheet'!F753)-1))))</f>
        <v/>
      </c>
      <c r="F753" s="81">
        <f>IF(ISNUMBER('Blind Scoring Sheet'!H753),'Blind Scoring Sheet'!H753,VALUE(TRIM(LEFT('Blind Scoring Sheet'!H753,FIND("|",'Blind Scoring Sheet'!H753)-1))))</f>
        <v/>
      </c>
      <c r="G753" s="81">
        <f>IF(ISNUMBER('Blind Scoring Sheet'!J753),'Blind Scoring Sheet'!J753,VALUE(TRIM(LEFT('Blind Scoring Sheet'!J753,FIND("|",'Blind Scoring Sheet'!J753)-1))))</f>
        <v/>
      </c>
      <c r="H753" s="80">
        <f>IF(ISNUMBER(SEARCH("|",'Blind Scoring Sheet'!K753)),TRIM(LEFT('Blind Scoring Sheet'!K753,FIND("|",'Blind Scoring Sheet'!K753)-1)),TRIM('Blind Scoring Sheet'!K753))</f>
        <v/>
      </c>
    </row>
    <row r="754" ht="15" customHeight="1" s="38">
      <c r="A754" s="80">
        <f>'Blind Scoring Sheet'!A754</f>
        <v/>
      </c>
      <c r="B754" s="80">
        <f>MID(INDEX('Anonymization Key'!$B$4:$B$1003,MATCH(A754,'Anonymization Key'!$A$4:$A$1003,0)),3,2)</f>
        <v/>
      </c>
      <c r="C754" s="81">
        <f>IF(ISNUMBER('Blind Scoring Sheet'!B754),'Blind Scoring Sheet'!B754,VALUE(TRIM(LEFT('Blind Scoring Sheet'!B754,FIND("|",'Blind Scoring Sheet'!B754)-1))))</f>
        <v/>
      </c>
      <c r="D754" s="81">
        <f>IF(ISNUMBER('Blind Scoring Sheet'!D754),'Blind Scoring Sheet'!D754,VALUE(TRIM(LEFT('Blind Scoring Sheet'!D754,FIND("|",'Blind Scoring Sheet'!D754)-1))))</f>
        <v/>
      </c>
      <c r="E754" s="81">
        <f>IF(ISNUMBER('Blind Scoring Sheet'!F754),'Blind Scoring Sheet'!F754,VALUE(TRIM(LEFT('Blind Scoring Sheet'!F754,FIND("|",'Blind Scoring Sheet'!F754)-1))))</f>
        <v/>
      </c>
      <c r="F754" s="81">
        <f>IF(ISNUMBER('Blind Scoring Sheet'!H754),'Blind Scoring Sheet'!H754,VALUE(TRIM(LEFT('Blind Scoring Sheet'!H754,FIND("|",'Blind Scoring Sheet'!H754)-1))))</f>
        <v/>
      </c>
      <c r="G754" s="81">
        <f>IF(ISNUMBER('Blind Scoring Sheet'!J754),'Blind Scoring Sheet'!J754,VALUE(TRIM(LEFT('Blind Scoring Sheet'!J754,FIND("|",'Blind Scoring Sheet'!J754)-1))))</f>
        <v/>
      </c>
      <c r="H754" s="80">
        <f>IF(ISNUMBER(SEARCH("|",'Blind Scoring Sheet'!K754)),TRIM(LEFT('Blind Scoring Sheet'!K754,FIND("|",'Blind Scoring Sheet'!K754)-1)),TRIM('Blind Scoring Sheet'!K754))</f>
        <v/>
      </c>
    </row>
    <row r="755" ht="15" customHeight="1" s="38">
      <c r="A755" s="80">
        <f>'Blind Scoring Sheet'!A755</f>
        <v/>
      </c>
      <c r="B755" s="80">
        <f>MID(INDEX('Anonymization Key'!$B$4:$B$1003,MATCH(A755,'Anonymization Key'!$A$4:$A$1003,0)),3,2)</f>
        <v/>
      </c>
      <c r="C755" s="81">
        <f>IF(ISNUMBER('Blind Scoring Sheet'!B755),'Blind Scoring Sheet'!B755,VALUE(TRIM(LEFT('Blind Scoring Sheet'!B755,FIND("|",'Blind Scoring Sheet'!B755)-1))))</f>
        <v/>
      </c>
      <c r="D755" s="81">
        <f>IF(ISNUMBER('Blind Scoring Sheet'!D755),'Blind Scoring Sheet'!D755,VALUE(TRIM(LEFT('Blind Scoring Sheet'!D755,FIND("|",'Blind Scoring Sheet'!D755)-1))))</f>
        <v/>
      </c>
      <c r="E755" s="81">
        <f>IF(ISNUMBER('Blind Scoring Sheet'!F755),'Blind Scoring Sheet'!F755,VALUE(TRIM(LEFT('Blind Scoring Sheet'!F755,FIND("|",'Blind Scoring Sheet'!F755)-1))))</f>
        <v/>
      </c>
      <c r="F755" s="81">
        <f>IF(ISNUMBER('Blind Scoring Sheet'!H755),'Blind Scoring Sheet'!H755,VALUE(TRIM(LEFT('Blind Scoring Sheet'!H755,FIND("|",'Blind Scoring Sheet'!H755)-1))))</f>
        <v/>
      </c>
      <c r="G755" s="81">
        <f>IF(ISNUMBER('Blind Scoring Sheet'!J755),'Blind Scoring Sheet'!J755,VALUE(TRIM(LEFT('Blind Scoring Sheet'!J755,FIND("|",'Blind Scoring Sheet'!J755)-1))))</f>
        <v/>
      </c>
      <c r="H755" s="80">
        <f>IF(ISNUMBER(SEARCH("|",'Blind Scoring Sheet'!K755)),TRIM(LEFT('Blind Scoring Sheet'!K755,FIND("|",'Blind Scoring Sheet'!K755)-1)),TRIM('Blind Scoring Sheet'!K755))</f>
        <v/>
      </c>
    </row>
    <row r="756" ht="15" customHeight="1" s="38">
      <c r="A756" s="80">
        <f>'Blind Scoring Sheet'!A756</f>
        <v/>
      </c>
      <c r="B756" s="80">
        <f>MID(INDEX('Anonymization Key'!$B$4:$B$1003,MATCH(A756,'Anonymization Key'!$A$4:$A$1003,0)),3,2)</f>
        <v/>
      </c>
      <c r="C756" s="81">
        <f>IF(ISNUMBER('Blind Scoring Sheet'!B756),'Blind Scoring Sheet'!B756,VALUE(TRIM(LEFT('Blind Scoring Sheet'!B756,FIND("|",'Blind Scoring Sheet'!B756)-1))))</f>
        <v/>
      </c>
      <c r="D756" s="81">
        <f>IF(ISNUMBER('Blind Scoring Sheet'!D756),'Blind Scoring Sheet'!D756,VALUE(TRIM(LEFT('Blind Scoring Sheet'!D756,FIND("|",'Blind Scoring Sheet'!D756)-1))))</f>
        <v/>
      </c>
      <c r="E756" s="81">
        <f>IF(ISNUMBER('Blind Scoring Sheet'!F756),'Blind Scoring Sheet'!F756,VALUE(TRIM(LEFT('Blind Scoring Sheet'!F756,FIND("|",'Blind Scoring Sheet'!F756)-1))))</f>
        <v/>
      </c>
      <c r="F756" s="81">
        <f>IF(ISNUMBER('Blind Scoring Sheet'!H756),'Blind Scoring Sheet'!H756,VALUE(TRIM(LEFT('Blind Scoring Sheet'!H756,FIND("|",'Blind Scoring Sheet'!H756)-1))))</f>
        <v/>
      </c>
      <c r="G756" s="81">
        <f>IF(ISNUMBER('Blind Scoring Sheet'!J756),'Blind Scoring Sheet'!J756,VALUE(TRIM(LEFT('Blind Scoring Sheet'!J756,FIND("|",'Blind Scoring Sheet'!J756)-1))))</f>
        <v/>
      </c>
      <c r="H756" s="80">
        <f>IF(ISNUMBER(SEARCH("|",'Blind Scoring Sheet'!K756)),TRIM(LEFT('Blind Scoring Sheet'!K756,FIND("|",'Blind Scoring Sheet'!K756)-1)),TRIM('Blind Scoring Sheet'!K756))</f>
        <v/>
      </c>
    </row>
    <row r="757" ht="15" customHeight="1" s="38">
      <c r="A757" s="80">
        <f>'Blind Scoring Sheet'!A757</f>
        <v/>
      </c>
      <c r="B757" s="80">
        <f>MID(INDEX('Anonymization Key'!$B$4:$B$1003,MATCH(A757,'Anonymization Key'!$A$4:$A$1003,0)),3,2)</f>
        <v/>
      </c>
      <c r="C757" s="81">
        <f>IF(ISNUMBER('Blind Scoring Sheet'!B757),'Blind Scoring Sheet'!B757,VALUE(TRIM(LEFT('Blind Scoring Sheet'!B757,FIND("|",'Blind Scoring Sheet'!B757)-1))))</f>
        <v/>
      </c>
      <c r="D757" s="81">
        <f>IF(ISNUMBER('Blind Scoring Sheet'!D757),'Blind Scoring Sheet'!D757,VALUE(TRIM(LEFT('Blind Scoring Sheet'!D757,FIND("|",'Blind Scoring Sheet'!D757)-1))))</f>
        <v/>
      </c>
      <c r="E757" s="81">
        <f>IF(ISNUMBER('Blind Scoring Sheet'!F757),'Blind Scoring Sheet'!F757,VALUE(TRIM(LEFT('Blind Scoring Sheet'!F757,FIND("|",'Blind Scoring Sheet'!F757)-1))))</f>
        <v/>
      </c>
      <c r="F757" s="81">
        <f>IF(ISNUMBER('Blind Scoring Sheet'!H757),'Blind Scoring Sheet'!H757,VALUE(TRIM(LEFT('Blind Scoring Sheet'!H757,FIND("|",'Blind Scoring Sheet'!H757)-1))))</f>
        <v/>
      </c>
      <c r="G757" s="81">
        <f>IF(ISNUMBER('Blind Scoring Sheet'!J757),'Blind Scoring Sheet'!J757,VALUE(TRIM(LEFT('Blind Scoring Sheet'!J757,FIND("|",'Blind Scoring Sheet'!J757)-1))))</f>
        <v/>
      </c>
      <c r="H757" s="80">
        <f>IF(ISNUMBER(SEARCH("|",'Blind Scoring Sheet'!K757)),TRIM(LEFT('Blind Scoring Sheet'!K757,FIND("|",'Blind Scoring Sheet'!K757)-1)),TRIM('Blind Scoring Sheet'!K757))</f>
        <v/>
      </c>
    </row>
    <row r="758" ht="15" customHeight="1" s="38">
      <c r="A758" s="80">
        <f>'Blind Scoring Sheet'!A758</f>
        <v/>
      </c>
      <c r="B758" s="80">
        <f>MID(INDEX('Anonymization Key'!$B$4:$B$1003,MATCH(A758,'Anonymization Key'!$A$4:$A$1003,0)),3,2)</f>
        <v/>
      </c>
      <c r="C758" s="81">
        <f>IF(ISNUMBER('Blind Scoring Sheet'!B758),'Blind Scoring Sheet'!B758,VALUE(TRIM(LEFT('Blind Scoring Sheet'!B758,FIND("|",'Blind Scoring Sheet'!B758)-1))))</f>
        <v/>
      </c>
      <c r="D758" s="81">
        <f>IF(ISNUMBER('Blind Scoring Sheet'!D758),'Blind Scoring Sheet'!D758,VALUE(TRIM(LEFT('Blind Scoring Sheet'!D758,FIND("|",'Blind Scoring Sheet'!D758)-1))))</f>
        <v/>
      </c>
      <c r="E758" s="81">
        <f>IF(ISNUMBER('Blind Scoring Sheet'!F758),'Blind Scoring Sheet'!F758,VALUE(TRIM(LEFT('Blind Scoring Sheet'!F758,FIND("|",'Blind Scoring Sheet'!F758)-1))))</f>
        <v/>
      </c>
      <c r="F758" s="81">
        <f>IF(ISNUMBER('Blind Scoring Sheet'!H758),'Blind Scoring Sheet'!H758,VALUE(TRIM(LEFT('Blind Scoring Sheet'!H758,FIND("|",'Blind Scoring Sheet'!H758)-1))))</f>
        <v/>
      </c>
      <c r="G758" s="81">
        <f>IF(ISNUMBER('Blind Scoring Sheet'!J758),'Blind Scoring Sheet'!J758,VALUE(TRIM(LEFT('Blind Scoring Sheet'!J758,FIND("|",'Blind Scoring Sheet'!J758)-1))))</f>
        <v/>
      </c>
      <c r="H758" s="80">
        <f>IF(ISNUMBER(SEARCH("|",'Blind Scoring Sheet'!K758)),TRIM(LEFT('Blind Scoring Sheet'!K758,FIND("|",'Blind Scoring Sheet'!K758)-1)),TRIM('Blind Scoring Sheet'!K758))</f>
        <v/>
      </c>
    </row>
    <row r="759" ht="15" customHeight="1" s="38">
      <c r="A759" s="80">
        <f>'Blind Scoring Sheet'!A759</f>
        <v/>
      </c>
      <c r="B759" s="80">
        <f>MID(INDEX('Anonymization Key'!$B$4:$B$1003,MATCH(A759,'Anonymization Key'!$A$4:$A$1003,0)),3,2)</f>
        <v/>
      </c>
      <c r="C759" s="81">
        <f>IF(ISNUMBER('Blind Scoring Sheet'!B759),'Blind Scoring Sheet'!B759,VALUE(TRIM(LEFT('Blind Scoring Sheet'!B759,FIND("|",'Blind Scoring Sheet'!B759)-1))))</f>
        <v/>
      </c>
      <c r="D759" s="81">
        <f>IF(ISNUMBER('Blind Scoring Sheet'!D759),'Blind Scoring Sheet'!D759,VALUE(TRIM(LEFT('Blind Scoring Sheet'!D759,FIND("|",'Blind Scoring Sheet'!D759)-1))))</f>
        <v/>
      </c>
      <c r="E759" s="81">
        <f>IF(ISNUMBER('Blind Scoring Sheet'!F759),'Blind Scoring Sheet'!F759,VALUE(TRIM(LEFT('Blind Scoring Sheet'!F759,FIND("|",'Blind Scoring Sheet'!F759)-1))))</f>
        <v/>
      </c>
      <c r="F759" s="81">
        <f>IF(ISNUMBER('Blind Scoring Sheet'!H759),'Blind Scoring Sheet'!H759,VALUE(TRIM(LEFT('Blind Scoring Sheet'!H759,FIND("|",'Blind Scoring Sheet'!H759)-1))))</f>
        <v/>
      </c>
      <c r="G759" s="81">
        <f>IF(ISNUMBER('Blind Scoring Sheet'!J759),'Blind Scoring Sheet'!J759,VALUE(TRIM(LEFT('Blind Scoring Sheet'!J759,FIND("|",'Blind Scoring Sheet'!J759)-1))))</f>
        <v/>
      </c>
      <c r="H759" s="80">
        <f>IF(ISNUMBER(SEARCH("|",'Blind Scoring Sheet'!K759)),TRIM(LEFT('Blind Scoring Sheet'!K759,FIND("|",'Blind Scoring Sheet'!K759)-1)),TRIM('Blind Scoring Sheet'!K759))</f>
        <v/>
      </c>
    </row>
    <row r="760" ht="15" customHeight="1" s="38">
      <c r="A760" s="80">
        <f>'Blind Scoring Sheet'!A760</f>
        <v/>
      </c>
      <c r="B760" s="80">
        <f>MID(INDEX('Anonymization Key'!$B$4:$B$1003,MATCH(A760,'Anonymization Key'!$A$4:$A$1003,0)),3,2)</f>
        <v/>
      </c>
      <c r="C760" s="81">
        <f>IF(ISNUMBER('Blind Scoring Sheet'!B760),'Blind Scoring Sheet'!B760,VALUE(TRIM(LEFT('Blind Scoring Sheet'!B760,FIND("|",'Blind Scoring Sheet'!B760)-1))))</f>
        <v/>
      </c>
      <c r="D760" s="81">
        <f>IF(ISNUMBER('Blind Scoring Sheet'!D760),'Blind Scoring Sheet'!D760,VALUE(TRIM(LEFT('Blind Scoring Sheet'!D760,FIND("|",'Blind Scoring Sheet'!D760)-1))))</f>
        <v/>
      </c>
      <c r="E760" s="81">
        <f>IF(ISNUMBER('Blind Scoring Sheet'!F760),'Blind Scoring Sheet'!F760,VALUE(TRIM(LEFT('Blind Scoring Sheet'!F760,FIND("|",'Blind Scoring Sheet'!F760)-1))))</f>
        <v/>
      </c>
      <c r="F760" s="81">
        <f>IF(ISNUMBER('Blind Scoring Sheet'!H760),'Blind Scoring Sheet'!H760,VALUE(TRIM(LEFT('Blind Scoring Sheet'!H760,FIND("|",'Blind Scoring Sheet'!H760)-1))))</f>
        <v/>
      </c>
      <c r="G760" s="81">
        <f>IF(ISNUMBER('Blind Scoring Sheet'!J760),'Blind Scoring Sheet'!J760,VALUE(TRIM(LEFT('Blind Scoring Sheet'!J760,FIND("|",'Blind Scoring Sheet'!J760)-1))))</f>
        <v/>
      </c>
      <c r="H760" s="80">
        <f>IF(ISNUMBER(SEARCH("|",'Blind Scoring Sheet'!K760)),TRIM(LEFT('Blind Scoring Sheet'!K760,FIND("|",'Blind Scoring Sheet'!K760)-1)),TRIM('Blind Scoring Sheet'!K760))</f>
        <v/>
      </c>
    </row>
    <row r="761" ht="15" customHeight="1" s="38">
      <c r="A761" s="80">
        <f>'Blind Scoring Sheet'!A761</f>
        <v/>
      </c>
      <c r="B761" s="80">
        <f>MID(INDEX('Anonymization Key'!$B$4:$B$1003,MATCH(A761,'Anonymization Key'!$A$4:$A$1003,0)),3,2)</f>
        <v/>
      </c>
      <c r="C761" s="81">
        <f>IF(ISNUMBER('Blind Scoring Sheet'!B761),'Blind Scoring Sheet'!B761,VALUE(TRIM(LEFT('Blind Scoring Sheet'!B761,FIND("|",'Blind Scoring Sheet'!B761)-1))))</f>
        <v/>
      </c>
      <c r="D761" s="81">
        <f>IF(ISNUMBER('Blind Scoring Sheet'!D761),'Blind Scoring Sheet'!D761,VALUE(TRIM(LEFT('Blind Scoring Sheet'!D761,FIND("|",'Blind Scoring Sheet'!D761)-1))))</f>
        <v/>
      </c>
      <c r="E761" s="81">
        <f>IF(ISNUMBER('Blind Scoring Sheet'!F761),'Blind Scoring Sheet'!F761,VALUE(TRIM(LEFT('Blind Scoring Sheet'!F761,FIND("|",'Blind Scoring Sheet'!F761)-1))))</f>
        <v/>
      </c>
      <c r="F761" s="81">
        <f>IF(ISNUMBER('Blind Scoring Sheet'!H761),'Blind Scoring Sheet'!H761,VALUE(TRIM(LEFT('Blind Scoring Sheet'!H761,FIND("|",'Blind Scoring Sheet'!H761)-1))))</f>
        <v/>
      </c>
      <c r="G761" s="81">
        <f>IF(ISNUMBER('Blind Scoring Sheet'!J761),'Blind Scoring Sheet'!J761,VALUE(TRIM(LEFT('Blind Scoring Sheet'!J761,FIND("|",'Blind Scoring Sheet'!J761)-1))))</f>
        <v/>
      </c>
      <c r="H761" s="80">
        <f>IF(ISNUMBER(SEARCH("|",'Blind Scoring Sheet'!K761)),TRIM(LEFT('Blind Scoring Sheet'!K761,FIND("|",'Blind Scoring Sheet'!K761)-1)),TRIM('Blind Scoring Sheet'!K761))</f>
        <v/>
      </c>
    </row>
    <row r="762" ht="15" customHeight="1" s="38">
      <c r="A762" s="80">
        <f>'Blind Scoring Sheet'!A762</f>
        <v/>
      </c>
      <c r="B762" s="80">
        <f>MID(INDEX('Anonymization Key'!$B$4:$B$1003,MATCH(A762,'Anonymization Key'!$A$4:$A$1003,0)),3,2)</f>
        <v/>
      </c>
      <c r="C762" s="81">
        <f>IF(ISNUMBER('Blind Scoring Sheet'!B762),'Blind Scoring Sheet'!B762,VALUE(TRIM(LEFT('Blind Scoring Sheet'!B762,FIND("|",'Blind Scoring Sheet'!B762)-1))))</f>
        <v/>
      </c>
      <c r="D762" s="81">
        <f>IF(ISNUMBER('Blind Scoring Sheet'!D762),'Blind Scoring Sheet'!D762,VALUE(TRIM(LEFT('Blind Scoring Sheet'!D762,FIND("|",'Blind Scoring Sheet'!D762)-1))))</f>
        <v/>
      </c>
      <c r="E762" s="81">
        <f>IF(ISNUMBER('Blind Scoring Sheet'!F762),'Blind Scoring Sheet'!F762,VALUE(TRIM(LEFT('Blind Scoring Sheet'!F762,FIND("|",'Blind Scoring Sheet'!F762)-1))))</f>
        <v/>
      </c>
      <c r="F762" s="81">
        <f>IF(ISNUMBER('Blind Scoring Sheet'!H762),'Blind Scoring Sheet'!H762,VALUE(TRIM(LEFT('Blind Scoring Sheet'!H762,FIND("|",'Blind Scoring Sheet'!H762)-1))))</f>
        <v/>
      </c>
      <c r="G762" s="81">
        <f>IF(ISNUMBER('Blind Scoring Sheet'!J762),'Blind Scoring Sheet'!J762,VALUE(TRIM(LEFT('Blind Scoring Sheet'!J762,FIND("|",'Blind Scoring Sheet'!J762)-1))))</f>
        <v/>
      </c>
      <c r="H762" s="80">
        <f>IF(ISNUMBER(SEARCH("|",'Blind Scoring Sheet'!K762)),TRIM(LEFT('Blind Scoring Sheet'!K762,FIND("|",'Blind Scoring Sheet'!K762)-1)),TRIM('Blind Scoring Sheet'!K762))</f>
        <v/>
      </c>
    </row>
    <row r="763" ht="15" customHeight="1" s="38">
      <c r="A763" s="80">
        <f>'Blind Scoring Sheet'!A763</f>
        <v/>
      </c>
      <c r="B763" s="80">
        <f>MID(INDEX('Anonymization Key'!$B$4:$B$1003,MATCH(A763,'Anonymization Key'!$A$4:$A$1003,0)),3,2)</f>
        <v/>
      </c>
      <c r="C763" s="81">
        <f>IF(ISNUMBER('Blind Scoring Sheet'!B763),'Blind Scoring Sheet'!B763,VALUE(TRIM(LEFT('Blind Scoring Sheet'!B763,FIND("|",'Blind Scoring Sheet'!B763)-1))))</f>
        <v/>
      </c>
      <c r="D763" s="81">
        <f>IF(ISNUMBER('Blind Scoring Sheet'!D763),'Blind Scoring Sheet'!D763,VALUE(TRIM(LEFT('Blind Scoring Sheet'!D763,FIND("|",'Blind Scoring Sheet'!D763)-1))))</f>
        <v/>
      </c>
      <c r="E763" s="81">
        <f>IF(ISNUMBER('Blind Scoring Sheet'!F763),'Blind Scoring Sheet'!F763,VALUE(TRIM(LEFT('Blind Scoring Sheet'!F763,FIND("|",'Blind Scoring Sheet'!F763)-1))))</f>
        <v/>
      </c>
      <c r="F763" s="81">
        <f>IF(ISNUMBER('Blind Scoring Sheet'!H763),'Blind Scoring Sheet'!H763,VALUE(TRIM(LEFT('Blind Scoring Sheet'!H763,FIND("|",'Blind Scoring Sheet'!H763)-1))))</f>
        <v/>
      </c>
      <c r="G763" s="81">
        <f>IF(ISNUMBER('Blind Scoring Sheet'!J763),'Blind Scoring Sheet'!J763,VALUE(TRIM(LEFT('Blind Scoring Sheet'!J763,FIND("|",'Blind Scoring Sheet'!J763)-1))))</f>
        <v/>
      </c>
      <c r="H763" s="80">
        <f>IF(ISNUMBER(SEARCH("|",'Blind Scoring Sheet'!K763)),TRIM(LEFT('Blind Scoring Sheet'!K763,FIND("|",'Blind Scoring Sheet'!K763)-1)),TRIM('Blind Scoring Sheet'!K763))</f>
        <v/>
      </c>
    </row>
    <row r="764" ht="15" customHeight="1" s="38">
      <c r="A764" s="80">
        <f>'Blind Scoring Sheet'!A764</f>
        <v/>
      </c>
      <c r="B764" s="80">
        <f>MID(INDEX('Anonymization Key'!$B$4:$B$1003,MATCH(A764,'Anonymization Key'!$A$4:$A$1003,0)),3,2)</f>
        <v/>
      </c>
      <c r="C764" s="81">
        <f>IF(ISNUMBER('Blind Scoring Sheet'!B764),'Blind Scoring Sheet'!B764,VALUE(TRIM(LEFT('Blind Scoring Sheet'!B764,FIND("|",'Blind Scoring Sheet'!B764)-1))))</f>
        <v/>
      </c>
      <c r="D764" s="81">
        <f>IF(ISNUMBER('Blind Scoring Sheet'!D764),'Blind Scoring Sheet'!D764,VALUE(TRIM(LEFT('Blind Scoring Sheet'!D764,FIND("|",'Blind Scoring Sheet'!D764)-1))))</f>
        <v/>
      </c>
      <c r="E764" s="81">
        <f>IF(ISNUMBER('Blind Scoring Sheet'!F764),'Blind Scoring Sheet'!F764,VALUE(TRIM(LEFT('Blind Scoring Sheet'!F764,FIND("|",'Blind Scoring Sheet'!F764)-1))))</f>
        <v/>
      </c>
      <c r="F764" s="81">
        <f>IF(ISNUMBER('Blind Scoring Sheet'!H764),'Blind Scoring Sheet'!H764,VALUE(TRIM(LEFT('Blind Scoring Sheet'!H764,FIND("|",'Blind Scoring Sheet'!H764)-1))))</f>
        <v/>
      </c>
      <c r="G764" s="81">
        <f>IF(ISNUMBER('Blind Scoring Sheet'!J764),'Blind Scoring Sheet'!J764,VALUE(TRIM(LEFT('Blind Scoring Sheet'!J764,FIND("|",'Blind Scoring Sheet'!J764)-1))))</f>
        <v/>
      </c>
      <c r="H764" s="80">
        <f>IF(ISNUMBER(SEARCH("|",'Blind Scoring Sheet'!K764)),TRIM(LEFT('Blind Scoring Sheet'!K764,FIND("|",'Blind Scoring Sheet'!K764)-1)),TRIM('Blind Scoring Sheet'!K764))</f>
        <v/>
      </c>
    </row>
    <row r="765" ht="15" customHeight="1" s="38">
      <c r="A765" s="80">
        <f>'Blind Scoring Sheet'!A765</f>
        <v/>
      </c>
      <c r="B765" s="80">
        <f>MID(INDEX('Anonymization Key'!$B$4:$B$1003,MATCH(A765,'Anonymization Key'!$A$4:$A$1003,0)),3,2)</f>
        <v/>
      </c>
      <c r="C765" s="81">
        <f>IF(ISNUMBER('Blind Scoring Sheet'!B765),'Blind Scoring Sheet'!B765,VALUE(TRIM(LEFT('Blind Scoring Sheet'!B765,FIND("|",'Blind Scoring Sheet'!B765)-1))))</f>
        <v/>
      </c>
      <c r="D765" s="81">
        <f>IF(ISNUMBER('Blind Scoring Sheet'!D765),'Blind Scoring Sheet'!D765,VALUE(TRIM(LEFT('Blind Scoring Sheet'!D765,FIND("|",'Blind Scoring Sheet'!D765)-1))))</f>
        <v/>
      </c>
      <c r="E765" s="81">
        <f>IF(ISNUMBER('Blind Scoring Sheet'!F765),'Blind Scoring Sheet'!F765,VALUE(TRIM(LEFT('Blind Scoring Sheet'!F765,FIND("|",'Blind Scoring Sheet'!F765)-1))))</f>
        <v/>
      </c>
      <c r="F765" s="81">
        <f>IF(ISNUMBER('Blind Scoring Sheet'!H765),'Blind Scoring Sheet'!H765,VALUE(TRIM(LEFT('Blind Scoring Sheet'!H765,FIND("|",'Blind Scoring Sheet'!H765)-1))))</f>
        <v/>
      </c>
      <c r="G765" s="81">
        <f>IF(ISNUMBER('Blind Scoring Sheet'!J765),'Blind Scoring Sheet'!J765,VALUE(TRIM(LEFT('Blind Scoring Sheet'!J765,FIND("|",'Blind Scoring Sheet'!J765)-1))))</f>
        <v/>
      </c>
      <c r="H765" s="80">
        <f>IF(ISNUMBER(SEARCH("|",'Blind Scoring Sheet'!K765)),TRIM(LEFT('Blind Scoring Sheet'!K765,FIND("|",'Blind Scoring Sheet'!K765)-1)),TRIM('Blind Scoring Sheet'!K765))</f>
        <v/>
      </c>
    </row>
    <row r="766" ht="15" customHeight="1" s="38">
      <c r="A766" s="80">
        <f>'Blind Scoring Sheet'!A766</f>
        <v/>
      </c>
      <c r="B766" s="80">
        <f>MID(INDEX('Anonymization Key'!$B$4:$B$1003,MATCH(A766,'Anonymization Key'!$A$4:$A$1003,0)),3,2)</f>
        <v/>
      </c>
      <c r="C766" s="81">
        <f>IF(ISNUMBER('Blind Scoring Sheet'!B766),'Blind Scoring Sheet'!B766,VALUE(TRIM(LEFT('Blind Scoring Sheet'!B766,FIND("|",'Blind Scoring Sheet'!B766)-1))))</f>
        <v/>
      </c>
      <c r="D766" s="81">
        <f>IF(ISNUMBER('Blind Scoring Sheet'!D766),'Blind Scoring Sheet'!D766,VALUE(TRIM(LEFT('Blind Scoring Sheet'!D766,FIND("|",'Blind Scoring Sheet'!D766)-1))))</f>
        <v/>
      </c>
      <c r="E766" s="81">
        <f>IF(ISNUMBER('Blind Scoring Sheet'!F766),'Blind Scoring Sheet'!F766,VALUE(TRIM(LEFT('Blind Scoring Sheet'!F766,FIND("|",'Blind Scoring Sheet'!F766)-1))))</f>
        <v/>
      </c>
      <c r="F766" s="81">
        <f>IF(ISNUMBER('Blind Scoring Sheet'!H766),'Blind Scoring Sheet'!H766,VALUE(TRIM(LEFT('Blind Scoring Sheet'!H766,FIND("|",'Blind Scoring Sheet'!H766)-1))))</f>
        <v/>
      </c>
      <c r="G766" s="81">
        <f>IF(ISNUMBER('Blind Scoring Sheet'!J766),'Blind Scoring Sheet'!J766,VALUE(TRIM(LEFT('Blind Scoring Sheet'!J766,FIND("|",'Blind Scoring Sheet'!J766)-1))))</f>
        <v/>
      </c>
      <c r="H766" s="80">
        <f>IF(ISNUMBER(SEARCH("|",'Blind Scoring Sheet'!K766)),TRIM(LEFT('Blind Scoring Sheet'!K766,FIND("|",'Blind Scoring Sheet'!K766)-1)),TRIM('Blind Scoring Sheet'!K766))</f>
        <v/>
      </c>
    </row>
    <row r="767" ht="15" customHeight="1" s="38">
      <c r="A767" s="80">
        <f>'Blind Scoring Sheet'!A767</f>
        <v/>
      </c>
      <c r="B767" s="80">
        <f>MID(INDEX('Anonymization Key'!$B$4:$B$1003,MATCH(A767,'Anonymization Key'!$A$4:$A$1003,0)),3,2)</f>
        <v/>
      </c>
      <c r="C767" s="81">
        <f>IF(ISNUMBER('Blind Scoring Sheet'!B767),'Blind Scoring Sheet'!B767,VALUE(TRIM(LEFT('Blind Scoring Sheet'!B767,FIND("|",'Blind Scoring Sheet'!B767)-1))))</f>
        <v/>
      </c>
      <c r="D767" s="81">
        <f>IF(ISNUMBER('Blind Scoring Sheet'!D767),'Blind Scoring Sheet'!D767,VALUE(TRIM(LEFT('Blind Scoring Sheet'!D767,FIND("|",'Blind Scoring Sheet'!D767)-1))))</f>
        <v/>
      </c>
      <c r="E767" s="81">
        <f>IF(ISNUMBER('Blind Scoring Sheet'!F767),'Blind Scoring Sheet'!F767,VALUE(TRIM(LEFT('Blind Scoring Sheet'!F767,FIND("|",'Blind Scoring Sheet'!F767)-1))))</f>
        <v/>
      </c>
      <c r="F767" s="81">
        <f>IF(ISNUMBER('Blind Scoring Sheet'!H767),'Blind Scoring Sheet'!H767,VALUE(TRIM(LEFT('Blind Scoring Sheet'!H767,FIND("|",'Blind Scoring Sheet'!H767)-1))))</f>
        <v/>
      </c>
      <c r="G767" s="81">
        <f>IF(ISNUMBER('Blind Scoring Sheet'!J767),'Blind Scoring Sheet'!J767,VALUE(TRIM(LEFT('Blind Scoring Sheet'!J767,FIND("|",'Blind Scoring Sheet'!J767)-1))))</f>
        <v/>
      </c>
      <c r="H767" s="80">
        <f>IF(ISNUMBER(SEARCH("|",'Blind Scoring Sheet'!K767)),TRIM(LEFT('Blind Scoring Sheet'!K767,FIND("|",'Blind Scoring Sheet'!K767)-1)),TRIM('Blind Scoring Sheet'!K767))</f>
        <v/>
      </c>
    </row>
    <row r="768" ht="15" customHeight="1" s="38">
      <c r="A768" s="80">
        <f>'Blind Scoring Sheet'!A768</f>
        <v/>
      </c>
      <c r="B768" s="80">
        <f>MID(INDEX('Anonymization Key'!$B$4:$B$1003,MATCH(A768,'Anonymization Key'!$A$4:$A$1003,0)),3,2)</f>
        <v/>
      </c>
      <c r="C768" s="81">
        <f>IF(ISNUMBER('Blind Scoring Sheet'!B768),'Blind Scoring Sheet'!B768,VALUE(TRIM(LEFT('Blind Scoring Sheet'!B768,FIND("|",'Blind Scoring Sheet'!B768)-1))))</f>
        <v/>
      </c>
      <c r="D768" s="81">
        <f>IF(ISNUMBER('Blind Scoring Sheet'!D768),'Blind Scoring Sheet'!D768,VALUE(TRIM(LEFT('Blind Scoring Sheet'!D768,FIND("|",'Blind Scoring Sheet'!D768)-1))))</f>
        <v/>
      </c>
      <c r="E768" s="81">
        <f>IF(ISNUMBER('Blind Scoring Sheet'!F768),'Blind Scoring Sheet'!F768,VALUE(TRIM(LEFT('Blind Scoring Sheet'!F768,FIND("|",'Blind Scoring Sheet'!F768)-1))))</f>
        <v/>
      </c>
      <c r="F768" s="81">
        <f>IF(ISNUMBER('Blind Scoring Sheet'!H768),'Blind Scoring Sheet'!H768,VALUE(TRIM(LEFT('Blind Scoring Sheet'!H768,FIND("|",'Blind Scoring Sheet'!H768)-1))))</f>
        <v/>
      </c>
      <c r="G768" s="81">
        <f>IF(ISNUMBER('Blind Scoring Sheet'!J768),'Blind Scoring Sheet'!J768,VALUE(TRIM(LEFT('Blind Scoring Sheet'!J768,FIND("|",'Blind Scoring Sheet'!J768)-1))))</f>
        <v/>
      </c>
      <c r="H768" s="80">
        <f>IF(ISNUMBER(SEARCH("|",'Blind Scoring Sheet'!K768)),TRIM(LEFT('Blind Scoring Sheet'!K768,FIND("|",'Blind Scoring Sheet'!K768)-1)),TRIM('Blind Scoring Sheet'!K768))</f>
        <v/>
      </c>
    </row>
    <row r="769" ht="15" customHeight="1" s="38">
      <c r="A769" s="80">
        <f>'Blind Scoring Sheet'!A769</f>
        <v/>
      </c>
      <c r="B769" s="80">
        <f>MID(INDEX('Anonymization Key'!$B$4:$B$1003,MATCH(A769,'Anonymization Key'!$A$4:$A$1003,0)),3,2)</f>
        <v/>
      </c>
      <c r="C769" s="81">
        <f>IF(ISNUMBER('Blind Scoring Sheet'!B769),'Blind Scoring Sheet'!B769,VALUE(TRIM(LEFT('Blind Scoring Sheet'!B769,FIND("|",'Blind Scoring Sheet'!B769)-1))))</f>
        <v/>
      </c>
      <c r="D769" s="81">
        <f>IF(ISNUMBER('Blind Scoring Sheet'!D769),'Blind Scoring Sheet'!D769,VALUE(TRIM(LEFT('Blind Scoring Sheet'!D769,FIND("|",'Blind Scoring Sheet'!D769)-1))))</f>
        <v/>
      </c>
      <c r="E769" s="81">
        <f>IF(ISNUMBER('Blind Scoring Sheet'!F769),'Blind Scoring Sheet'!F769,VALUE(TRIM(LEFT('Blind Scoring Sheet'!F769,FIND("|",'Blind Scoring Sheet'!F769)-1))))</f>
        <v/>
      </c>
      <c r="F769" s="81">
        <f>IF(ISNUMBER('Blind Scoring Sheet'!H769),'Blind Scoring Sheet'!H769,VALUE(TRIM(LEFT('Blind Scoring Sheet'!H769,FIND("|",'Blind Scoring Sheet'!H769)-1))))</f>
        <v/>
      </c>
      <c r="G769" s="81">
        <f>IF(ISNUMBER('Blind Scoring Sheet'!J769),'Blind Scoring Sheet'!J769,VALUE(TRIM(LEFT('Blind Scoring Sheet'!J769,FIND("|",'Blind Scoring Sheet'!J769)-1))))</f>
        <v/>
      </c>
      <c r="H769" s="80">
        <f>IF(ISNUMBER(SEARCH("|",'Blind Scoring Sheet'!K769)),TRIM(LEFT('Blind Scoring Sheet'!K769,FIND("|",'Blind Scoring Sheet'!K769)-1)),TRIM('Blind Scoring Sheet'!K769))</f>
        <v/>
      </c>
    </row>
    <row r="770" ht="15" customHeight="1" s="38">
      <c r="A770" s="80">
        <f>'Blind Scoring Sheet'!A770</f>
        <v/>
      </c>
      <c r="B770" s="80">
        <f>MID(INDEX('Anonymization Key'!$B$4:$B$1003,MATCH(A770,'Anonymization Key'!$A$4:$A$1003,0)),3,2)</f>
        <v/>
      </c>
      <c r="C770" s="81">
        <f>IF(ISNUMBER('Blind Scoring Sheet'!B770),'Blind Scoring Sheet'!B770,VALUE(TRIM(LEFT('Blind Scoring Sheet'!B770,FIND("|",'Blind Scoring Sheet'!B770)-1))))</f>
        <v/>
      </c>
      <c r="D770" s="81">
        <f>IF(ISNUMBER('Blind Scoring Sheet'!D770),'Blind Scoring Sheet'!D770,VALUE(TRIM(LEFT('Blind Scoring Sheet'!D770,FIND("|",'Blind Scoring Sheet'!D770)-1))))</f>
        <v/>
      </c>
      <c r="E770" s="81">
        <f>IF(ISNUMBER('Blind Scoring Sheet'!F770),'Blind Scoring Sheet'!F770,VALUE(TRIM(LEFT('Blind Scoring Sheet'!F770,FIND("|",'Blind Scoring Sheet'!F770)-1))))</f>
        <v/>
      </c>
      <c r="F770" s="81">
        <f>IF(ISNUMBER('Blind Scoring Sheet'!H770),'Blind Scoring Sheet'!H770,VALUE(TRIM(LEFT('Blind Scoring Sheet'!H770,FIND("|",'Blind Scoring Sheet'!H770)-1))))</f>
        <v/>
      </c>
      <c r="G770" s="81">
        <f>IF(ISNUMBER('Blind Scoring Sheet'!J770),'Blind Scoring Sheet'!J770,VALUE(TRIM(LEFT('Blind Scoring Sheet'!J770,FIND("|",'Blind Scoring Sheet'!J770)-1))))</f>
        <v/>
      </c>
      <c r="H770" s="80">
        <f>IF(ISNUMBER(SEARCH("|",'Blind Scoring Sheet'!K770)),TRIM(LEFT('Blind Scoring Sheet'!K770,FIND("|",'Blind Scoring Sheet'!K770)-1)),TRIM('Blind Scoring Sheet'!K770))</f>
        <v/>
      </c>
    </row>
    <row r="771" ht="15" customHeight="1" s="38">
      <c r="A771" s="80">
        <f>'Blind Scoring Sheet'!A771</f>
        <v/>
      </c>
      <c r="B771" s="80">
        <f>MID(INDEX('Anonymization Key'!$B$4:$B$1003,MATCH(A771,'Anonymization Key'!$A$4:$A$1003,0)),3,2)</f>
        <v/>
      </c>
      <c r="C771" s="81">
        <f>IF(ISNUMBER('Blind Scoring Sheet'!B771),'Blind Scoring Sheet'!B771,VALUE(TRIM(LEFT('Blind Scoring Sheet'!B771,FIND("|",'Blind Scoring Sheet'!B771)-1))))</f>
        <v/>
      </c>
      <c r="D771" s="81">
        <f>IF(ISNUMBER('Blind Scoring Sheet'!D771),'Blind Scoring Sheet'!D771,VALUE(TRIM(LEFT('Blind Scoring Sheet'!D771,FIND("|",'Blind Scoring Sheet'!D771)-1))))</f>
        <v/>
      </c>
      <c r="E771" s="81">
        <f>IF(ISNUMBER('Blind Scoring Sheet'!F771),'Blind Scoring Sheet'!F771,VALUE(TRIM(LEFT('Blind Scoring Sheet'!F771,FIND("|",'Blind Scoring Sheet'!F771)-1))))</f>
        <v/>
      </c>
      <c r="F771" s="81">
        <f>IF(ISNUMBER('Blind Scoring Sheet'!H771),'Blind Scoring Sheet'!H771,VALUE(TRIM(LEFT('Blind Scoring Sheet'!H771,FIND("|",'Blind Scoring Sheet'!H771)-1))))</f>
        <v/>
      </c>
      <c r="G771" s="81">
        <f>IF(ISNUMBER('Blind Scoring Sheet'!J771),'Blind Scoring Sheet'!J771,VALUE(TRIM(LEFT('Blind Scoring Sheet'!J771,FIND("|",'Blind Scoring Sheet'!J771)-1))))</f>
        <v/>
      </c>
      <c r="H771" s="80">
        <f>IF(ISNUMBER(SEARCH("|",'Blind Scoring Sheet'!K771)),TRIM(LEFT('Blind Scoring Sheet'!K771,FIND("|",'Blind Scoring Sheet'!K771)-1)),TRIM('Blind Scoring Sheet'!K771))</f>
        <v/>
      </c>
    </row>
    <row r="772" ht="15" customHeight="1" s="38">
      <c r="A772" s="80">
        <f>'Blind Scoring Sheet'!A772</f>
        <v/>
      </c>
      <c r="B772" s="80">
        <f>MID(INDEX('Anonymization Key'!$B$4:$B$1003,MATCH(A772,'Anonymization Key'!$A$4:$A$1003,0)),3,2)</f>
        <v/>
      </c>
      <c r="C772" s="81">
        <f>IF(ISNUMBER('Blind Scoring Sheet'!B772),'Blind Scoring Sheet'!B772,VALUE(TRIM(LEFT('Blind Scoring Sheet'!B772,FIND("|",'Blind Scoring Sheet'!B772)-1))))</f>
        <v/>
      </c>
      <c r="D772" s="81">
        <f>IF(ISNUMBER('Blind Scoring Sheet'!D772),'Blind Scoring Sheet'!D772,VALUE(TRIM(LEFT('Blind Scoring Sheet'!D772,FIND("|",'Blind Scoring Sheet'!D772)-1))))</f>
        <v/>
      </c>
      <c r="E772" s="81">
        <f>IF(ISNUMBER('Blind Scoring Sheet'!F772),'Blind Scoring Sheet'!F772,VALUE(TRIM(LEFT('Blind Scoring Sheet'!F772,FIND("|",'Blind Scoring Sheet'!F772)-1))))</f>
        <v/>
      </c>
      <c r="F772" s="81">
        <f>IF(ISNUMBER('Blind Scoring Sheet'!H772),'Blind Scoring Sheet'!H772,VALUE(TRIM(LEFT('Blind Scoring Sheet'!H772,FIND("|",'Blind Scoring Sheet'!H772)-1))))</f>
        <v/>
      </c>
      <c r="G772" s="81">
        <f>IF(ISNUMBER('Blind Scoring Sheet'!J772),'Blind Scoring Sheet'!J772,VALUE(TRIM(LEFT('Blind Scoring Sheet'!J772,FIND("|",'Blind Scoring Sheet'!J772)-1))))</f>
        <v/>
      </c>
      <c r="H772" s="80">
        <f>IF(ISNUMBER(SEARCH("|",'Blind Scoring Sheet'!K772)),TRIM(LEFT('Blind Scoring Sheet'!K772,FIND("|",'Blind Scoring Sheet'!K772)-1)),TRIM('Blind Scoring Sheet'!K772))</f>
        <v/>
      </c>
    </row>
    <row r="773" ht="15" customHeight="1" s="38">
      <c r="A773" s="80">
        <f>'Blind Scoring Sheet'!A773</f>
        <v/>
      </c>
      <c r="B773" s="80">
        <f>MID(INDEX('Anonymization Key'!$B$4:$B$1003,MATCH(A773,'Anonymization Key'!$A$4:$A$1003,0)),3,2)</f>
        <v/>
      </c>
      <c r="C773" s="81">
        <f>IF(ISNUMBER('Blind Scoring Sheet'!B773),'Blind Scoring Sheet'!B773,VALUE(TRIM(LEFT('Blind Scoring Sheet'!B773,FIND("|",'Blind Scoring Sheet'!B773)-1))))</f>
        <v/>
      </c>
      <c r="D773" s="81">
        <f>IF(ISNUMBER('Blind Scoring Sheet'!D773),'Blind Scoring Sheet'!D773,VALUE(TRIM(LEFT('Blind Scoring Sheet'!D773,FIND("|",'Blind Scoring Sheet'!D773)-1))))</f>
        <v/>
      </c>
      <c r="E773" s="81">
        <f>IF(ISNUMBER('Blind Scoring Sheet'!F773),'Blind Scoring Sheet'!F773,VALUE(TRIM(LEFT('Blind Scoring Sheet'!F773,FIND("|",'Blind Scoring Sheet'!F773)-1))))</f>
        <v/>
      </c>
      <c r="F773" s="81">
        <f>IF(ISNUMBER('Blind Scoring Sheet'!H773),'Blind Scoring Sheet'!H773,VALUE(TRIM(LEFT('Blind Scoring Sheet'!H773,FIND("|",'Blind Scoring Sheet'!H773)-1))))</f>
        <v/>
      </c>
      <c r="G773" s="81">
        <f>IF(ISNUMBER('Blind Scoring Sheet'!J773),'Blind Scoring Sheet'!J773,VALUE(TRIM(LEFT('Blind Scoring Sheet'!J773,FIND("|",'Blind Scoring Sheet'!J773)-1))))</f>
        <v/>
      </c>
      <c r="H773" s="80">
        <f>IF(ISNUMBER(SEARCH("|",'Blind Scoring Sheet'!K773)),TRIM(LEFT('Blind Scoring Sheet'!K773,FIND("|",'Blind Scoring Sheet'!K773)-1)),TRIM('Blind Scoring Sheet'!K773))</f>
        <v/>
      </c>
    </row>
    <row r="774" ht="15" customHeight="1" s="38">
      <c r="A774" s="80">
        <f>'Blind Scoring Sheet'!A774</f>
        <v/>
      </c>
      <c r="B774" s="80">
        <f>MID(INDEX('Anonymization Key'!$B$4:$B$1003,MATCH(A774,'Anonymization Key'!$A$4:$A$1003,0)),3,2)</f>
        <v/>
      </c>
      <c r="C774" s="81">
        <f>IF(ISNUMBER('Blind Scoring Sheet'!B774),'Blind Scoring Sheet'!B774,VALUE(TRIM(LEFT('Blind Scoring Sheet'!B774,FIND("|",'Blind Scoring Sheet'!B774)-1))))</f>
        <v/>
      </c>
      <c r="D774" s="81">
        <f>IF(ISNUMBER('Blind Scoring Sheet'!D774),'Blind Scoring Sheet'!D774,VALUE(TRIM(LEFT('Blind Scoring Sheet'!D774,FIND("|",'Blind Scoring Sheet'!D774)-1))))</f>
        <v/>
      </c>
      <c r="E774" s="81">
        <f>IF(ISNUMBER('Blind Scoring Sheet'!F774),'Blind Scoring Sheet'!F774,VALUE(TRIM(LEFT('Blind Scoring Sheet'!F774,FIND("|",'Blind Scoring Sheet'!F774)-1))))</f>
        <v/>
      </c>
      <c r="F774" s="81">
        <f>IF(ISNUMBER('Blind Scoring Sheet'!H774),'Blind Scoring Sheet'!H774,VALUE(TRIM(LEFT('Blind Scoring Sheet'!H774,FIND("|",'Blind Scoring Sheet'!H774)-1))))</f>
        <v/>
      </c>
      <c r="G774" s="81">
        <f>IF(ISNUMBER('Blind Scoring Sheet'!J774),'Blind Scoring Sheet'!J774,VALUE(TRIM(LEFT('Blind Scoring Sheet'!J774,FIND("|",'Blind Scoring Sheet'!J774)-1))))</f>
        <v/>
      </c>
      <c r="H774" s="80">
        <f>IF(ISNUMBER(SEARCH("|",'Blind Scoring Sheet'!K774)),TRIM(LEFT('Blind Scoring Sheet'!K774,FIND("|",'Blind Scoring Sheet'!K774)-1)),TRIM('Blind Scoring Sheet'!K774))</f>
        <v/>
      </c>
    </row>
    <row r="775" ht="15" customHeight="1" s="38">
      <c r="A775" s="80">
        <f>'Blind Scoring Sheet'!A775</f>
        <v/>
      </c>
      <c r="B775" s="80">
        <f>MID(INDEX('Anonymization Key'!$B$4:$B$1003,MATCH(A775,'Anonymization Key'!$A$4:$A$1003,0)),3,2)</f>
        <v/>
      </c>
      <c r="C775" s="81">
        <f>IF(ISNUMBER('Blind Scoring Sheet'!B775),'Blind Scoring Sheet'!B775,VALUE(TRIM(LEFT('Blind Scoring Sheet'!B775,FIND("|",'Blind Scoring Sheet'!B775)-1))))</f>
        <v/>
      </c>
      <c r="D775" s="81">
        <f>IF(ISNUMBER('Blind Scoring Sheet'!D775),'Blind Scoring Sheet'!D775,VALUE(TRIM(LEFT('Blind Scoring Sheet'!D775,FIND("|",'Blind Scoring Sheet'!D775)-1))))</f>
        <v/>
      </c>
      <c r="E775" s="81">
        <f>IF(ISNUMBER('Blind Scoring Sheet'!F775),'Blind Scoring Sheet'!F775,VALUE(TRIM(LEFT('Blind Scoring Sheet'!F775,FIND("|",'Blind Scoring Sheet'!F775)-1))))</f>
        <v/>
      </c>
      <c r="F775" s="81">
        <f>IF(ISNUMBER('Blind Scoring Sheet'!H775),'Blind Scoring Sheet'!H775,VALUE(TRIM(LEFT('Blind Scoring Sheet'!H775,FIND("|",'Blind Scoring Sheet'!H775)-1))))</f>
        <v/>
      </c>
      <c r="G775" s="81">
        <f>IF(ISNUMBER('Blind Scoring Sheet'!J775),'Blind Scoring Sheet'!J775,VALUE(TRIM(LEFT('Blind Scoring Sheet'!J775,FIND("|",'Blind Scoring Sheet'!J775)-1))))</f>
        <v/>
      </c>
      <c r="H775" s="80">
        <f>IF(ISNUMBER(SEARCH("|",'Blind Scoring Sheet'!K775)),TRIM(LEFT('Blind Scoring Sheet'!K775,FIND("|",'Blind Scoring Sheet'!K775)-1)),TRIM('Blind Scoring Sheet'!K775))</f>
        <v/>
      </c>
    </row>
    <row r="776" ht="15" customHeight="1" s="38">
      <c r="A776" s="80">
        <f>'Blind Scoring Sheet'!A776</f>
        <v/>
      </c>
      <c r="B776" s="80">
        <f>MID(INDEX('Anonymization Key'!$B$4:$B$1003,MATCH(A776,'Anonymization Key'!$A$4:$A$1003,0)),3,2)</f>
        <v/>
      </c>
      <c r="C776" s="81">
        <f>IF(ISNUMBER('Blind Scoring Sheet'!B776),'Blind Scoring Sheet'!B776,VALUE(TRIM(LEFT('Blind Scoring Sheet'!B776,FIND("|",'Blind Scoring Sheet'!B776)-1))))</f>
        <v/>
      </c>
      <c r="D776" s="81">
        <f>IF(ISNUMBER('Blind Scoring Sheet'!D776),'Blind Scoring Sheet'!D776,VALUE(TRIM(LEFT('Blind Scoring Sheet'!D776,FIND("|",'Blind Scoring Sheet'!D776)-1))))</f>
        <v/>
      </c>
      <c r="E776" s="81">
        <f>IF(ISNUMBER('Blind Scoring Sheet'!F776),'Blind Scoring Sheet'!F776,VALUE(TRIM(LEFT('Blind Scoring Sheet'!F776,FIND("|",'Blind Scoring Sheet'!F776)-1))))</f>
        <v/>
      </c>
      <c r="F776" s="81">
        <f>IF(ISNUMBER('Blind Scoring Sheet'!H776),'Blind Scoring Sheet'!H776,VALUE(TRIM(LEFT('Blind Scoring Sheet'!H776,FIND("|",'Blind Scoring Sheet'!H776)-1))))</f>
        <v/>
      </c>
      <c r="G776" s="81">
        <f>IF(ISNUMBER('Blind Scoring Sheet'!J776),'Blind Scoring Sheet'!J776,VALUE(TRIM(LEFT('Blind Scoring Sheet'!J776,FIND("|",'Blind Scoring Sheet'!J776)-1))))</f>
        <v/>
      </c>
      <c r="H776" s="80">
        <f>IF(ISNUMBER(SEARCH("|",'Blind Scoring Sheet'!K776)),TRIM(LEFT('Blind Scoring Sheet'!K776,FIND("|",'Blind Scoring Sheet'!K776)-1)),TRIM('Blind Scoring Sheet'!K776))</f>
        <v/>
      </c>
    </row>
    <row r="777" ht="15" customHeight="1" s="38">
      <c r="A777" s="80">
        <f>'Blind Scoring Sheet'!A777</f>
        <v/>
      </c>
      <c r="B777" s="80">
        <f>MID(INDEX('Anonymization Key'!$B$4:$B$1003,MATCH(A777,'Anonymization Key'!$A$4:$A$1003,0)),3,2)</f>
        <v/>
      </c>
      <c r="C777" s="81">
        <f>IF(ISNUMBER('Blind Scoring Sheet'!B777),'Blind Scoring Sheet'!B777,VALUE(TRIM(LEFT('Blind Scoring Sheet'!B777,FIND("|",'Blind Scoring Sheet'!B777)-1))))</f>
        <v/>
      </c>
      <c r="D777" s="81">
        <f>IF(ISNUMBER('Blind Scoring Sheet'!D777),'Blind Scoring Sheet'!D777,VALUE(TRIM(LEFT('Blind Scoring Sheet'!D777,FIND("|",'Blind Scoring Sheet'!D777)-1))))</f>
        <v/>
      </c>
      <c r="E777" s="81">
        <f>IF(ISNUMBER('Blind Scoring Sheet'!F777),'Blind Scoring Sheet'!F777,VALUE(TRIM(LEFT('Blind Scoring Sheet'!F777,FIND("|",'Blind Scoring Sheet'!F777)-1))))</f>
        <v/>
      </c>
      <c r="F777" s="81">
        <f>IF(ISNUMBER('Blind Scoring Sheet'!H777),'Blind Scoring Sheet'!H777,VALUE(TRIM(LEFT('Blind Scoring Sheet'!H777,FIND("|",'Blind Scoring Sheet'!H777)-1))))</f>
        <v/>
      </c>
      <c r="G777" s="81">
        <f>IF(ISNUMBER('Blind Scoring Sheet'!J777),'Blind Scoring Sheet'!J777,VALUE(TRIM(LEFT('Blind Scoring Sheet'!J777,FIND("|",'Blind Scoring Sheet'!J777)-1))))</f>
        <v/>
      </c>
      <c r="H777" s="80">
        <f>IF(ISNUMBER(SEARCH("|",'Blind Scoring Sheet'!K777)),TRIM(LEFT('Blind Scoring Sheet'!K777,FIND("|",'Blind Scoring Sheet'!K777)-1)),TRIM('Blind Scoring Sheet'!K777))</f>
        <v/>
      </c>
    </row>
    <row r="778" ht="15" customHeight="1" s="38">
      <c r="A778" s="80">
        <f>'Blind Scoring Sheet'!A778</f>
        <v/>
      </c>
      <c r="B778" s="80">
        <f>MID(INDEX('Anonymization Key'!$B$4:$B$1003,MATCH(A778,'Anonymization Key'!$A$4:$A$1003,0)),3,2)</f>
        <v/>
      </c>
      <c r="C778" s="81">
        <f>IF(ISNUMBER('Blind Scoring Sheet'!B778),'Blind Scoring Sheet'!B778,VALUE(TRIM(LEFT('Blind Scoring Sheet'!B778,FIND("|",'Blind Scoring Sheet'!B778)-1))))</f>
        <v/>
      </c>
      <c r="D778" s="81">
        <f>IF(ISNUMBER('Blind Scoring Sheet'!D778),'Blind Scoring Sheet'!D778,VALUE(TRIM(LEFT('Blind Scoring Sheet'!D778,FIND("|",'Blind Scoring Sheet'!D778)-1))))</f>
        <v/>
      </c>
      <c r="E778" s="81">
        <f>IF(ISNUMBER('Blind Scoring Sheet'!F778),'Blind Scoring Sheet'!F778,VALUE(TRIM(LEFT('Blind Scoring Sheet'!F778,FIND("|",'Blind Scoring Sheet'!F778)-1))))</f>
        <v/>
      </c>
      <c r="F778" s="81">
        <f>IF(ISNUMBER('Blind Scoring Sheet'!H778),'Blind Scoring Sheet'!H778,VALUE(TRIM(LEFT('Blind Scoring Sheet'!H778,FIND("|",'Blind Scoring Sheet'!H778)-1))))</f>
        <v/>
      </c>
      <c r="G778" s="81">
        <f>IF(ISNUMBER('Blind Scoring Sheet'!J778),'Blind Scoring Sheet'!J778,VALUE(TRIM(LEFT('Blind Scoring Sheet'!J778,FIND("|",'Blind Scoring Sheet'!J778)-1))))</f>
        <v/>
      </c>
      <c r="H778" s="80">
        <f>IF(ISNUMBER(SEARCH("|",'Blind Scoring Sheet'!K778)),TRIM(LEFT('Blind Scoring Sheet'!K778,FIND("|",'Blind Scoring Sheet'!K778)-1)),TRIM('Blind Scoring Sheet'!K778))</f>
        <v/>
      </c>
    </row>
    <row r="779" ht="15" customHeight="1" s="38">
      <c r="A779" s="80">
        <f>'Blind Scoring Sheet'!A779</f>
        <v/>
      </c>
      <c r="B779" s="80">
        <f>MID(INDEX('Anonymization Key'!$B$4:$B$1003,MATCH(A779,'Anonymization Key'!$A$4:$A$1003,0)),3,2)</f>
        <v/>
      </c>
      <c r="C779" s="81">
        <f>IF(ISNUMBER('Blind Scoring Sheet'!B779),'Blind Scoring Sheet'!B779,VALUE(TRIM(LEFT('Blind Scoring Sheet'!B779,FIND("|",'Blind Scoring Sheet'!B779)-1))))</f>
        <v/>
      </c>
      <c r="D779" s="81">
        <f>IF(ISNUMBER('Blind Scoring Sheet'!D779),'Blind Scoring Sheet'!D779,VALUE(TRIM(LEFT('Blind Scoring Sheet'!D779,FIND("|",'Blind Scoring Sheet'!D779)-1))))</f>
        <v/>
      </c>
      <c r="E779" s="81">
        <f>IF(ISNUMBER('Blind Scoring Sheet'!F779),'Blind Scoring Sheet'!F779,VALUE(TRIM(LEFT('Blind Scoring Sheet'!F779,FIND("|",'Blind Scoring Sheet'!F779)-1))))</f>
        <v/>
      </c>
      <c r="F779" s="81">
        <f>IF(ISNUMBER('Blind Scoring Sheet'!H779),'Blind Scoring Sheet'!H779,VALUE(TRIM(LEFT('Blind Scoring Sheet'!H779,FIND("|",'Blind Scoring Sheet'!H779)-1))))</f>
        <v/>
      </c>
      <c r="G779" s="81">
        <f>IF(ISNUMBER('Blind Scoring Sheet'!J779),'Blind Scoring Sheet'!J779,VALUE(TRIM(LEFT('Blind Scoring Sheet'!J779,FIND("|",'Blind Scoring Sheet'!J779)-1))))</f>
        <v/>
      </c>
      <c r="H779" s="80">
        <f>IF(ISNUMBER(SEARCH("|",'Blind Scoring Sheet'!K779)),TRIM(LEFT('Blind Scoring Sheet'!K779,FIND("|",'Blind Scoring Sheet'!K779)-1)),TRIM('Blind Scoring Sheet'!K779))</f>
        <v/>
      </c>
    </row>
    <row r="780" ht="15" customHeight="1" s="38">
      <c r="A780" s="80">
        <f>'Blind Scoring Sheet'!A780</f>
        <v/>
      </c>
      <c r="B780" s="80">
        <f>MID(INDEX('Anonymization Key'!$B$4:$B$1003,MATCH(A780,'Anonymization Key'!$A$4:$A$1003,0)),3,2)</f>
        <v/>
      </c>
      <c r="C780" s="81">
        <f>IF(ISNUMBER('Blind Scoring Sheet'!B780),'Blind Scoring Sheet'!B780,VALUE(TRIM(LEFT('Blind Scoring Sheet'!B780,FIND("|",'Blind Scoring Sheet'!B780)-1))))</f>
        <v/>
      </c>
      <c r="D780" s="81">
        <f>IF(ISNUMBER('Blind Scoring Sheet'!D780),'Blind Scoring Sheet'!D780,VALUE(TRIM(LEFT('Blind Scoring Sheet'!D780,FIND("|",'Blind Scoring Sheet'!D780)-1))))</f>
        <v/>
      </c>
      <c r="E780" s="81">
        <f>IF(ISNUMBER('Blind Scoring Sheet'!F780),'Blind Scoring Sheet'!F780,VALUE(TRIM(LEFT('Blind Scoring Sheet'!F780,FIND("|",'Blind Scoring Sheet'!F780)-1))))</f>
        <v/>
      </c>
      <c r="F780" s="81">
        <f>IF(ISNUMBER('Blind Scoring Sheet'!H780),'Blind Scoring Sheet'!H780,VALUE(TRIM(LEFT('Blind Scoring Sheet'!H780,FIND("|",'Blind Scoring Sheet'!H780)-1))))</f>
        <v/>
      </c>
      <c r="G780" s="81">
        <f>IF(ISNUMBER('Blind Scoring Sheet'!J780),'Blind Scoring Sheet'!J780,VALUE(TRIM(LEFT('Blind Scoring Sheet'!J780,FIND("|",'Blind Scoring Sheet'!J780)-1))))</f>
        <v/>
      </c>
      <c r="H780" s="80">
        <f>IF(ISNUMBER(SEARCH("|",'Blind Scoring Sheet'!K780)),TRIM(LEFT('Blind Scoring Sheet'!K780,FIND("|",'Blind Scoring Sheet'!K780)-1)),TRIM('Blind Scoring Sheet'!K780))</f>
        <v/>
      </c>
    </row>
    <row r="781" ht="15" customHeight="1" s="38">
      <c r="A781" s="80">
        <f>'Blind Scoring Sheet'!A781</f>
        <v/>
      </c>
      <c r="B781" s="80">
        <f>MID(INDEX('Anonymization Key'!$B$4:$B$1003,MATCH(A781,'Anonymization Key'!$A$4:$A$1003,0)),3,2)</f>
        <v/>
      </c>
      <c r="C781" s="81">
        <f>IF(ISNUMBER('Blind Scoring Sheet'!B781),'Blind Scoring Sheet'!B781,VALUE(TRIM(LEFT('Blind Scoring Sheet'!B781,FIND("|",'Blind Scoring Sheet'!B781)-1))))</f>
        <v/>
      </c>
      <c r="D781" s="81">
        <f>IF(ISNUMBER('Blind Scoring Sheet'!D781),'Blind Scoring Sheet'!D781,VALUE(TRIM(LEFT('Blind Scoring Sheet'!D781,FIND("|",'Blind Scoring Sheet'!D781)-1))))</f>
        <v/>
      </c>
      <c r="E781" s="81">
        <f>IF(ISNUMBER('Blind Scoring Sheet'!F781),'Blind Scoring Sheet'!F781,VALUE(TRIM(LEFT('Blind Scoring Sheet'!F781,FIND("|",'Blind Scoring Sheet'!F781)-1))))</f>
        <v/>
      </c>
      <c r="F781" s="81">
        <f>IF(ISNUMBER('Blind Scoring Sheet'!H781),'Blind Scoring Sheet'!H781,VALUE(TRIM(LEFT('Blind Scoring Sheet'!H781,FIND("|",'Blind Scoring Sheet'!H781)-1))))</f>
        <v/>
      </c>
      <c r="G781" s="81">
        <f>IF(ISNUMBER('Blind Scoring Sheet'!J781),'Blind Scoring Sheet'!J781,VALUE(TRIM(LEFT('Blind Scoring Sheet'!J781,FIND("|",'Blind Scoring Sheet'!J781)-1))))</f>
        <v/>
      </c>
      <c r="H781" s="80">
        <f>IF(ISNUMBER(SEARCH("|",'Blind Scoring Sheet'!K781)),TRIM(LEFT('Blind Scoring Sheet'!K781,FIND("|",'Blind Scoring Sheet'!K781)-1)),TRIM('Blind Scoring Sheet'!K781))</f>
        <v/>
      </c>
    </row>
    <row r="782" ht="15" customHeight="1" s="38">
      <c r="A782" s="80">
        <f>'Blind Scoring Sheet'!A782</f>
        <v/>
      </c>
      <c r="B782" s="80">
        <f>MID(INDEX('Anonymization Key'!$B$4:$B$1003,MATCH(A782,'Anonymization Key'!$A$4:$A$1003,0)),3,2)</f>
        <v/>
      </c>
      <c r="C782" s="81">
        <f>IF(ISNUMBER('Blind Scoring Sheet'!B782),'Blind Scoring Sheet'!B782,VALUE(TRIM(LEFT('Blind Scoring Sheet'!B782,FIND("|",'Blind Scoring Sheet'!B782)-1))))</f>
        <v/>
      </c>
      <c r="D782" s="81">
        <f>IF(ISNUMBER('Blind Scoring Sheet'!D782),'Blind Scoring Sheet'!D782,VALUE(TRIM(LEFT('Blind Scoring Sheet'!D782,FIND("|",'Blind Scoring Sheet'!D782)-1))))</f>
        <v/>
      </c>
      <c r="E782" s="81">
        <f>IF(ISNUMBER('Blind Scoring Sheet'!F782),'Blind Scoring Sheet'!F782,VALUE(TRIM(LEFT('Blind Scoring Sheet'!F782,FIND("|",'Blind Scoring Sheet'!F782)-1))))</f>
        <v/>
      </c>
      <c r="F782" s="81">
        <f>IF(ISNUMBER('Blind Scoring Sheet'!H782),'Blind Scoring Sheet'!H782,VALUE(TRIM(LEFT('Blind Scoring Sheet'!H782,FIND("|",'Blind Scoring Sheet'!H782)-1))))</f>
        <v/>
      </c>
      <c r="G782" s="81">
        <f>IF(ISNUMBER('Blind Scoring Sheet'!J782),'Blind Scoring Sheet'!J782,VALUE(TRIM(LEFT('Blind Scoring Sheet'!J782,FIND("|",'Blind Scoring Sheet'!J782)-1))))</f>
        <v/>
      </c>
      <c r="H782" s="80">
        <f>IF(ISNUMBER(SEARCH("|",'Blind Scoring Sheet'!K782)),TRIM(LEFT('Blind Scoring Sheet'!K782,FIND("|",'Blind Scoring Sheet'!K782)-1)),TRIM('Blind Scoring Sheet'!K782))</f>
        <v/>
      </c>
    </row>
    <row r="783" ht="15" customHeight="1" s="38">
      <c r="A783" s="80">
        <f>'Blind Scoring Sheet'!A783</f>
        <v/>
      </c>
      <c r="B783" s="80">
        <f>MID(INDEX('Anonymization Key'!$B$4:$B$1003,MATCH(A783,'Anonymization Key'!$A$4:$A$1003,0)),3,2)</f>
        <v/>
      </c>
      <c r="C783" s="81">
        <f>IF(ISNUMBER('Blind Scoring Sheet'!B783),'Blind Scoring Sheet'!B783,VALUE(TRIM(LEFT('Blind Scoring Sheet'!B783,FIND("|",'Blind Scoring Sheet'!B783)-1))))</f>
        <v/>
      </c>
      <c r="D783" s="81">
        <f>IF(ISNUMBER('Blind Scoring Sheet'!D783),'Blind Scoring Sheet'!D783,VALUE(TRIM(LEFT('Blind Scoring Sheet'!D783,FIND("|",'Blind Scoring Sheet'!D783)-1))))</f>
        <v/>
      </c>
      <c r="E783" s="81">
        <f>IF(ISNUMBER('Blind Scoring Sheet'!F783),'Blind Scoring Sheet'!F783,VALUE(TRIM(LEFT('Blind Scoring Sheet'!F783,FIND("|",'Blind Scoring Sheet'!F783)-1))))</f>
        <v/>
      </c>
      <c r="F783" s="81">
        <f>IF(ISNUMBER('Blind Scoring Sheet'!H783),'Blind Scoring Sheet'!H783,VALUE(TRIM(LEFT('Blind Scoring Sheet'!H783,FIND("|",'Blind Scoring Sheet'!H783)-1))))</f>
        <v/>
      </c>
      <c r="G783" s="81">
        <f>IF(ISNUMBER('Blind Scoring Sheet'!J783),'Blind Scoring Sheet'!J783,VALUE(TRIM(LEFT('Blind Scoring Sheet'!J783,FIND("|",'Blind Scoring Sheet'!J783)-1))))</f>
        <v/>
      </c>
      <c r="H783" s="80">
        <f>IF(ISNUMBER(SEARCH("|",'Blind Scoring Sheet'!K783)),TRIM(LEFT('Blind Scoring Sheet'!K783,FIND("|",'Blind Scoring Sheet'!K783)-1)),TRIM('Blind Scoring Sheet'!K783))</f>
        <v/>
      </c>
    </row>
    <row r="784" ht="15" customHeight="1" s="38">
      <c r="A784" s="80">
        <f>'Blind Scoring Sheet'!A784</f>
        <v/>
      </c>
      <c r="B784" s="80">
        <f>MID(INDEX('Anonymization Key'!$B$4:$B$1003,MATCH(A784,'Anonymization Key'!$A$4:$A$1003,0)),3,2)</f>
        <v/>
      </c>
      <c r="C784" s="81">
        <f>IF(ISNUMBER('Blind Scoring Sheet'!B784),'Blind Scoring Sheet'!B784,VALUE(TRIM(LEFT('Blind Scoring Sheet'!B784,FIND("|",'Blind Scoring Sheet'!B784)-1))))</f>
        <v/>
      </c>
      <c r="D784" s="81">
        <f>IF(ISNUMBER('Blind Scoring Sheet'!D784),'Blind Scoring Sheet'!D784,VALUE(TRIM(LEFT('Blind Scoring Sheet'!D784,FIND("|",'Blind Scoring Sheet'!D784)-1))))</f>
        <v/>
      </c>
      <c r="E784" s="81">
        <f>IF(ISNUMBER('Blind Scoring Sheet'!F784),'Blind Scoring Sheet'!F784,VALUE(TRIM(LEFT('Blind Scoring Sheet'!F784,FIND("|",'Blind Scoring Sheet'!F784)-1))))</f>
        <v/>
      </c>
      <c r="F784" s="81">
        <f>IF(ISNUMBER('Blind Scoring Sheet'!H784),'Blind Scoring Sheet'!H784,VALUE(TRIM(LEFT('Blind Scoring Sheet'!H784,FIND("|",'Blind Scoring Sheet'!H784)-1))))</f>
        <v/>
      </c>
      <c r="G784" s="81">
        <f>IF(ISNUMBER('Blind Scoring Sheet'!J784),'Blind Scoring Sheet'!J784,VALUE(TRIM(LEFT('Blind Scoring Sheet'!J784,FIND("|",'Blind Scoring Sheet'!J784)-1))))</f>
        <v/>
      </c>
      <c r="H784" s="80">
        <f>IF(ISNUMBER(SEARCH("|",'Blind Scoring Sheet'!K784)),TRIM(LEFT('Blind Scoring Sheet'!K784,FIND("|",'Blind Scoring Sheet'!K784)-1)),TRIM('Blind Scoring Sheet'!K784))</f>
        <v/>
      </c>
    </row>
    <row r="785" ht="15" customHeight="1" s="38">
      <c r="A785" s="80">
        <f>'Blind Scoring Sheet'!A785</f>
        <v/>
      </c>
      <c r="B785" s="80">
        <f>MID(INDEX('Anonymization Key'!$B$4:$B$1003,MATCH(A785,'Anonymization Key'!$A$4:$A$1003,0)),3,2)</f>
        <v/>
      </c>
      <c r="C785" s="81">
        <f>IF(ISNUMBER('Blind Scoring Sheet'!B785),'Blind Scoring Sheet'!B785,VALUE(TRIM(LEFT('Blind Scoring Sheet'!B785,FIND("|",'Blind Scoring Sheet'!B785)-1))))</f>
        <v/>
      </c>
      <c r="D785" s="81">
        <f>IF(ISNUMBER('Blind Scoring Sheet'!D785),'Blind Scoring Sheet'!D785,VALUE(TRIM(LEFT('Blind Scoring Sheet'!D785,FIND("|",'Blind Scoring Sheet'!D785)-1))))</f>
        <v/>
      </c>
      <c r="E785" s="81">
        <f>IF(ISNUMBER('Blind Scoring Sheet'!F785),'Blind Scoring Sheet'!F785,VALUE(TRIM(LEFT('Blind Scoring Sheet'!F785,FIND("|",'Blind Scoring Sheet'!F785)-1))))</f>
        <v/>
      </c>
      <c r="F785" s="81">
        <f>IF(ISNUMBER('Blind Scoring Sheet'!H785),'Blind Scoring Sheet'!H785,VALUE(TRIM(LEFT('Blind Scoring Sheet'!H785,FIND("|",'Blind Scoring Sheet'!H785)-1))))</f>
        <v/>
      </c>
      <c r="G785" s="81">
        <f>IF(ISNUMBER('Blind Scoring Sheet'!J785),'Blind Scoring Sheet'!J785,VALUE(TRIM(LEFT('Blind Scoring Sheet'!J785,FIND("|",'Blind Scoring Sheet'!J785)-1))))</f>
        <v/>
      </c>
      <c r="H785" s="80">
        <f>IF(ISNUMBER(SEARCH("|",'Blind Scoring Sheet'!K785)),TRIM(LEFT('Blind Scoring Sheet'!K785,FIND("|",'Blind Scoring Sheet'!K785)-1)),TRIM('Blind Scoring Sheet'!K785))</f>
        <v/>
      </c>
    </row>
    <row r="786" ht="15" customHeight="1" s="38">
      <c r="A786" s="80">
        <f>'Blind Scoring Sheet'!A786</f>
        <v/>
      </c>
      <c r="B786" s="80">
        <f>MID(INDEX('Anonymization Key'!$B$4:$B$1003,MATCH(A786,'Anonymization Key'!$A$4:$A$1003,0)),3,2)</f>
        <v/>
      </c>
      <c r="C786" s="81">
        <f>IF(ISNUMBER('Blind Scoring Sheet'!B786),'Blind Scoring Sheet'!B786,VALUE(TRIM(LEFT('Blind Scoring Sheet'!B786,FIND("|",'Blind Scoring Sheet'!B786)-1))))</f>
        <v/>
      </c>
      <c r="D786" s="81">
        <f>IF(ISNUMBER('Blind Scoring Sheet'!D786),'Blind Scoring Sheet'!D786,VALUE(TRIM(LEFT('Blind Scoring Sheet'!D786,FIND("|",'Blind Scoring Sheet'!D786)-1))))</f>
        <v/>
      </c>
      <c r="E786" s="81">
        <f>IF(ISNUMBER('Blind Scoring Sheet'!F786),'Blind Scoring Sheet'!F786,VALUE(TRIM(LEFT('Blind Scoring Sheet'!F786,FIND("|",'Blind Scoring Sheet'!F786)-1))))</f>
        <v/>
      </c>
      <c r="F786" s="81">
        <f>IF(ISNUMBER('Blind Scoring Sheet'!H786),'Blind Scoring Sheet'!H786,VALUE(TRIM(LEFT('Blind Scoring Sheet'!H786,FIND("|",'Blind Scoring Sheet'!H786)-1))))</f>
        <v/>
      </c>
      <c r="G786" s="81">
        <f>IF(ISNUMBER('Blind Scoring Sheet'!J786),'Blind Scoring Sheet'!J786,VALUE(TRIM(LEFT('Blind Scoring Sheet'!J786,FIND("|",'Blind Scoring Sheet'!J786)-1))))</f>
        <v/>
      </c>
      <c r="H786" s="80">
        <f>IF(ISNUMBER(SEARCH("|",'Blind Scoring Sheet'!K786)),TRIM(LEFT('Blind Scoring Sheet'!K786,FIND("|",'Blind Scoring Sheet'!K786)-1)),TRIM('Blind Scoring Sheet'!K786))</f>
        <v/>
      </c>
    </row>
    <row r="787" ht="15" customHeight="1" s="38">
      <c r="A787" s="80">
        <f>'Blind Scoring Sheet'!A787</f>
        <v/>
      </c>
      <c r="B787" s="80">
        <f>MID(INDEX('Anonymization Key'!$B$4:$B$1003,MATCH(A787,'Anonymization Key'!$A$4:$A$1003,0)),3,2)</f>
        <v/>
      </c>
      <c r="C787" s="81">
        <f>IF(ISNUMBER('Blind Scoring Sheet'!B787),'Blind Scoring Sheet'!B787,VALUE(TRIM(LEFT('Blind Scoring Sheet'!B787,FIND("|",'Blind Scoring Sheet'!B787)-1))))</f>
        <v/>
      </c>
      <c r="D787" s="81">
        <f>IF(ISNUMBER('Blind Scoring Sheet'!D787),'Blind Scoring Sheet'!D787,VALUE(TRIM(LEFT('Blind Scoring Sheet'!D787,FIND("|",'Blind Scoring Sheet'!D787)-1))))</f>
        <v/>
      </c>
      <c r="E787" s="81">
        <f>IF(ISNUMBER('Blind Scoring Sheet'!F787),'Blind Scoring Sheet'!F787,VALUE(TRIM(LEFT('Blind Scoring Sheet'!F787,FIND("|",'Blind Scoring Sheet'!F787)-1))))</f>
        <v/>
      </c>
      <c r="F787" s="81">
        <f>IF(ISNUMBER('Blind Scoring Sheet'!H787),'Blind Scoring Sheet'!H787,VALUE(TRIM(LEFT('Blind Scoring Sheet'!H787,FIND("|",'Blind Scoring Sheet'!H787)-1))))</f>
        <v/>
      </c>
      <c r="G787" s="81">
        <f>IF(ISNUMBER('Blind Scoring Sheet'!J787),'Blind Scoring Sheet'!J787,VALUE(TRIM(LEFT('Blind Scoring Sheet'!J787,FIND("|",'Blind Scoring Sheet'!J787)-1))))</f>
        <v/>
      </c>
      <c r="H787" s="80">
        <f>IF(ISNUMBER(SEARCH("|",'Blind Scoring Sheet'!K787)),TRIM(LEFT('Blind Scoring Sheet'!K787,FIND("|",'Blind Scoring Sheet'!K787)-1)),TRIM('Blind Scoring Sheet'!K787))</f>
        <v/>
      </c>
    </row>
    <row r="788" ht="15" customHeight="1" s="38">
      <c r="A788" s="80">
        <f>'Blind Scoring Sheet'!A788</f>
        <v/>
      </c>
      <c r="B788" s="80">
        <f>MID(INDEX('Anonymization Key'!$B$4:$B$1003,MATCH(A788,'Anonymization Key'!$A$4:$A$1003,0)),3,2)</f>
        <v/>
      </c>
      <c r="C788" s="81">
        <f>IF(ISNUMBER('Blind Scoring Sheet'!B788),'Blind Scoring Sheet'!B788,VALUE(TRIM(LEFT('Blind Scoring Sheet'!B788,FIND("|",'Blind Scoring Sheet'!B788)-1))))</f>
        <v/>
      </c>
      <c r="D788" s="81">
        <f>IF(ISNUMBER('Blind Scoring Sheet'!D788),'Blind Scoring Sheet'!D788,VALUE(TRIM(LEFT('Blind Scoring Sheet'!D788,FIND("|",'Blind Scoring Sheet'!D788)-1))))</f>
        <v/>
      </c>
      <c r="E788" s="81">
        <f>IF(ISNUMBER('Blind Scoring Sheet'!F788),'Blind Scoring Sheet'!F788,VALUE(TRIM(LEFT('Blind Scoring Sheet'!F788,FIND("|",'Blind Scoring Sheet'!F788)-1))))</f>
        <v/>
      </c>
      <c r="F788" s="81">
        <f>IF(ISNUMBER('Blind Scoring Sheet'!H788),'Blind Scoring Sheet'!H788,VALUE(TRIM(LEFT('Blind Scoring Sheet'!H788,FIND("|",'Blind Scoring Sheet'!H788)-1))))</f>
        <v/>
      </c>
      <c r="G788" s="81">
        <f>IF(ISNUMBER('Blind Scoring Sheet'!J788),'Blind Scoring Sheet'!J788,VALUE(TRIM(LEFT('Blind Scoring Sheet'!J788,FIND("|",'Blind Scoring Sheet'!J788)-1))))</f>
        <v/>
      </c>
      <c r="H788" s="80">
        <f>IF(ISNUMBER(SEARCH("|",'Blind Scoring Sheet'!K788)),TRIM(LEFT('Blind Scoring Sheet'!K788,FIND("|",'Blind Scoring Sheet'!K788)-1)),TRIM('Blind Scoring Sheet'!K788))</f>
        <v/>
      </c>
    </row>
    <row r="789" ht="15" customHeight="1" s="38">
      <c r="A789" s="80">
        <f>'Blind Scoring Sheet'!A789</f>
        <v/>
      </c>
      <c r="B789" s="80">
        <f>MID(INDEX('Anonymization Key'!$B$4:$B$1003,MATCH(A789,'Anonymization Key'!$A$4:$A$1003,0)),3,2)</f>
        <v/>
      </c>
      <c r="C789" s="81">
        <f>IF(ISNUMBER('Blind Scoring Sheet'!B789),'Blind Scoring Sheet'!B789,VALUE(TRIM(LEFT('Blind Scoring Sheet'!B789,FIND("|",'Blind Scoring Sheet'!B789)-1))))</f>
        <v/>
      </c>
      <c r="D789" s="81">
        <f>IF(ISNUMBER('Blind Scoring Sheet'!D789),'Blind Scoring Sheet'!D789,VALUE(TRIM(LEFT('Blind Scoring Sheet'!D789,FIND("|",'Blind Scoring Sheet'!D789)-1))))</f>
        <v/>
      </c>
      <c r="E789" s="81">
        <f>IF(ISNUMBER('Blind Scoring Sheet'!F789),'Blind Scoring Sheet'!F789,VALUE(TRIM(LEFT('Blind Scoring Sheet'!F789,FIND("|",'Blind Scoring Sheet'!F789)-1))))</f>
        <v/>
      </c>
      <c r="F789" s="81">
        <f>IF(ISNUMBER('Blind Scoring Sheet'!H789),'Blind Scoring Sheet'!H789,VALUE(TRIM(LEFT('Blind Scoring Sheet'!H789,FIND("|",'Blind Scoring Sheet'!H789)-1))))</f>
        <v/>
      </c>
      <c r="G789" s="81">
        <f>IF(ISNUMBER('Blind Scoring Sheet'!J789),'Blind Scoring Sheet'!J789,VALUE(TRIM(LEFT('Blind Scoring Sheet'!J789,FIND("|",'Blind Scoring Sheet'!J789)-1))))</f>
        <v/>
      </c>
      <c r="H789" s="80">
        <f>IF(ISNUMBER(SEARCH("|",'Blind Scoring Sheet'!K789)),TRIM(LEFT('Blind Scoring Sheet'!K789,FIND("|",'Blind Scoring Sheet'!K789)-1)),TRIM('Blind Scoring Sheet'!K789))</f>
        <v/>
      </c>
    </row>
    <row r="790" ht="15" customHeight="1" s="38">
      <c r="A790" s="80">
        <f>'Blind Scoring Sheet'!A790</f>
        <v/>
      </c>
      <c r="B790" s="80">
        <f>MID(INDEX('Anonymization Key'!$B$4:$B$1003,MATCH(A790,'Anonymization Key'!$A$4:$A$1003,0)),3,2)</f>
        <v/>
      </c>
      <c r="C790" s="81">
        <f>IF(ISNUMBER('Blind Scoring Sheet'!B790),'Blind Scoring Sheet'!B790,VALUE(TRIM(LEFT('Blind Scoring Sheet'!B790,FIND("|",'Blind Scoring Sheet'!B790)-1))))</f>
        <v/>
      </c>
      <c r="D790" s="81">
        <f>IF(ISNUMBER('Blind Scoring Sheet'!D790),'Blind Scoring Sheet'!D790,VALUE(TRIM(LEFT('Blind Scoring Sheet'!D790,FIND("|",'Blind Scoring Sheet'!D790)-1))))</f>
        <v/>
      </c>
      <c r="E790" s="81">
        <f>IF(ISNUMBER('Blind Scoring Sheet'!F790),'Blind Scoring Sheet'!F790,VALUE(TRIM(LEFT('Blind Scoring Sheet'!F790,FIND("|",'Blind Scoring Sheet'!F790)-1))))</f>
        <v/>
      </c>
      <c r="F790" s="81">
        <f>IF(ISNUMBER('Blind Scoring Sheet'!H790),'Blind Scoring Sheet'!H790,VALUE(TRIM(LEFT('Blind Scoring Sheet'!H790,FIND("|",'Blind Scoring Sheet'!H790)-1))))</f>
        <v/>
      </c>
      <c r="G790" s="81">
        <f>IF(ISNUMBER('Blind Scoring Sheet'!J790),'Blind Scoring Sheet'!J790,VALUE(TRIM(LEFT('Blind Scoring Sheet'!J790,FIND("|",'Blind Scoring Sheet'!J790)-1))))</f>
        <v/>
      </c>
      <c r="H790" s="80">
        <f>IF(ISNUMBER(SEARCH("|",'Blind Scoring Sheet'!K790)),TRIM(LEFT('Blind Scoring Sheet'!K790,FIND("|",'Blind Scoring Sheet'!K790)-1)),TRIM('Blind Scoring Sheet'!K790))</f>
        <v/>
      </c>
    </row>
    <row r="791" ht="15" customHeight="1" s="38">
      <c r="A791" s="80">
        <f>'Blind Scoring Sheet'!A791</f>
        <v/>
      </c>
      <c r="B791" s="80">
        <f>MID(INDEX('Anonymization Key'!$B$4:$B$1003,MATCH(A791,'Anonymization Key'!$A$4:$A$1003,0)),3,2)</f>
        <v/>
      </c>
      <c r="C791" s="81">
        <f>IF(ISNUMBER('Blind Scoring Sheet'!B791),'Blind Scoring Sheet'!B791,VALUE(TRIM(LEFT('Blind Scoring Sheet'!B791,FIND("|",'Blind Scoring Sheet'!B791)-1))))</f>
        <v/>
      </c>
      <c r="D791" s="81">
        <f>IF(ISNUMBER('Blind Scoring Sheet'!D791),'Blind Scoring Sheet'!D791,VALUE(TRIM(LEFT('Blind Scoring Sheet'!D791,FIND("|",'Blind Scoring Sheet'!D791)-1))))</f>
        <v/>
      </c>
      <c r="E791" s="81">
        <f>IF(ISNUMBER('Blind Scoring Sheet'!F791),'Blind Scoring Sheet'!F791,VALUE(TRIM(LEFT('Blind Scoring Sheet'!F791,FIND("|",'Blind Scoring Sheet'!F791)-1))))</f>
        <v/>
      </c>
      <c r="F791" s="81">
        <f>IF(ISNUMBER('Blind Scoring Sheet'!H791),'Blind Scoring Sheet'!H791,VALUE(TRIM(LEFT('Blind Scoring Sheet'!H791,FIND("|",'Blind Scoring Sheet'!H791)-1))))</f>
        <v/>
      </c>
      <c r="G791" s="81">
        <f>IF(ISNUMBER('Blind Scoring Sheet'!J791),'Blind Scoring Sheet'!J791,VALUE(TRIM(LEFT('Blind Scoring Sheet'!J791,FIND("|",'Blind Scoring Sheet'!J791)-1))))</f>
        <v/>
      </c>
      <c r="H791" s="80">
        <f>IF(ISNUMBER(SEARCH("|",'Blind Scoring Sheet'!K791)),TRIM(LEFT('Blind Scoring Sheet'!K791,FIND("|",'Blind Scoring Sheet'!K791)-1)),TRIM('Blind Scoring Sheet'!K791))</f>
        <v/>
      </c>
    </row>
    <row r="792" ht="15" customHeight="1" s="38">
      <c r="A792" s="80">
        <f>'Blind Scoring Sheet'!A792</f>
        <v/>
      </c>
      <c r="B792" s="80">
        <f>MID(INDEX('Anonymization Key'!$B$4:$B$1003,MATCH(A792,'Anonymization Key'!$A$4:$A$1003,0)),3,2)</f>
        <v/>
      </c>
      <c r="C792" s="81">
        <f>IF(ISNUMBER('Blind Scoring Sheet'!B792),'Blind Scoring Sheet'!B792,VALUE(TRIM(LEFT('Blind Scoring Sheet'!B792,FIND("|",'Blind Scoring Sheet'!B792)-1))))</f>
        <v/>
      </c>
      <c r="D792" s="81">
        <f>IF(ISNUMBER('Blind Scoring Sheet'!D792),'Blind Scoring Sheet'!D792,VALUE(TRIM(LEFT('Blind Scoring Sheet'!D792,FIND("|",'Blind Scoring Sheet'!D792)-1))))</f>
        <v/>
      </c>
      <c r="E792" s="81">
        <f>IF(ISNUMBER('Blind Scoring Sheet'!F792),'Blind Scoring Sheet'!F792,VALUE(TRIM(LEFT('Blind Scoring Sheet'!F792,FIND("|",'Blind Scoring Sheet'!F792)-1))))</f>
        <v/>
      </c>
      <c r="F792" s="81">
        <f>IF(ISNUMBER('Blind Scoring Sheet'!H792),'Blind Scoring Sheet'!H792,VALUE(TRIM(LEFT('Blind Scoring Sheet'!H792,FIND("|",'Blind Scoring Sheet'!H792)-1))))</f>
        <v/>
      </c>
      <c r="G792" s="81">
        <f>IF(ISNUMBER('Blind Scoring Sheet'!J792),'Blind Scoring Sheet'!J792,VALUE(TRIM(LEFT('Blind Scoring Sheet'!J792,FIND("|",'Blind Scoring Sheet'!J792)-1))))</f>
        <v/>
      </c>
      <c r="H792" s="80">
        <f>IF(ISNUMBER(SEARCH("|",'Blind Scoring Sheet'!K792)),TRIM(LEFT('Blind Scoring Sheet'!K792,FIND("|",'Blind Scoring Sheet'!K792)-1)),TRIM('Blind Scoring Sheet'!K792))</f>
        <v/>
      </c>
    </row>
    <row r="793" ht="15" customHeight="1" s="38">
      <c r="A793" s="80">
        <f>'Blind Scoring Sheet'!A793</f>
        <v/>
      </c>
      <c r="B793" s="80">
        <f>MID(INDEX('Anonymization Key'!$B$4:$B$1003,MATCH(A793,'Anonymization Key'!$A$4:$A$1003,0)),3,2)</f>
        <v/>
      </c>
      <c r="C793" s="81">
        <f>IF(ISNUMBER('Blind Scoring Sheet'!B793),'Blind Scoring Sheet'!B793,VALUE(TRIM(LEFT('Blind Scoring Sheet'!B793,FIND("|",'Blind Scoring Sheet'!B793)-1))))</f>
        <v/>
      </c>
      <c r="D793" s="81">
        <f>IF(ISNUMBER('Blind Scoring Sheet'!D793),'Blind Scoring Sheet'!D793,VALUE(TRIM(LEFT('Blind Scoring Sheet'!D793,FIND("|",'Blind Scoring Sheet'!D793)-1))))</f>
        <v/>
      </c>
      <c r="E793" s="81">
        <f>IF(ISNUMBER('Blind Scoring Sheet'!F793),'Blind Scoring Sheet'!F793,VALUE(TRIM(LEFT('Blind Scoring Sheet'!F793,FIND("|",'Blind Scoring Sheet'!F793)-1))))</f>
        <v/>
      </c>
      <c r="F793" s="81">
        <f>IF(ISNUMBER('Blind Scoring Sheet'!H793),'Blind Scoring Sheet'!H793,VALUE(TRIM(LEFT('Blind Scoring Sheet'!H793,FIND("|",'Blind Scoring Sheet'!H793)-1))))</f>
        <v/>
      </c>
      <c r="G793" s="81">
        <f>IF(ISNUMBER('Blind Scoring Sheet'!J793),'Blind Scoring Sheet'!J793,VALUE(TRIM(LEFT('Blind Scoring Sheet'!J793,FIND("|",'Blind Scoring Sheet'!J793)-1))))</f>
        <v/>
      </c>
      <c r="H793" s="80">
        <f>IF(ISNUMBER(SEARCH("|",'Blind Scoring Sheet'!K793)),TRIM(LEFT('Blind Scoring Sheet'!K793,FIND("|",'Blind Scoring Sheet'!K793)-1)),TRIM('Blind Scoring Sheet'!K793))</f>
        <v/>
      </c>
    </row>
    <row r="794" ht="15" customHeight="1" s="38">
      <c r="A794" s="80">
        <f>'Blind Scoring Sheet'!A794</f>
        <v/>
      </c>
      <c r="B794" s="80">
        <f>MID(INDEX('Anonymization Key'!$B$4:$B$1003,MATCH(A794,'Anonymization Key'!$A$4:$A$1003,0)),3,2)</f>
        <v/>
      </c>
      <c r="C794" s="81">
        <f>IF(ISNUMBER('Blind Scoring Sheet'!B794),'Blind Scoring Sheet'!B794,VALUE(TRIM(LEFT('Blind Scoring Sheet'!B794,FIND("|",'Blind Scoring Sheet'!B794)-1))))</f>
        <v/>
      </c>
      <c r="D794" s="81">
        <f>IF(ISNUMBER('Blind Scoring Sheet'!D794),'Blind Scoring Sheet'!D794,VALUE(TRIM(LEFT('Blind Scoring Sheet'!D794,FIND("|",'Blind Scoring Sheet'!D794)-1))))</f>
        <v/>
      </c>
      <c r="E794" s="81">
        <f>IF(ISNUMBER('Blind Scoring Sheet'!F794),'Blind Scoring Sheet'!F794,VALUE(TRIM(LEFT('Blind Scoring Sheet'!F794,FIND("|",'Blind Scoring Sheet'!F794)-1))))</f>
        <v/>
      </c>
      <c r="F794" s="81">
        <f>IF(ISNUMBER('Blind Scoring Sheet'!H794),'Blind Scoring Sheet'!H794,VALUE(TRIM(LEFT('Blind Scoring Sheet'!H794,FIND("|",'Blind Scoring Sheet'!H794)-1))))</f>
        <v/>
      </c>
      <c r="G794" s="81">
        <f>IF(ISNUMBER('Blind Scoring Sheet'!J794),'Blind Scoring Sheet'!J794,VALUE(TRIM(LEFT('Blind Scoring Sheet'!J794,FIND("|",'Blind Scoring Sheet'!J794)-1))))</f>
        <v/>
      </c>
      <c r="H794" s="80">
        <f>IF(ISNUMBER(SEARCH("|",'Blind Scoring Sheet'!K794)),TRIM(LEFT('Blind Scoring Sheet'!K794,FIND("|",'Blind Scoring Sheet'!K794)-1)),TRIM('Blind Scoring Sheet'!K794))</f>
        <v/>
      </c>
    </row>
    <row r="795" ht="15" customHeight="1" s="38">
      <c r="A795" s="80">
        <f>'Blind Scoring Sheet'!A795</f>
        <v/>
      </c>
      <c r="B795" s="80">
        <f>MID(INDEX('Anonymization Key'!$B$4:$B$1003,MATCH(A795,'Anonymization Key'!$A$4:$A$1003,0)),3,2)</f>
        <v/>
      </c>
      <c r="C795" s="81">
        <f>IF(ISNUMBER('Blind Scoring Sheet'!B795),'Blind Scoring Sheet'!B795,VALUE(TRIM(LEFT('Blind Scoring Sheet'!B795,FIND("|",'Blind Scoring Sheet'!B795)-1))))</f>
        <v/>
      </c>
      <c r="D795" s="81">
        <f>IF(ISNUMBER('Blind Scoring Sheet'!D795),'Blind Scoring Sheet'!D795,VALUE(TRIM(LEFT('Blind Scoring Sheet'!D795,FIND("|",'Blind Scoring Sheet'!D795)-1))))</f>
        <v/>
      </c>
      <c r="E795" s="81">
        <f>IF(ISNUMBER('Blind Scoring Sheet'!F795),'Blind Scoring Sheet'!F795,VALUE(TRIM(LEFT('Blind Scoring Sheet'!F795,FIND("|",'Blind Scoring Sheet'!F795)-1))))</f>
        <v/>
      </c>
      <c r="F795" s="81">
        <f>IF(ISNUMBER('Blind Scoring Sheet'!H795),'Blind Scoring Sheet'!H795,VALUE(TRIM(LEFT('Blind Scoring Sheet'!H795,FIND("|",'Blind Scoring Sheet'!H795)-1))))</f>
        <v/>
      </c>
      <c r="G795" s="81">
        <f>IF(ISNUMBER('Blind Scoring Sheet'!J795),'Blind Scoring Sheet'!J795,VALUE(TRIM(LEFT('Blind Scoring Sheet'!J795,FIND("|",'Blind Scoring Sheet'!J795)-1))))</f>
        <v/>
      </c>
      <c r="H795" s="80">
        <f>IF(ISNUMBER(SEARCH("|",'Blind Scoring Sheet'!K795)),TRIM(LEFT('Blind Scoring Sheet'!K795,FIND("|",'Blind Scoring Sheet'!K795)-1)),TRIM('Blind Scoring Sheet'!K795))</f>
        <v/>
      </c>
    </row>
    <row r="796" ht="15" customHeight="1" s="38">
      <c r="A796" s="80">
        <f>'Blind Scoring Sheet'!A796</f>
        <v/>
      </c>
      <c r="B796" s="80">
        <f>MID(INDEX('Anonymization Key'!$B$4:$B$1003,MATCH(A796,'Anonymization Key'!$A$4:$A$1003,0)),3,2)</f>
        <v/>
      </c>
      <c r="C796" s="81">
        <f>IF(ISNUMBER('Blind Scoring Sheet'!B796),'Blind Scoring Sheet'!B796,VALUE(TRIM(LEFT('Blind Scoring Sheet'!B796,FIND("|",'Blind Scoring Sheet'!B796)-1))))</f>
        <v/>
      </c>
      <c r="D796" s="81">
        <f>IF(ISNUMBER('Blind Scoring Sheet'!D796),'Blind Scoring Sheet'!D796,VALUE(TRIM(LEFT('Blind Scoring Sheet'!D796,FIND("|",'Blind Scoring Sheet'!D796)-1))))</f>
        <v/>
      </c>
      <c r="E796" s="81">
        <f>IF(ISNUMBER('Blind Scoring Sheet'!F796),'Blind Scoring Sheet'!F796,VALUE(TRIM(LEFT('Blind Scoring Sheet'!F796,FIND("|",'Blind Scoring Sheet'!F796)-1))))</f>
        <v/>
      </c>
      <c r="F796" s="81">
        <f>IF(ISNUMBER('Blind Scoring Sheet'!H796),'Blind Scoring Sheet'!H796,VALUE(TRIM(LEFT('Blind Scoring Sheet'!H796,FIND("|",'Blind Scoring Sheet'!H796)-1))))</f>
        <v/>
      </c>
      <c r="G796" s="81">
        <f>IF(ISNUMBER('Blind Scoring Sheet'!J796),'Blind Scoring Sheet'!J796,VALUE(TRIM(LEFT('Blind Scoring Sheet'!J796,FIND("|",'Blind Scoring Sheet'!J796)-1))))</f>
        <v/>
      </c>
      <c r="H796" s="80">
        <f>IF(ISNUMBER(SEARCH("|",'Blind Scoring Sheet'!K796)),TRIM(LEFT('Blind Scoring Sheet'!K796,FIND("|",'Blind Scoring Sheet'!K796)-1)),TRIM('Blind Scoring Sheet'!K796))</f>
        <v/>
      </c>
    </row>
    <row r="797" ht="15" customHeight="1" s="38">
      <c r="A797" s="80">
        <f>'Blind Scoring Sheet'!A797</f>
        <v/>
      </c>
      <c r="B797" s="80">
        <f>MID(INDEX('Anonymization Key'!$B$4:$B$1003,MATCH(A797,'Anonymization Key'!$A$4:$A$1003,0)),3,2)</f>
        <v/>
      </c>
      <c r="C797" s="81">
        <f>IF(ISNUMBER('Blind Scoring Sheet'!B797),'Blind Scoring Sheet'!B797,VALUE(TRIM(LEFT('Blind Scoring Sheet'!B797,FIND("|",'Blind Scoring Sheet'!B797)-1))))</f>
        <v/>
      </c>
      <c r="D797" s="81">
        <f>IF(ISNUMBER('Blind Scoring Sheet'!D797),'Blind Scoring Sheet'!D797,VALUE(TRIM(LEFT('Blind Scoring Sheet'!D797,FIND("|",'Blind Scoring Sheet'!D797)-1))))</f>
        <v/>
      </c>
      <c r="E797" s="81">
        <f>IF(ISNUMBER('Blind Scoring Sheet'!F797),'Blind Scoring Sheet'!F797,VALUE(TRIM(LEFT('Blind Scoring Sheet'!F797,FIND("|",'Blind Scoring Sheet'!F797)-1))))</f>
        <v/>
      </c>
      <c r="F797" s="81">
        <f>IF(ISNUMBER('Blind Scoring Sheet'!H797),'Blind Scoring Sheet'!H797,VALUE(TRIM(LEFT('Blind Scoring Sheet'!H797,FIND("|",'Blind Scoring Sheet'!H797)-1))))</f>
        <v/>
      </c>
      <c r="G797" s="81">
        <f>IF(ISNUMBER('Blind Scoring Sheet'!J797),'Blind Scoring Sheet'!J797,VALUE(TRIM(LEFT('Blind Scoring Sheet'!J797,FIND("|",'Blind Scoring Sheet'!J797)-1))))</f>
        <v/>
      </c>
      <c r="H797" s="80">
        <f>IF(ISNUMBER(SEARCH("|",'Blind Scoring Sheet'!K797)),TRIM(LEFT('Blind Scoring Sheet'!K797,FIND("|",'Blind Scoring Sheet'!K797)-1)),TRIM('Blind Scoring Sheet'!K797))</f>
        <v/>
      </c>
    </row>
    <row r="798" ht="15" customHeight="1" s="38">
      <c r="A798" s="80">
        <f>'Blind Scoring Sheet'!A798</f>
        <v/>
      </c>
      <c r="B798" s="80">
        <f>MID(INDEX('Anonymization Key'!$B$4:$B$1003,MATCH(A798,'Anonymization Key'!$A$4:$A$1003,0)),3,2)</f>
        <v/>
      </c>
      <c r="C798" s="81">
        <f>IF(ISNUMBER('Blind Scoring Sheet'!B798),'Blind Scoring Sheet'!B798,VALUE(TRIM(LEFT('Blind Scoring Sheet'!B798,FIND("|",'Blind Scoring Sheet'!B798)-1))))</f>
        <v/>
      </c>
      <c r="D798" s="81">
        <f>IF(ISNUMBER('Blind Scoring Sheet'!D798),'Blind Scoring Sheet'!D798,VALUE(TRIM(LEFT('Blind Scoring Sheet'!D798,FIND("|",'Blind Scoring Sheet'!D798)-1))))</f>
        <v/>
      </c>
      <c r="E798" s="81">
        <f>IF(ISNUMBER('Blind Scoring Sheet'!F798),'Blind Scoring Sheet'!F798,VALUE(TRIM(LEFT('Blind Scoring Sheet'!F798,FIND("|",'Blind Scoring Sheet'!F798)-1))))</f>
        <v/>
      </c>
      <c r="F798" s="81">
        <f>IF(ISNUMBER('Blind Scoring Sheet'!H798),'Blind Scoring Sheet'!H798,VALUE(TRIM(LEFT('Blind Scoring Sheet'!H798,FIND("|",'Blind Scoring Sheet'!H798)-1))))</f>
        <v/>
      </c>
      <c r="G798" s="81">
        <f>IF(ISNUMBER('Blind Scoring Sheet'!J798),'Blind Scoring Sheet'!J798,VALUE(TRIM(LEFT('Blind Scoring Sheet'!J798,FIND("|",'Blind Scoring Sheet'!J798)-1))))</f>
        <v/>
      </c>
      <c r="H798" s="80">
        <f>IF(ISNUMBER(SEARCH("|",'Blind Scoring Sheet'!K798)),TRIM(LEFT('Blind Scoring Sheet'!K798,FIND("|",'Blind Scoring Sheet'!K798)-1)),TRIM('Blind Scoring Sheet'!K798))</f>
        <v/>
      </c>
    </row>
    <row r="799" ht="15" customHeight="1" s="38">
      <c r="A799" s="80">
        <f>'Blind Scoring Sheet'!A799</f>
        <v/>
      </c>
      <c r="B799" s="80">
        <f>MID(INDEX('Anonymization Key'!$B$4:$B$1003,MATCH(A799,'Anonymization Key'!$A$4:$A$1003,0)),3,2)</f>
        <v/>
      </c>
      <c r="C799" s="81">
        <f>IF(ISNUMBER('Blind Scoring Sheet'!B799),'Blind Scoring Sheet'!B799,VALUE(TRIM(LEFT('Blind Scoring Sheet'!B799,FIND("|",'Blind Scoring Sheet'!B799)-1))))</f>
        <v/>
      </c>
      <c r="D799" s="81">
        <f>IF(ISNUMBER('Blind Scoring Sheet'!D799),'Blind Scoring Sheet'!D799,VALUE(TRIM(LEFT('Blind Scoring Sheet'!D799,FIND("|",'Blind Scoring Sheet'!D799)-1))))</f>
        <v/>
      </c>
      <c r="E799" s="81">
        <f>IF(ISNUMBER('Blind Scoring Sheet'!F799),'Blind Scoring Sheet'!F799,VALUE(TRIM(LEFT('Blind Scoring Sheet'!F799,FIND("|",'Blind Scoring Sheet'!F799)-1))))</f>
        <v/>
      </c>
      <c r="F799" s="81">
        <f>IF(ISNUMBER('Blind Scoring Sheet'!H799),'Blind Scoring Sheet'!H799,VALUE(TRIM(LEFT('Blind Scoring Sheet'!H799,FIND("|",'Blind Scoring Sheet'!H799)-1))))</f>
        <v/>
      </c>
      <c r="G799" s="81">
        <f>IF(ISNUMBER('Blind Scoring Sheet'!J799),'Blind Scoring Sheet'!J799,VALUE(TRIM(LEFT('Blind Scoring Sheet'!J799,FIND("|",'Blind Scoring Sheet'!J799)-1))))</f>
        <v/>
      </c>
      <c r="H799" s="80">
        <f>IF(ISNUMBER(SEARCH("|",'Blind Scoring Sheet'!K799)),TRIM(LEFT('Blind Scoring Sheet'!K799,FIND("|",'Blind Scoring Sheet'!K799)-1)),TRIM('Blind Scoring Sheet'!K799))</f>
        <v/>
      </c>
    </row>
    <row r="800" ht="15" customHeight="1" s="38">
      <c r="A800" s="80">
        <f>'Blind Scoring Sheet'!A800</f>
        <v/>
      </c>
      <c r="B800" s="80">
        <f>MID(INDEX('Anonymization Key'!$B$4:$B$1003,MATCH(A800,'Anonymization Key'!$A$4:$A$1003,0)),3,2)</f>
        <v/>
      </c>
      <c r="C800" s="81">
        <f>IF(ISNUMBER('Blind Scoring Sheet'!B800),'Blind Scoring Sheet'!B800,VALUE(TRIM(LEFT('Blind Scoring Sheet'!B800,FIND("|",'Blind Scoring Sheet'!B800)-1))))</f>
        <v/>
      </c>
      <c r="D800" s="81">
        <f>IF(ISNUMBER('Blind Scoring Sheet'!D800),'Blind Scoring Sheet'!D800,VALUE(TRIM(LEFT('Blind Scoring Sheet'!D800,FIND("|",'Blind Scoring Sheet'!D800)-1))))</f>
        <v/>
      </c>
      <c r="E800" s="81">
        <f>IF(ISNUMBER('Blind Scoring Sheet'!F800),'Blind Scoring Sheet'!F800,VALUE(TRIM(LEFT('Blind Scoring Sheet'!F800,FIND("|",'Blind Scoring Sheet'!F800)-1))))</f>
        <v/>
      </c>
      <c r="F800" s="81">
        <f>IF(ISNUMBER('Blind Scoring Sheet'!H800),'Blind Scoring Sheet'!H800,VALUE(TRIM(LEFT('Blind Scoring Sheet'!H800,FIND("|",'Blind Scoring Sheet'!H800)-1))))</f>
        <v/>
      </c>
      <c r="G800" s="81">
        <f>IF(ISNUMBER('Blind Scoring Sheet'!J800),'Blind Scoring Sheet'!J800,VALUE(TRIM(LEFT('Blind Scoring Sheet'!J800,FIND("|",'Blind Scoring Sheet'!J800)-1))))</f>
        <v/>
      </c>
      <c r="H800" s="80">
        <f>IF(ISNUMBER(SEARCH("|",'Blind Scoring Sheet'!K800)),TRIM(LEFT('Blind Scoring Sheet'!K800,FIND("|",'Blind Scoring Sheet'!K800)-1)),TRIM('Blind Scoring Sheet'!K800))</f>
        <v/>
      </c>
    </row>
    <row r="801" ht="15" customHeight="1" s="38">
      <c r="A801" s="80">
        <f>'Blind Scoring Sheet'!A801</f>
        <v/>
      </c>
      <c r="B801" s="80">
        <f>MID(INDEX('Anonymization Key'!$B$4:$B$1003,MATCH(A801,'Anonymization Key'!$A$4:$A$1003,0)),3,2)</f>
        <v/>
      </c>
      <c r="C801" s="81">
        <f>IF(ISNUMBER('Blind Scoring Sheet'!B801),'Blind Scoring Sheet'!B801,VALUE(TRIM(LEFT('Blind Scoring Sheet'!B801,FIND("|",'Blind Scoring Sheet'!B801)-1))))</f>
        <v/>
      </c>
      <c r="D801" s="81">
        <f>IF(ISNUMBER('Blind Scoring Sheet'!D801),'Blind Scoring Sheet'!D801,VALUE(TRIM(LEFT('Blind Scoring Sheet'!D801,FIND("|",'Blind Scoring Sheet'!D801)-1))))</f>
        <v/>
      </c>
      <c r="E801" s="81">
        <f>IF(ISNUMBER('Blind Scoring Sheet'!F801),'Blind Scoring Sheet'!F801,VALUE(TRIM(LEFT('Blind Scoring Sheet'!F801,FIND("|",'Blind Scoring Sheet'!F801)-1))))</f>
        <v/>
      </c>
      <c r="F801" s="81">
        <f>IF(ISNUMBER('Blind Scoring Sheet'!H801),'Blind Scoring Sheet'!H801,VALUE(TRIM(LEFT('Blind Scoring Sheet'!H801,FIND("|",'Blind Scoring Sheet'!H801)-1))))</f>
        <v/>
      </c>
      <c r="G801" s="81">
        <f>IF(ISNUMBER('Blind Scoring Sheet'!J801),'Blind Scoring Sheet'!J801,VALUE(TRIM(LEFT('Blind Scoring Sheet'!J801,FIND("|",'Blind Scoring Sheet'!J801)-1))))</f>
        <v/>
      </c>
      <c r="H801" s="80">
        <f>IF(ISNUMBER(SEARCH("|",'Blind Scoring Sheet'!K801)),TRIM(LEFT('Blind Scoring Sheet'!K801,FIND("|",'Blind Scoring Sheet'!K801)-1)),TRIM('Blind Scoring Sheet'!K801))</f>
        <v/>
      </c>
    </row>
    <row r="802" ht="15" customHeight="1" s="38">
      <c r="A802" s="80">
        <f>'Blind Scoring Sheet'!A802</f>
        <v/>
      </c>
      <c r="B802" s="80">
        <f>MID(INDEX('Anonymization Key'!$B$4:$B$1003,MATCH(A802,'Anonymization Key'!$A$4:$A$1003,0)),3,2)</f>
        <v/>
      </c>
      <c r="C802" s="81">
        <f>IF(ISNUMBER('Blind Scoring Sheet'!B802),'Blind Scoring Sheet'!B802,VALUE(TRIM(LEFT('Blind Scoring Sheet'!B802,FIND("|",'Blind Scoring Sheet'!B802)-1))))</f>
        <v/>
      </c>
      <c r="D802" s="81">
        <f>IF(ISNUMBER('Blind Scoring Sheet'!D802),'Blind Scoring Sheet'!D802,VALUE(TRIM(LEFT('Blind Scoring Sheet'!D802,FIND("|",'Blind Scoring Sheet'!D802)-1))))</f>
        <v/>
      </c>
      <c r="E802" s="81">
        <f>IF(ISNUMBER('Blind Scoring Sheet'!F802),'Blind Scoring Sheet'!F802,VALUE(TRIM(LEFT('Blind Scoring Sheet'!F802,FIND("|",'Blind Scoring Sheet'!F802)-1))))</f>
        <v/>
      </c>
      <c r="F802" s="81">
        <f>IF(ISNUMBER('Blind Scoring Sheet'!H802),'Blind Scoring Sheet'!H802,VALUE(TRIM(LEFT('Blind Scoring Sheet'!H802,FIND("|",'Blind Scoring Sheet'!H802)-1))))</f>
        <v/>
      </c>
      <c r="G802" s="81">
        <f>IF(ISNUMBER('Blind Scoring Sheet'!J802),'Blind Scoring Sheet'!J802,VALUE(TRIM(LEFT('Blind Scoring Sheet'!J802,FIND("|",'Blind Scoring Sheet'!J802)-1))))</f>
        <v/>
      </c>
      <c r="H802" s="80">
        <f>IF(ISNUMBER(SEARCH("|",'Blind Scoring Sheet'!K802)),TRIM(LEFT('Blind Scoring Sheet'!K802,FIND("|",'Blind Scoring Sheet'!K802)-1)),TRIM('Blind Scoring Sheet'!K802))</f>
        <v/>
      </c>
    </row>
    <row r="803" ht="15" customHeight="1" s="38">
      <c r="A803" s="80">
        <f>'Blind Scoring Sheet'!A803</f>
        <v/>
      </c>
      <c r="B803" s="80">
        <f>MID(INDEX('Anonymization Key'!$B$4:$B$1003,MATCH(A803,'Anonymization Key'!$A$4:$A$1003,0)),3,2)</f>
        <v/>
      </c>
      <c r="C803" s="81">
        <f>IF(ISNUMBER('Blind Scoring Sheet'!B803),'Blind Scoring Sheet'!B803,VALUE(TRIM(LEFT('Blind Scoring Sheet'!B803,FIND("|",'Blind Scoring Sheet'!B803)-1))))</f>
        <v/>
      </c>
      <c r="D803" s="81">
        <f>IF(ISNUMBER('Blind Scoring Sheet'!D803),'Blind Scoring Sheet'!D803,VALUE(TRIM(LEFT('Blind Scoring Sheet'!D803,FIND("|",'Blind Scoring Sheet'!D803)-1))))</f>
        <v/>
      </c>
      <c r="E803" s="81">
        <f>IF(ISNUMBER('Blind Scoring Sheet'!F803),'Blind Scoring Sheet'!F803,VALUE(TRIM(LEFT('Blind Scoring Sheet'!F803,FIND("|",'Blind Scoring Sheet'!F803)-1))))</f>
        <v/>
      </c>
      <c r="F803" s="81">
        <f>IF(ISNUMBER('Blind Scoring Sheet'!H803),'Blind Scoring Sheet'!H803,VALUE(TRIM(LEFT('Blind Scoring Sheet'!H803,FIND("|",'Blind Scoring Sheet'!H803)-1))))</f>
        <v/>
      </c>
      <c r="G803" s="81">
        <f>IF(ISNUMBER('Blind Scoring Sheet'!J803),'Blind Scoring Sheet'!J803,VALUE(TRIM(LEFT('Blind Scoring Sheet'!J803,FIND("|",'Blind Scoring Sheet'!J803)-1))))</f>
        <v/>
      </c>
      <c r="H803" s="80">
        <f>IF(ISNUMBER(SEARCH("|",'Blind Scoring Sheet'!K803)),TRIM(LEFT('Blind Scoring Sheet'!K803,FIND("|",'Blind Scoring Sheet'!K803)-1)),TRIM('Blind Scoring Sheet'!K803))</f>
        <v/>
      </c>
    </row>
    <row r="804" ht="15" customHeight="1" s="38">
      <c r="A804" s="80">
        <f>'Blind Scoring Sheet'!A804</f>
        <v/>
      </c>
      <c r="B804" s="80">
        <f>MID(INDEX('Anonymization Key'!$B$4:$B$1003,MATCH(A804,'Anonymization Key'!$A$4:$A$1003,0)),3,2)</f>
        <v/>
      </c>
      <c r="C804" s="81">
        <f>IF(ISNUMBER('Blind Scoring Sheet'!B804),'Blind Scoring Sheet'!B804,VALUE(TRIM(LEFT('Blind Scoring Sheet'!B804,FIND("|",'Blind Scoring Sheet'!B804)-1))))</f>
        <v/>
      </c>
      <c r="D804" s="81">
        <f>IF(ISNUMBER('Blind Scoring Sheet'!D804),'Blind Scoring Sheet'!D804,VALUE(TRIM(LEFT('Blind Scoring Sheet'!D804,FIND("|",'Blind Scoring Sheet'!D804)-1))))</f>
        <v/>
      </c>
      <c r="E804" s="81">
        <f>IF(ISNUMBER('Blind Scoring Sheet'!F804),'Blind Scoring Sheet'!F804,VALUE(TRIM(LEFT('Blind Scoring Sheet'!F804,FIND("|",'Blind Scoring Sheet'!F804)-1))))</f>
        <v/>
      </c>
      <c r="F804" s="81">
        <f>IF(ISNUMBER('Blind Scoring Sheet'!H804),'Blind Scoring Sheet'!H804,VALUE(TRIM(LEFT('Blind Scoring Sheet'!H804,FIND("|",'Blind Scoring Sheet'!H804)-1))))</f>
        <v/>
      </c>
      <c r="G804" s="81">
        <f>IF(ISNUMBER('Blind Scoring Sheet'!J804),'Blind Scoring Sheet'!J804,VALUE(TRIM(LEFT('Blind Scoring Sheet'!J804,FIND("|",'Blind Scoring Sheet'!J804)-1))))</f>
        <v/>
      </c>
      <c r="H804" s="80">
        <f>IF(ISNUMBER(SEARCH("|",'Blind Scoring Sheet'!K804)),TRIM(LEFT('Blind Scoring Sheet'!K804,FIND("|",'Blind Scoring Sheet'!K804)-1)),TRIM('Blind Scoring Sheet'!K804))</f>
        <v/>
      </c>
    </row>
    <row r="805" ht="15" customHeight="1" s="38">
      <c r="A805" s="80">
        <f>'Blind Scoring Sheet'!A805</f>
        <v/>
      </c>
      <c r="B805" s="80">
        <f>MID(INDEX('Anonymization Key'!$B$4:$B$1003,MATCH(A805,'Anonymization Key'!$A$4:$A$1003,0)),3,2)</f>
        <v/>
      </c>
      <c r="C805" s="81">
        <f>IF(ISNUMBER('Blind Scoring Sheet'!B805),'Blind Scoring Sheet'!B805,VALUE(TRIM(LEFT('Blind Scoring Sheet'!B805,FIND("|",'Blind Scoring Sheet'!B805)-1))))</f>
        <v/>
      </c>
      <c r="D805" s="81">
        <f>IF(ISNUMBER('Blind Scoring Sheet'!D805),'Blind Scoring Sheet'!D805,VALUE(TRIM(LEFT('Blind Scoring Sheet'!D805,FIND("|",'Blind Scoring Sheet'!D805)-1))))</f>
        <v/>
      </c>
      <c r="E805" s="81">
        <f>IF(ISNUMBER('Blind Scoring Sheet'!F805),'Blind Scoring Sheet'!F805,VALUE(TRIM(LEFT('Blind Scoring Sheet'!F805,FIND("|",'Blind Scoring Sheet'!F805)-1))))</f>
        <v/>
      </c>
      <c r="F805" s="81">
        <f>IF(ISNUMBER('Blind Scoring Sheet'!H805),'Blind Scoring Sheet'!H805,VALUE(TRIM(LEFT('Blind Scoring Sheet'!H805,FIND("|",'Blind Scoring Sheet'!H805)-1))))</f>
        <v/>
      </c>
      <c r="G805" s="81">
        <f>IF(ISNUMBER('Blind Scoring Sheet'!J805),'Blind Scoring Sheet'!J805,VALUE(TRIM(LEFT('Blind Scoring Sheet'!J805,FIND("|",'Blind Scoring Sheet'!J805)-1))))</f>
        <v/>
      </c>
      <c r="H805" s="80">
        <f>IF(ISNUMBER(SEARCH("|",'Blind Scoring Sheet'!K805)),TRIM(LEFT('Blind Scoring Sheet'!K805,FIND("|",'Blind Scoring Sheet'!K805)-1)),TRIM('Blind Scoring Sheet'!K805))</f>
        <v/>
      </c>
    </row>
    <row r="806" ht="15" customHeight="1" s="38">
      <c r="A806" s="80">
        <f>'Blind Scoring Sheet'!A806</f>
        <v/>
      </c>
      <c r="B806" s="80">
        <f>MID(INDEX('Anonymization Key'!$B$4:$B$1003,MATCH(A806,'Anonymization Key'!$A$4:$A$1003,0)),3,2)</f>
        <v/>
      </c>
      <c r="C806" s="81">
        <f>IF(ISNUMBER('Blind Scoring Sheet'!B806),'Blind Scoring Sheet'!B806,VALUE(TRIM(LEFT('Blind Scoring Sheet'!B806,FIND("|",'Blind Scoring Sheet'!B806)-1))))</f>
        <v/>
      </c>
      <c r="D806" s="81">
        <f>IF(ISNUMBER('Blind Scoring Sheet'!D806),'Blind Scoring Sheet'!D806,VALUE(TRIM(LEFT('Blind Scoring Sheet'!D806,FIND("|",'Blind Scoring Sheet'!D806)-1))))</f>
        <v/>
      </c>
      <c r="E806" s="81">
        <f>IF(ISNUMBER('Blind Scoring Sheet'!F806),'Blind Scoring Sheet'!F806,VALUE(TRIM(LEFT('Blind Scoring Sheet'!F806,FIND("|",'Blind Scoring Sheet'!F806)-1))))</f>
        <v/>
      </c>
      <c r="F806" s="81">
        <f>IF(ISNUMBER('Blind Scoring Sheet'!H806),'Blind Scoring Sheet'!H806,VALUE(TRIM(LEFT('Blind Scoring Sheet'!H806,FIND("|",'Blind Scoring Sheet'!H806)-1))))</f>
        <v/>
      </c>
      <c r="G806" s="81">
        <f>IF(ISNUMBER('Blind Scoring Sheet'!J806),'Blind Scoring Sheet'!J806,VALUE(TRIM(LEFT('Blind Scoring Sheet'!J806,FIND("|",'Blind Scoring Sheet'!J806)-1))))</f>
        <v/>
      </c>
      <c r="H806" s="80">
        <f>IF(ISNUMBER(SEARCH("|",'Blind Scoring Sheet'!K806)),TRIM(LEFT('Blind Scoring Sheet'!K806,FIND("|",'Blind Scoring Sheet'!K806)-1)),TRIM('Blind Scoring Sheet'!K806))</f>
        <v/>
      </c>
    </row>
    <row r="807" ht="15" customHeight="1" s="38">
      <c r="A807" s="80">
        <f>'Blind Scoring Sheet'!A807</f>
        <v/>
      </c>
      <c r="B807" s="80">
        <f>MID(INDEX('Anonymization Key'!$B$4:$B$1003,MATCH(A807,'Anonymization Key'!$A$4:$A$1003,0)),3,2)</f>
        <v/>
      </c>
      <c r="C807" s="81">
        <f>IF(ISNUMBER('Blind Scoring Sheet'!B807),'Blind Scoring Sheet'!B807,VALUE(TRIM(LEFT('Blind Scoring Sheet'!B807,FIND("|",'Blind Scoring Sheet'!B807)-1))))</f>
        <v/>
      </c>
      <c r="D807" s="81">
        <f>IF(ISNUMBER('Blind Scoring Sheet'!D807),'Blind Scoring Sheet'!D807,VALUE(TRIM(LEFT('Blind Scoring Sheet'!D807,FIND("|",'Blind Scoring Sheet'!D807)-1))))</f>
        <v/>
      </c>
      <c r="E807" s="81">
        <f>IF(ISNUMBER('Blind Scoring Sheet'!F807),'Blind Scoring Sheet'!F807,VALUE(TRIM(LEFT('Blind Scoring Sheet'!F807,FIND("|",'Blind Scoring Sheet'!F807)-1))))</f>
        <v/>
      </c>
      <c r="F807" s="81">
        <f>IF(ISNUMBER('Blind Scoring Sheet'!H807),'Blind Scoring Sheet'!H807,VALUE(TRIM(LEFT('Blind Scoring Sheet'!H807,FIND("|",'Blind Scoring Sheet'!H807)-1))))</f>
        <v/>
      </c>
      <c r="G807" s="81">
        <f>IF(ISNUMBER('Blind Scoring Sheet'!J807),'Blind Scoring Sheet'!J807,VALUE(TRIM(LEFT('Blind Scoring Sheet'!J807,FIND("|",'Blind Scoring Sheet'!J807)-1))))</f>
        <v/>
      </c>
      <c r="H807" s="80">
        <f>IF(ISNUMBER(SEARCH("|",'Blind Scoring Sheet'!K807)),TRIM(LEFT('Blind Scoring Sheet'!K807,FIND("|",'Blind Scoring Sheet'!K807)-1)),TRIM('Blind Scoring Sheet'!K807))</f>
        <v/>
      </c>
    </row>
    <row r="808" ht="15" customHeight="1" s="38">
      <c r="A808" s="80">
        <f>'Blind Scoring Sheet'!A808</f>
        <v/>
      </c>
      <c r="B808" s="80">
        <f>MID(INDEX('Anonymization Key'!$B$4:$B$1003,MATCH(A808,'Anonymization Key'!$A$4:$A$1003,0)),3,2)</f>
        <v/>
      </c>
      <c r="C808" s="81">
        <f>IF(ISNUMBER('Blind Scoring Sheet'!B808),'Blind Scoring Sheet'!B808,VALUE(TRIM(LEFT('Blind Scoring Sheet'!B808,FIND("|",'Blind Scoring Sheet'!B808)-1))))</f>
        <v/>
      </c>
      <c r="D808" s="81">
        <f>IF(ISNUMBER('Blind Scoring Sheet'!D808),'Blind Scoring Sheet'!D808,VALUE(TRIM(LEFT('Blind Scoring Sheet'!D808,FIND("|",'Blind Scoring Sheet'!D808)-1))))</f>
        <v/>
      </c>
      <c r="E808" s="81">
        <f>IF(ISNUMBER('Blind Scoring Sheet'!F808),'Blind Scoring Sheet'!F808,VALUE(TRIM(LEFT('Blind Scoring Sheet'!F808,FIND("|",'Blind Scoring Sheet'!F808)-1))))</f>
        <v/>
      </c>
      <c r="F808" s="81">
        <f>IF(ISNUMBER('Blind Scoring Sheet'!H808),'Blind Scoring Sheet'!H808,VALUE(TRIM(LEFT('Blind Scoring Sheet'!H808,FIND("|",'Blind Scoring Sheet'!H808)-1))))</f>
        <v/>
      </c>
      <c r="G808" s="81">
        <f>IF(ISNUMBER('Blind Scoring Sheet'!J808),'Blind Scoring Sheet'!J808,VALUE(TRIM(LEFT('Blind Scoring Sheet'!J808,FIND("|",'Blind Scoring Sheet'!J808)-1))))</f>
        <v/>
      </c>
      <c r="H808" s="80">
        <f>IF(ISNUMBER(SEARCH("|",'Blind Scoring Sheet'!K808)),TRIM(LEFT('Blind Scoring Sheet'!K808,FIND("|",'Blind Scoring Sheet'!K808)-1)),TRIM('Blind Scoring Sheet'!K808))</f>
        <v/>
      </c>
    </row>
    <row r="809" ht="15" customHeight="1" s="38">
      <c r="A809" s="80">
        <f>'Blind Scoring Sheet'!A809</f>
        <v/>
      </c>
      <c r="B809" s="80">
        <f>MID(INDEX('Anonymization Key'!$B$4:$B$1003,MATCH(A809,'Anonymization Key'!$A$4:$A$1003,0)),3,2)</f>
        <v/>
      </c>
      <c r="C809" s="81">
        <f>IF(ISNUMBER('Blind Scoring Sheet'!B809),'Blind Scoring Sheet'!B809,VALUE(TRIM(LEFT('Blind Scoring Sheet'!B809,FIND("|",'Blind Scoring Sheet'!B809)-1))))</f>
        <v/>
      </c>
      <c r="D809" s="81">
        <f>IF(ISNUMBER('Blind Scoring Sheet'!D809),'Blind Scoring Sheet'!D809,VALUE(TRIM(LEFT('Blind Scoring Sheet'!D809,FIND("|",'Blind Scoring Sheet'!D809)-1))))</f>
        <v/>
      </c>
      <c r="E809" s="81">
        <f>IF(ISNUMBER('Blind Scoring Sheet'!F809),'Blind Scoring Sheet'!F809,VALUE(TRIM(LEFT('Blind Scoring Sheet'!F809,FIND("|",'Blind Scoring Sheet'!F809)-1))))</f>
        <v/>
      </c>
      <c r="F809" s="81">
        <f>IF(ISNUMBER('Blind Scoring Sheet'!H809),'Blind Scoring Sheet'!H809,VALUE(TRIM(LEFT('Blind Scoring Sheet'!H809,FIND("|",'Blind Scoring Sheet'!H809)-1))))</f>
        <v/>
      </c>
      <c r="G809" s="81">
        <f>IF(ISNUMBER('Blind Scoring Sheet'!J809),'Blind Scoring Sheet'!J809,VALUE(TRIM(LEFT('Blind Scoring Sheet'!J809,FIND("|",'Blind Scoring Sheet'!J809)-1))))</f>
        <v/>
      </c>
      <c r="H809" s="80">
        <f>IF(ISNUMBER(SEARCH("|",'Blind Scoring Sheet'!K809)),TRIM(LEFT('Blind Scoring Sheet'!K809,FIND("|",'Blind Scoring Sheet'!K809)-1)),TRIM('Blind Scoring Sheet'!K809))</f>
        <v/>
      </c>
    </row>
    <row r="810" ht="15" customHeight="1" s="38">
      <c r="A810" s="80">
        <f>'Blind Scoring Sheet'!A810</f>
        <v/>
      </c>
      <c r="B810" s="80">
        <f>MID(INDEX('Anonymization Key'!$B$4:$B$1003,MATCH(A810,'Anonymization Key'!$A$4:$A$1003,0)),3,2)</f>
        <v/>
      </c>
      <c r="C810" s="81">
        <f>IF(ISNUMBER('Blind Scoring Sheet'!B810),'Blind Scoring Sheet'!B810,VALUE(TRIM(LEFT('Blind Scoring Sheet'!B810,FIND("|",'Blind Scoring Sheet'!B810)-1))))</f>
        <v/>
      </c>
      <c r="D810" s="81">
        <f>IF(ISNUMBER('Blind Scoring Sheet'!D810),'Blind Scoring Sheet'!D810,VALUE(TRIM(LEFT('Blind Scoring Sheet'!D810,FIND("|",'Blind Scoring Sheet'!D810)-1))))</f>
        <v/>
      </c>
      <c r="E810" s="81">
        <f>IF(ISNUMBER('Blind Scoring Sheet'!F810),'Blind Scoring Sheet'!F810,VALUE(TRIM(LEFT('Blind Scoring Sheet'!F810,FIND("|",'Blind Scoring Sheet'!F810)-1))))</f>
        <v/>
      </c>
      <c r="F810" s="81">
        <f>IF(ISNUMBER('Blind Scoring Sheet'!H810),'Blind Scoring Sheet'!H810,VALUE(TRIM(LEFT('Blind Scoring Sheet'!H810,FIND("|",'Blind Scoring Sheet'!H810)-1))))</f>
        <v/>
      </c>
      <c r="G810" s="81">
        <f>IF(ISNUMBER('Blind Scoring Sheet'!J810),'Blind Scoring Sheet'!J810,VALUE(TRIM(LEFT('Blind Scoring Sheet'!J810,FIND("|",'Blind Scoring Sheet'!J810)-1))))</f>
        <v/>
      </c>
      <c r="H810" s="80">
        <f>IF(ISNUMBER(SEARCH("|",'Blind Scoring Sheet'!K810)),TRIM(LEFT('Blind Scoring Sheet'!K810,FIND("|",'Blind Scoring Sheet'!K810)-1)),TRIM('Blind Scoring Sheet'!K810))</f>
        <v/>
      </c>
    </row>
    <row r="811" ht="15" customHeight="1" s="38">
      <c r="A811" s="80">
        <f>'Blind Scoring Sheet'!A811</f>
        <v/>
      </c>
      <c r="B811" s="80">
        <f>MID(INDEX('Anonymization Key'!$B$4:$B$1003,MATCH(A811,'Anonymization Key'!$A$4:$A$1003,0)),3,2)</f>
        <v/>
      </c>
      <c r="C811" s="81">
        <f>IF(ISNUMBER('Blind Scoring Sheet'!B811),'Blind Scoring Sheet'!B811,VALUE(TRIM(LEFT('Blind Scoring Sheet'!B811,FIND("|",'Blind Scoring Sheet'!B811)-1))))</f>
        <v/>
      </c>
      <c r="D811" s="81">
        <f>IF(ISNUMBER('Blind Scoring Sheet'!D811),'Blind Scoring Sheet'!D811,VALUE(TRIM(LEFT('Blind Scoring Sheet'!D811,FIND("|",'Blind Scoring Sheet'!D811)-1))))</f>
        <v/>
      </c>
      <c r="E811" s="81">
        <f>IF(ISNUMBER('Blind Scoring Sheet'!F811),'Blind Scoring Sheet'!F811,VALUE(TRIM(LEFT('Blind Scoring Sheet'!F811,FIND("|",'Blind Scoring Sheet'!F811)-1))))</f>
        <v/>
      </c>
      <c r="F811" s="81">
        <f>IF(ISNUMBER('Blind Scoring Sheet'!H811),'Blind Scoring Sheet'!H811,VALUE(TRIM(LEFT('Blind Scoring Sheet'!H811,FIND("|",'Blind Scoring Sheet'!H811)-1))))</f>
        <v/>
      </c>
      <c r="G811" s="81">
        <f>IF(ISNUMBER('Blind Scoring Sheet'!J811),'Blind Scoring Sheet'!J811,VALUE(TRIM(LEFT('Blind Scoring Sheet'!J811,FIND("|",'Blind Scoring Sheet'!J811)-1))))</f>
        <v/>
      </c>
      <c r="H811" s="80">
        <f>IF(ISNUMBER(SEARCH("|",'Blind Scoring Sheet'!K811)),TRIM(LEFT('Blind Scoring Sheet'!K811,FIND("|",'Blind Scoring Sheet'!K811)-1)),TRIM('Blind Scoring Sheet'!K811))</f>
        <v/>
      </c>
    </row>
    <row r="812" ht="15" customHeight="1" s="38">
      <c r="A812" s="80">
        <f>'Blind Scoring Sheet'!A812</f>
        <v/>
      </c>
      <c r="B812" s="80">
        <f>MID(INDEX('Anonymization Key'!$B$4:$B$1003,MATCH(A812,'Anonymization Key'!$A$4:$A$1003,0)),3,2)</f>
        <v/>
      </c>
      <c r="C812" s="81">
        <f>IF(ISNUMBER('Blind Scoring Sheet'!B812),'Blind Scoring Sheet'!B812,VALUE(TRIM(LEFT('Blind Scoring Sheet'!B812,FIND("|",'Blind Scoring Sheet'!B812)-1))))</f>
        <v/>
      </c>
      <c r="D812" s="81">
        <f>IF(ISNUMBER('Blind Scoring Sheet'!D812),'Blind Scoring Sheet'!D812,VALUE(TRIM(LEFT('Blind Scoring Sheet'!D812,FIND("|",'Blind Scoring Sheet'!D812)-1))))</f>
        <v/>
      </c>
      <c r="E812" s="81">
        <f>IF(ISNUMBER('Blind Scoring Sheet'!F812),'Blind Scoring Sheet'!F812,VALUE(TRIM(LEFT('Blind Scoring Sheet'!F812,FIND("|",'Blind Scoring Sheet'!F812)-1))))</f>
        <v/>
      </c>
      <c r="F812" s="81">
        <f>IF(ISNUMBER('Blind Scoring Sheet'!H812),'Blind Scoring Sheet'!H812,VALUE(TRIM(LEFT('Blind Scoring Sheet'!H812,FIND("|",'Blind Scoring Sheet'!H812)-1))))</f>
        <v/>
      </c>
      <c r="G812" s="81">
        <f>IF(ISNUMBER('Blind Scoring Sheet'!J812),'Blind Scoring Sheet'!J812,VALUE(TRIM(LEFT('Blind Scoring Sheet'!J812,FIND("|",'Blind Scoring Sheet'!J812)-1))))</f>
        <v/>
      </c>
      <c r="H812" s="80">
        <f>IF(ISNUMBER(SEARCH("|",'Blind Scoring Sheet'!K812)),TRIM(LEFT('Blind Scoring Sheet'!K812,FIND("|",'Blind Scoring Sheet'!K812)-1)),TRIM('Blind Scoring Sheet'!K812))</f>
        <v/>
      </c>
    </row>
    <row r="813" ht="15" customHeight="1" s="38">
      <c r="A813" s="80">
        <f>'Blind Scoring Sheet'!A813</f>
        <v/>
      </c>
      <c r="B813" s="80">
        <f>MID(INDEX('Anonymization Key'!$B$4:$B$1003,MATCH(A813,'Anonymization Key'!$A$4:$A$1003,0)),3,2)</f>
        <v/>
      </c>
      <c r="C813" s="81">
        <f>IF(ISNUMBER('Blind Scoring Sheet'!B813),'Blind Scoring Sheet'!B813,VALUE(TRIM(LEFT('Blind Scoring Sheet'!B813,FIND("|",'Blind Scoring Sheet'!B813)-1))))</f>
        <v/>
      </c>
      <c r="D813" s="81">
        <f>IF(ISNUMBER('Blind Scoring Sheet'!D813),'Blind Scoring Sheet'!D813,VALUE(TRIM(LEFT('Blind Scoring Sheet'!D813,FIND("|",'Blind Scoring Sheet'!D813)-1))))</f>
        <v/>
      </c>
      <c r="E813" s="81">
        <f>IF(ISNUMBER('Blind Scoring Sheet'!F813),'Blind Scoring Sheet'!F813,VALUE(TRIM(LEFT('Blind Scoring Sheet'!F813,FIND("|",'Blind Scoring Sheet'!F813)-1))))</f>
        <v/>
      </c>
      <c r="F813" s="81">
        <f>IF(ISNUMBER('Blind Scoring Sheet'!H813),'Blind Scoring Sheet'!H813,VALUE(TRIM(LEFT('Blind Scoring Sheet'!H813,FIND("|",'Blind Scoring Sheet'!H813)-1))))</f>
        <v/>
      </c>
      <c r="G813" s="81">
        <f>IF(ISNUMBER('Blind Scoring Sheet'!J813),'Blind Scoring Sheet'!J813,VALUE(TRIM(LEFT('Blind Scoring Sheet'!J813,FIND("|",'Blind Scoring Sheet'!J813)-1))))</f>
        <v/>
      </c>
      <c r="H813" s="80">
        <f>IF(ISNUMBER(SEARCH("|",'Blind Scoring Sheet'!K813)),TRIM(LEFT('Blind Scoring Sheet'!K813,FIND("|",'Blind Scoring Sheet'!K813)-1)),TRIM('Blind Scoring Sheet'!K813))</f>
        <v/>
      </c>
    </row>
    <row r="814" ht="15" customHeight="1" s="38">
      <c r="A814" s="80">
        <f>'Blind Scoring Sheet'!A814</f>
        <v/>
      </c>
      <c r="B814" s="80">
        <f>MID(INDEX('Anonymization Key'!$B$4:$B$1003,MATCH(A814,'Anonymization Key'!$A$4:$A$1003,0)),3,2)</f>
        <v/>
      </c>
      <c r="C814" s="81">
        <f>IF(ISNUMBER('Blind Scoring Sheet'!B814),'Blind Scoring Sheet'!B814,VALUE(TRIM(LEFT('Blind Scoring Sheet'!B814,FIND("|",'Blind Scoring Sheet'!B814)-1))))</f>
        <v/>
      </c>
      <c r="D814" s="81">
        <f>IF(ISNUMBER('Blind Scoring Sheet'!D814),'Blind Scoring Sheet'!D814,VALUE(TRIM(LEFT('Blind Scoring Sheet'!D814,FIND("|",'Blind Scoring Sheet'!D814)-1))))</f>
        <v/>
      </c>
      <c r="E814" s="81">
        <f>IF(ISNUMBER('Blind Scoring Sheet'!F814),'Blind Scoring Sheet'!F814,VALUE(TRIM(LEFT('Blind Scoring Sheet'!F814,FIND("|",'Blind Scoring Sheet'!F814)-1))))</f>
        <v/>
      </c>
      <c r="F814" s="81">
        <f>IF(ISNUMBER('Blind Scoring Sheet'!H814),'Blind Scoring Sheet'!H814,VALUE(TRIM(LEFT('Blind Scoring Sheet'!H814,FIND("|",'Blind Scoring Sheet'!H814)-1))))</f>
        <v/>
      </c>
      <c r="G814" s="81">
        <f>IF(ISNUMBER('Blind Scoring Sheet'!J814),'Blind Scoring Sheet'!J814,VALUE(TRIM(LEFT('Blind Scoring Sheet'!J814,FIND("|",'Blind Scoring Sheet'!J814)-1))))</f>
        <v/>
      </c>
      <c r="H814" s="80">
        <f>IF(ISNUMBER(SEARCH("|",'Blind Scoring Sheet'!K814)),TRIM(LEFT('Blind Scoring Sheet'!K814,FIND("|",'Blind Scoring Sheet'!K814)-1)),TRIM('Blind Scoring Sheet'!K814))</f>
        <v/>
      </c>
    </row>
    <row r="815" ht="15" customHeight="1" s="38">
      <c r="A815" s="80">
        <f>'Blind Scoring Sheet'!A815</f>
        <v/>
      </c>
      <c r="B815" s="80">
        <f>MID(INDEX('Anonymization Key'!$B$4:$B$1003,MATCH(A815,'Anonymization Key'!$A$4:$A$1003,0)),3,2)</f>
        <v/>
      </c>
      <c r="C815" s="81">
        <f>IF(ISNUMBER('Blind Scoring Sheet'!B815),'Blind Scoring Sheet'!B815,VALUE(TRIM(LEFT('Blind Scoring Sheet'!B815,FIND("|",'Blind Scoring Sheet'!B815)-1))))</f>
        <v/>
      </c>
      <c r="D815" s="81">
        <f>IF(ISNUMBER('Blind Scoring Sheet'!D815),'Blind Scoring Sheet'!D815,VALUE(TRIM(LEFT('Blind Scoring Sheet'!D815,FIND("|",'Blind Scoring Sheet'!D815)-1))))</f>
        <v/>
      </c>
      <c r="E815" s="81">
        <f>IF(ISNUMBER('Blind Scoring Sheet'!F815),'Blind Scoring Sheet'!F815,VALUE(TRIM(LEFT('Blind Scoring Sheet'!F815,FIND("|",'Blind Scoring Sheet'!F815)-1))))</f>
        <v/>
      </c>
      <c r="F815" s="81">
        <f>IF(ISNUMBER('Blind Scoring Sheet'!H815),'Blind Scoring Sheet'!H815,VALUE(TRIM(LEFT('Blind Scoring Sheet'!H815,FIND("|",'Blind Scoring Sheet'!H815)-1))))</f>
        <v/>
      </c>
      <c r="G815" s="81">
        <f>IF(ISNUMBER('Blind Scoring Sheet'!J815),'Blind Scoring Sheet'!J815,VALUE(TRIM(LEFT('Blind Scoring Sheet'!J815,FIND("|",'Blind Scoring Sheet'!J815)-1))))</f>
        <v/>
      </c>
      <c r="H815" s="80">
        <f>IF(ISNUMBER(SEARCH("|",'Blind Scoring Sheet'!K815)),TRIM(LEFT('Blind Scoring Sheet'!K815,FIND("|",'Blind Scoring Sheet'!K815)-1)),TRIM('Blind Scoring Sheet'!K815))</f>
        <v/>
      </c>
    </row>
    <row r="816" ht="15" customHeight="1" s="38">
      <c r="A816" s="80">
        <f>'Blind Scoring Sheet'!A816</f>
        <v/>
      </c>
      <c r="B816" s="80">
        <f>MID(INDEX('Anonymization Key'!$B$4:$B$1003,MATCH(A816,'Anonymization Key'!$A$4:$A$1003,0)),3,2)</f>
        <v/>
      </c>
      <c r="C816" s="81">
        <f>IF(ISNUMBER('Blind Scoring Sheet'!B816),'Blind Scoring Sheet'!B816,VALUE(TRIM(LEFT('Blind Scoring Sheet'!B816,FIND("|",'Blind Scoring Sheet'!B816)-1))))</f>
        <v/>
      </c>
      <c r="D816" s="81">
        <f>IF(ISNUMBER('Blind Scoring Sheet'!D816),'Blind Scoring Sheet'!D816,VALUE(TRIM(LEFT('Blind Scoring Sheet'!D816,FIND("|",'Blind Scoring Sheet'!D816)-1))))</f>
        <v/>
      </c>
      <c r="E816" s="81">
        <f>IF(ISNUMBER('Blind Scoring Sheet'!F816),'Blind Scoring Sheet'!F816,VALUE(TRIM(LEFT('Blind Scoring Sheet'!F816,FIND("|",'Blind Scoring Sheet'!F816)-1))))</f>
        <v/>
      </c>
      <c r="F816" s="81">
        <f>IF(ISNUMBER('Blind Scoring Sheet'!H816),'Blind Scoring Sheet'!H816,VALUE(TRIM(LEFT('Blind Scoring Sheet'!H816,FIND("|",'Blind Scoring Sheet'!H816)-1))))</f>
        <v/>
      </c>
      <c r="G816" s="81">
        <f>IF(ISNUMBER('Blind Scoring Sheet'!J816),'Blind Scoring Sheet'!J816,VALUE(TRIM(LEFT('Blind Scoring Sheet'!J816,FIND("|",'Blind Scoring Sheet'!J816)-1))))</f>
        <v/>
      </c>
      <c r="H816" s="80">
        <f>IF(ISNUMBER(SEARCH("|",'Blind Scoring Sheet'!K816)),TRIM(LEFT('Blind Scoring Sheet'!K816,FIND("|",'Blind Scoring Sheet'!K816)-1)),TRIM('Blind Scoring Sheet'!K816))</f>
        <v/>
      </c>
    </row>
    <row r="817" ht="15" customHeight="1" s="38">
      <c r="A817" s="80">
        <f>'Blind Scoring Sheet'!A817</f>
        <v/>
      </c>
      <c r="B817" s="80">
        <f>MID(INDEX('Anonymization Key'!$B$4:$B$1003,MATCH(A817,'Anonymization Key'!$A$4:$A$1003,0)),3,2)</f>
        <v/>
      </c>
      <c r="C817" s="81">
        <f>IF(ISNUMBER('Blind Scoring Sheet'!B817),'Blind Scoring Sheet'!B817,VALUE(TRIM(LEFT('Blind Scoring Sheet'!B817,FIND("|",'Blind Scoring Sheet'!B817)-1))))</f>
        <v/>
      </c>
      <c r="D817" s="81">
        <f>IF(ISNUMBER('Blind Scoring Sheet'!D817),'Blind Scoring Sheet'!D817,VALUE(TRIM(LEFT('Blind Scoring Sheet'!D817,FIND("|",'Blind Scoring Sheet'!D817)-1))))</f>
        <v/>
      </c>
      <c r="E817" s="81">
        <f>IF(ISNUMBER('Blind Scoring Sheet'!F817),'Blind Scoring Sheet'!F817,VALUE(TRIM(LEFT('Blind Scoring Sheet'!F817,FIND("|",'Blind Scoring Sheet'!F817)-1))))</f>
        <v/>
      </c>
      <c r="F817" s="81">
        <f>IF(ISNUMBER('Blind Scoring Sheet'!H817),'Blind Scoring Sheet'!H817,VALUE(TRIM(LEFT('Blind Scoring Sheet'!H817,FIND("|",'Blind Scoring Sheet'!H817)-1))))</f>
        <v/>
      </c>
      <c r="G817" s="81">
        <f>IF(ISNUMBER('Blind Scoring Sheet'!J817),'Blind Scoring Sheet'!J817,VALUE(TRIM(LEFT('Blind Scoring Sheet'!J817,FIND("|",'Blind Scoring Sheet'!J817)-1))))</f>
        <v/>
      </c>
      <c r="H817" s="80">
        <f>IF(ISNUMBER(SEARCH("|",'Blind Scoring Sheet'!K817)),TRIM(LEFT('Blind Scoring Sheet'!K817,FIND("|",'Blind Scoring Sheet'!K817)-1)),TRIM('Blind Scoring Sheet'!K817))</f>
        <v/>
      </c>
    </row>
    <row r="818" ht="15" customHeight="1" s="38">
      <c r="A818" s="80">
        <f>'Blind Scoring Sheet'!A818</f>
        <v/>
      </c>
      <c r="B818" s="80">
        <f>MID(INDEX('Anonymization Key'!$B$4:$B$1003,MATCH(A818,'Anonymization Key'!$A$4:$A$1003,0)),3,2)</f>
        <v/>
      </c>
      <c r="C818" s="81">
        <f>IF(ISNUMBER('Blind Scoring Sheet'!B818),'Blind Scoring Sheet'!B818,VALUE(TRIM(LEFT('Blind Scoring Sheet'!B818,FIND("|",'Blind Scoring Sheet'!B818)-1))))</f>
        <v/>
      </c>
      <c r="D818" s="81">
        <f>IF(ISNUMBER('Blind Scoring Sheet'!D818),'Blind Scoring Sheet'!D818,VALUE(TRIM(LEFT('Blind Scoring Sheet'!D818,FIND("|",'Blind Scoring Sheet'!D818)-1))))</f>
        <v/>
      </c>
      <c r="E818" s="81">
        <f>IF(ISNUMBER('Blind Scoring Sheet'!F818),'Blind Scoring Sheet'!F818,VALUE(TRIM(LEFT('Blind Scoring Sheet'!F818,FIND("|",'Blind Scoring Sheet'!F818)-1))))</f>
        <v/>
      </c>
      <c r="F818" s="81">
        <f>IF(ISNUMBER('Blind Scoring Sheet'!H818),'Blind Scoring Sheet'!H818,VALUE(TRIM(LEFT('Blind Scoring Sheet'!H818,FIND("|",'Blind Scoring Sheet'!H818)-1))))</f>
        <v/>
      </c>
      <c r="G818" s="81">
        <f>IF(ISNUMBER('Blind Scoring Sheet'!J818),'Blind Scoring Sheet'!J818,VALUE(TRIM(LEFT('Blind Scoring Sheet'!J818,FIND("|",'Blind Scoring Sheet'!J818)-1))))</f>
        <v/>
      </c>
      <c r="H818" s="80">
        <f>IF(ISNUMBER(SEARCH("|",'Blind Scoring Sheet'!K818)),TRIM(LEFT('Blind Scoring Sheet'!K818,FIND("|",'Blind Scoring Sheet'!K818)-1)),TRIM('Blind Scoring Sheet'!K818))</f>
        <v/>
      </c>
    </row>
    <row r="819" ht="15" customHeight="1" s="38">
      <c r="A819" s="80">
        <f>'Blind Scoring Sheet'!A819</f>
        <v/>
      </c>
      <c r="B819" s="80">
        <f>MID(INDEX('Anonymization Key'!$B$4:$B$1003,MATCH(A819,'Anonymization Key'!$A$4:$A$1003,0)),3,2)</f>
        <v/>
      </c>
      <c r="C819" s="81">
        <f>IF(ISNUMBER('Blind Scoring Sheet'!B819),'Blind Scoring Sheet'!B819,VALUE(TRIM(LEFT('Blind Scoring Sheet'!B819,FIND("|",'Blind Scoring Sheet'!B819)-1))))</f>
        <v/>
      </c>
      <c r="D819" s="81">
        <f>IF(ISNUMBER('Blind Scoring Sheet'!D819),'Blind Scoring Sheet'!D819,VALUE(TRIM(LEFT('Blind Scoring Sheet'!D819,FIND("|",'Blind Scoring Sheet'!D819)-1))))</f>
        <v/>
      </c>
      <c r="E819" s="81">
        <f>IF(ISNUMBER('Blind Scoring Sheet'!F819),'Blind Scoring Sheet'!F819,VALUE(TRIM(LEFT('Blind Scoring Sheet'!F819,FIND("|",'Blind Scoring Sheet'!F819)-1))))</f>
        <v/>
      </c>
      <c r="F819" s="81">
        <f>IF(ISNUMBER('Blind Scoring Sheet'!H819),'Blind Scoring Sheet'!H819,VALUE(TRIM(LEFT('Blind Scoring Sheet'!H819,FIND("|",'Blind Scoring Sheet'!H819)-1))))</f>
        <v/>
      </c>
      <c r="G819" s="81">
        <f>IF(ISNUMBER('Blind Scoring Sheet'!J819),'Blind Scoring Sheet'!J819,VALUE(TRIM(LEFT('Blind Scoring Sheet'!J819,FIND("|",'Blind Scoring Sheet'!J819)-1))))</f>
        <v/>
      </c>
      <c r="H819" s="80">
        <f>IF(ISNUMBER(SEARCH("|",'Blind Scoring Sheet'!K819)),TRIM(LEFT('Blind Scoring Sheet'!K819,FIND("|",'Blind Scoring Sheet'!K819)-1)),TRIM('Blind Scoring Sheet'!K819))</f>
        <v/>
      </c>
    </row>
    <row r="820" ht="15" customHeight="1" s="38">
      <c r="A820" s="80">
        <f>'Blind Scoring Sheet'!A820</f>
        <v/>
      </c>
      <c r="B820" s="80">
        <f>MID(INDEX('Anonymization Key'!$B$4:$B$1003,MATCH(A820,'Anonymization Key'!$A$4:$A$1003,0)),3,2)</f>
        <v/>
      </c>
      <c r="C820" s="81">
        <f>IF(ISNUMBER('Blind Scoring Sheet'!B820),'Blind Scoring Sheet'!B820,VALUE(TRIM(LEFT('Blind Scoring Sheet'!B820,FIND("|",'Blind Scoring Sheet'!B820)-1))))</f>
        <v/>
      </c>
      <c r="D820" s="81">
        <f>IF(ISNUMBER('Blind Scoring Sheet'!D820),'Blind Scoring Sheet'!D820,VALUE(TRIM(LEFT('Blind Scoring Sheet'!D820,FIND("|",'Blind Scoring Sheet'!D820)-1))))</f>
        <v/>
      </c>
      <c r="E820" s="81">
        <f>IF(ISNUMBER('Blind Scoring Sheet'!F820),'Blind Scoring Sheet'!F820,VALUE(TRIM(LEFT('Blind Scoring Sheet'!F820,FIND("|",'Blind Scoring Sheet'!F820)-1))))</f>
        <v/>
      </c>
      <c r="F820" s="81">
        <f>IF(ISNUMBER('Blind Scoring Sheet'!H820),'Blind Scoring Sheet'!H820,VALUE(TRIM(LEFT('Blind Scoring Sheet'!H820,FIND("|",'Blind Scoring Sheet'!H820)-1))))</f>
        <v/>
      </c>
      <c r="G820" s="81">
        <f>IF(ISNUMBER('Blind Scoring Sheet'!J820),'Blind Scoring Sheet'!J820,VALUE(TRIM(LEFT('Blind Scoring Sheet'!J820,FIND("|",'Blind Scoring Sheet'!J820)-1))))</f>
        <v/>
      </c>
      <c r="H820" s="80">
        <f>IF(ISNUMBER(SEARCH("|",'Blind Scoring Sheet'!K820)),TRIM(LEFT('Blind Scoring Sheet'!K820,FIND("|",'Blind Scoring Sheet'!K820)-1)),TRIM('Blind Scoring Sheet'!K820))</f>
        <v/>
      </c>
    </row>
    <row r="821" ht="15" customHeight="1" s="38">
      <c r="A821" s="80">
        <f>'Blind Scoring Sheet'!A821</f>
        <v/>
      </c>
      <c r="B821" s="80">
        <f>MID(INDEX('Anonymization Key'!$B$4:$B$1003,MATCH(A821,'Anonymization Key'!$A$4:$A$1003,0)),3,2)</f>
        <v/>
      </c>
      <c r="C821" s="81">
        <f>IF(ISNUMBER('Blind Scoring Sheet'!B821),'Blind Scoring Sheet'!B821,VALUE(TRIM(LEFT('Blind Scoring Sheet'!B821,FIND("|",'Blind Scoring Sheet'!B821)-1))))</f>
        <v/>
      </c>
      <c r="D821" s="81">
        <f>IF(ISNUMBER('Blind Scoring Sheet'!D821),'Blind Scoring Sheet'!D821,VALUE(TRIM(LEFT('Blind Scoring Sheet'!D821,FIND("|",'Blind Scoring Sheet'!D821)-1))))</f>
        <v/>
      </c>
      <c r="E821" s="81">
        <f>IF(ISNUMBER('Blind Scoring Sheet'!F821),'Blind Scoring Sheet'!F821,VALUE(TRIM(LEFT('Blind Scoring Sheet'!F821,FIND("|",'Blind Scoring Sheet'!F821)-1))))</f>
        <v/>
      </c>
      <c r="F821" s="81">
        <f>IF(ISNUMBER('Blind Scoring Sheet'!H821),'Blind Scoring Sheet'!H821,VALUE(TRIM(LEFT('Blind Scoring Sheet'!H821,FIND("|",'Blind Scoring Sheet'!H821)-1))))</f>
        <v/>
      </c>
      <c r="G821" s="81">
        <f>IF(ISNUMBER('Blind Scoring Sheet'!J821),'Blind Scoring Sheet'!J821,VALUE(TRIM(LEFT('Blind Scoring Sheet'!J821,FIND("|",'Blind Scoring Sheet'!J821)-1))))</f>
        <v/>
      </c>
      <c r="H821" s="80">
        <f>IF(ISNUMBER(SEARCH("|",'Blind Scoring Sheet'!K821)),TRIM(LEFT('Blind Scoring Sheet'!K821,FIND("|",'Blind Scoring Sheet'!K821)-1)),TRIM('Blind Scoring Sheet'!K821))</f>
        <v/>
      </c>
    </row>
    <row r="822" ht="15" customHeight="1" s="38">
      <c r="A822" s="80">
        <f>'Blind Scoring Sheet'!A822</f>
        <v/>
      </c>
      <c r="B822" s="80">
        <f>MID(INDEX('Anonymization Key'!$B$4:$B$1003,MATCH(A822,'Anonymization Key'!$A$4:$A$1003,0)),3,2)</f>
        <v/>
      </c>
      <c r="C822" s="81">
        <f>IF(ISNUMBER('Blind Scoring Sheet'!B822),'Blind Scoring Sheet'!B822,VALUE(TRIM(LEFT('Blind Scoring Sheet'!B822,FIND("|",'Blind Scoring Sheet'!B822)-1))))</f>
        <v/>
      </c>
      <c r="D822" s="81">
        <f>IF(ISNUMBER('Blind Scoring Sheet'!D822),'Blind Scoring Sheet'!D822,VALUE(TRIM(LEFT('Blind Scoring Sheet'!D822,FIND("|",'Blind Scoring Sheet'!D822)-1))))</f>
        <v/>
      </c>
      <c r="E822" s="81">
        <f>IF(ISNUMBER('Blind Scoring Sheet'!F822),'Blind Scoring Sheet'!F822,VALUE(TRIM(LEFT('Blind Scoring Sheet'!F822,FIND("|",'Blind Scoring Sheet'!F822)-1))))</f>
        <v/>
      </c>
      <c r="F822" s="81">
        <f>IF(ISNUMBER('Blind Scoring Sheet'!H822),'Blind Scoring Sheet'!H822,VALUE(TRIM(LEFT('Blind Scoring Sheet'!H822,FIND("|",'Blind Scoring Sheet'!H822)-1))))</f>
        <v/>
      </c>
      <c r="G822" s="81">
        <f>IF(ISNUMBER('Blind Scoring Sheet'!J822),'Blind Scoring Sheet'!J822,VALUE(TRIM(LEFT('Blind Scoring Sheet'!J822,FIND("|",'Blind Scoring Sheet'!J822)-1))))</f>
        <v/>
      </c>
      <c r="H822" s="80">
        <f>IF(ISNUMBER(SEARCH("|",'Blind Scoring Sheet'!K822)),TRIM(LEFT('Blind Scoring Sheet'!K822,FIND("|",'Blind Scoring Sheet'!K822)-1)),TRIM('Blind Scoring Sheet'!K822))</f>
        <v/>
      </c>
    </row>
    <row r="823" ht="15" customHeight="1" s="38">
      <c r="A823" s="80">
        <f>'Blind Scoring Sheet'!A823</f>
        <v/>
      </c>
      <c r="B823" s="80">
        <f>MID(INDEX('Anonymization Key'!$B$4:$B$1003,MATCH(A823,'Anonymization Key'!$A$4:$A$1003,0)),3,2)</f>
        <v/>
      </c>
      <c r="C823" s="81">
        <f>IF(ISNUMBER('Blind Scoring Sheet'!B823),'Blind Scoring Sheet'!B823,VALUE(TRIM(LEFT('Blind Scoring Sheet'!B823,FIND("|",'Blind Scoring Sheet'!B823)-1))))</f>
        <v/>
      </c>
      <c r="D823" s="81">
        <f>IF(ISNUMBER('Blind Scoring Sheet'!D823),'Blind Scoring Sheet'!D823,VALUE(TRIM(LEFT('Blind Scoring Sheet'!D823,FIND("|",'Blind Scoring Sheet'!D823)-1))))</f>
        <v/>
      </c>
      <c r="E823" s="81">
        <f>IF(ISNUMBER('Blind Scoring Sheet'!F823),'Blind Scoring Sheet'!F823,VALUE(TRIM(LEFT('Blind Scoring Sheet'!F823,FIND("|",'Blind Scoring Sheet'!F823)-1))))</f>
        <v/>
      </c>
      <c r="F823" s="81">
        <f>IF(ISNUMBER('Blind Scoring Sheet'!H823),'Blind Scoring Sheet'!H823,VALUE(TRIM(LEFT('Blind Scoring Sheet'!H823,FIND("|",'Blind Scoring Sheet'!H823)-1))))</f>
        <v/>
      </c>
      <c r="G823" s="81">
        <f>IF(ISNUMBER('Blind Scoring Sheet'!J823),'Blind Scoring Sheet'!J823,VALUE(TRIM(LEFT('Blind Scoring Sheet'!J823,FIND("|",'Blind Scoring Sheet'!J823)-1))))</f>
        <v/>
      </c>
      <c r="H823" s="80">
        <f>IF(ISNUMBER(SEARCH("|",'Blind Scoring Sheet'!K823)),TRIM(LEFT('Blind Scoring Sheet'!K823,FIND("|",'Blind Scoring Sheet'!K823)-1)),TRIM('Blind Scoring Sheet'!K823))</f>
        <v/>
      </c>
    </row>
    <row r="824" ht="15" customHeight="1" s="38">
      <c r="A824" s="80">
        <f>'Blind Scoring Sheet'!A824</f>
        <v/>
      </c>
      <c r="B824" s="80">
        <f>MID(INDEX('Anonymization Key'!$B$4:$B$1003,MATCH(A824,'Anonymization Key'!$A$4:$A$1003,0)),3,2)</f>
        <v/>
      </c>
      <c r="C824" s="81">
        <f>IF(ISNUMBER('Blind Scoring Sheet'!B824),'Blind Scoring Sheet'!B824,VALUE(TRIM(LEFT('Blind Scoring Sheet'!B824,FIND("|",'Blind Scoring Sheet'!B824)-1))))</f>
        <v/>
      </c>
      <c r="D824" s="81">
        <f>IF(ISNUMBER('Blind Scoring Sheet'!D824),'Blind Scoring Sheet'!D824,VALUE(TRIM(LEFT('Blind Scoring Sheet'!D824,FIND("|",'Blind Scoring Sheet'!D824)-1))))</f>
        <v/>
      </c>
      <c r="E824" s="81">
        <f>IF(ISNUMBER('Blind Scoring Sheet'!F824),'Blind Scoring Sheet'!F824,VALUE(TRIM(LEFT('Blind Scoring Sheet'!F824,FIND("|",'Blind Scoring Sheet'!F824)-1))))</f>
        <v/>
      </c>
      <c r="F824" s="81">
        <f>IF(ISNUMBER('Blind Scoring Sheet'!H824),'Blind Scoring Sheet'!H824,VALUE(TRIM(LEFT('Blind Scoring Sheet'!H824,FIND("|",'Blind Scoring Sheet'!H824)-1))))</f>
        <v/>
      </c>
      <c r="G824" s="81">
        <f>IF(ISNUMBER('Blind Scoring Sheet'!J824),'Blind Scoring Sheet'!J824,VALUE(TRIM(LEFT('Blind Scoring Sheet'!J824,FIND("|",'Blind Scoring Sheet'!J824)-1))))</f>
        <v/>
      </c>
      <c r="H824" s="80">
        <f>IF(ISNUMBER(SEARCH("|",'Blind Scoring Sheet'!K824)),TRIM(LEFT('Blind Scoring Sheet'!K824,FIND("|",'Blind Scoring Sheet'!K824)-1)),TRIM('Blind Scoring Sheet'!K824))</f>
        <v/>
      </c>
    </row>
    <row r="825" ht="15" customHeight="1" s="38">
      <c r="A825" s="80">
        <f>'Blind Scoring Sheet'!A825</f>
        <v/>
      </c>
      <c r="B825" s="80">
        <f>MID(INDEX('Anonymization Key'!$B$4:$B$1003,MATCH(A825,'Anonymization Key'!$A$4:$A$1003,0)),3,2)</f>
        <v/>
      </c>
      <c r="C825" s="81">
        <f>IF(ISNUMBER('Blind Scoring Sheet'!B825),'Blind Scoring Sheet'!B825,VALUE(TRIM(LEFT('Blind Scoring Sheet'!B825,FIND("|",'Blind Scoring Sheet'!B825)-1))))</f>
        <v/>
      </c>
      <c r="D825" s="81">
        <f>IF(ISNUMBER('Blind Scoring Sheet'!D825),'Blind Scoring Sheet'!D825,VALUE(TRIM(LEFT('Blind Scoring Sheet'!D825,FIND("|",'Blind Scoring Sheet'!D825)-1))))</f>
        <v/>
      </c>
      <c r="E825" s="81">
        <f>IF(ISNUMBER('Blind Scoring Sheet'!F825),'Blind Scoring Sheet'!F825,VALUE(TRIM(LEFT('Blind Scoring Sheet'!F825,FIND("|",'Blind Scoring Sheet'!F825)-1))))</f>
        <v/>
      </c>
      <c r="F825" s="81">
        <f>IF(ISNUMBER('Blind Scoring Sheet'!H825),'Blind Scoring Sheet'!H825,VALUE(TRIM(LEFT('Blind Scoring Sheet'!H825,FIND("|",'Blind Scoring Sheet'!H825)-1))))</f>
        <v/>
      </c>
      <c r="G825" s="81">
        <f>IF(ISNUMBER('Blind Scoring Sheet'!J825),'Blind Scoring Sheet'!J825,VALUE(TRIM(LEFT('Blind Scoring Sheet'!J825,FIND("|",'Blind Scoring Sheet'!J825)-1))))</f>
        <v/>
      </c>
      <c r="H825" s="80">
        <f>IF(ISNUMBER(SEARCH("|",'Blind Scoring Sheet'!K825)),TRIM(LEFT('Blind Scoring Sheet'!K825,FIND("|",'Blind Scoring Sheet'!K825)-1)),TRIM('Blind Scoring Sheet'!K825))</f>
        <v/>
      </c>
    </row>
    <row r="826" ht="15" customHeight="1" s="38">
      <c r="A826" s="80">
        <f>'Blind Scoring Sheet'!A826</f>
        <v/>
      </c>
      <c r="B826" s="80">
        <f>MID(INDEX('Anonymization Key'!$B$4:$B$1003,MATCH(A826,'Anonymization Key'!$A$4:$A$1003,0)),3,2)</f>
        <v/>
      </c>
      <c r="C826" s="81">
        <f>IF(ISNUMBER('Blind Scoring Sheet'!B826),'Blind Scoring Sheet'!B826,VALUE(TRIM(LEFT('Blind Scoring Sheet'!B826,FIND("|",'Blind Scoring Sheet'!B826)-1))))</f>
        <v/>
      </c>
      <c r="D826" s="81">
        <f>IF(ISNUMBER('Blind Scoring Sheet'!D826),'Blind Scoring Sheet'!D826,VALUE(TRIM(LEFT('Blind Scoring Sheet'!D826,FIND("|",'Blind Scoring Sheet'!D826)-1))))</f>
        <v/>
      </c>
      <c r="E826" s="81">
        <f>IF(ISNUMBER('Blind Scoring Sheet'!F826),'Blind Scoring Sheet'!F826,VALUE(TRIM(LEFT('Blind Scoring Sheet'!F826,FIND("|",'Blind Scoring Sheet'!F826)-1))))</f>
        <v/>
      </c>
      <c r="F826" s="81">
        <f>IF(ISNUMBER('Blind Scoring Sheet'!H826),'Blind Scoring Sheet'!H826,VALUE(TRIM(LEFT('Blind Scoring Sheet'!H826,FIND("|",'Blind Scoring Sheet'!H826)-1))))</f>
        <v/>
      </c>
      <c r="G826" s="81">
        <f>IF(ISNUMBER('Blind Scoring Sheet'!J826),'Blind Scoring Sheet'!J826,VALUE(TRIM(LEFT('Blind Scoring Sheet'!J826,FIND("|",'Blind Scoring Sheet'!J826)-1))))</f>
        <v/>
      </c>
      <c r="H826" s="80">
        <f>IF(ISNUMBER(SEARCH("|",'Blind Scoring Sheet'!K826)),TRIM(LEFT('Blind Scoring Sheet'!K826,FIND("|",'Blind Scoring Sheet'!K826)-1)),TRIM('Blind Scoring Sheet'!K826))</f>
        <v/>
      </c>
    </row>
    <row r="827" ht="15" customHeight="1" s="38">
      <c r="A827" s="80">
        <f>'Blind Scoring Sheet'!A827</f>
        <v/>
      </c>
      <c r="B827" s="80">
        <f>MID(INDEX('Anonymization Key'!$B$4:$B$1003,MATCH(A827,'Anonymization Key'!$A$4:$A$1003,0)),3,2)</f>
        <v/>
      </c>
      <c r="C827" s="81">
        <f>IF(ISNUMBER('Blind Scoring Sheet'!B827),'Blind Scoring Sheet'!B827,VALUE(TRIM(LEFT('Blind Scoring Sheet'!B827,FIND("|",'Blind Scoring Sheet'!B827)-1))))</f>
        <v/>
      </c>
      <c r="D827" s="81">
        <f>IF(ISNUMBER('Blind Scoring Sheet'!D827),'Blind Scoring Sheet'!D827,VALUE(TRIM(LEFT('Blind Scoring Sheet'!D827,FIND("|",'Blind Scoring Sheet'!D827)-1))))</f>
        <v/>
      </c>
      <c r="E827" s="81">
        <f>IF(ISNUMBER('Blind Scoring Sheet'!F827),'Blind Scoring Sheet'!F827,VALUE(TRIM(LEFT('Blind Scoring Sheet'!F827,FIND("|",'Blind Scoring Sheet'!F827)-1))))</f>
        <v/>
      </c>
      <c r="F827" s="81">
        <f>IF(ISNUMBER('Blind Scoring Sheet'!H827),'Blind Scoring Sheet'!H827,VALUE(TRIM(LEFT('Blind Scoring Sheet'!H827,FIND("|",'Blind Scoring Sheet'!H827)-1))))</f>
        <v/>
      </c>
      <c r="G827" s="81">
        <f>IF(ISNUMBER('Blind Scoring Sheet'!J827),'Blind Scoring Sheet'!J827,VALUE(TRIM(LEFT('Blind Scoring Sheet'!J827,FIND("|",'Blind Scoring Sheet'!J827)-1))))</f>
        <v/>
      </c>
      <c r="H827" s="80">
        <f>IF(ISNUMBER(SEARCH("|",'Blind Scoring Sheet'!K827)),TRIM(LEFT('Blind Scoring Sheet'!K827,FIND("|",'Blind Scoring Sheet'!K827)-1)),TRIM('Blind Scoring Sheet'!K827))</f>
        <v/>
      </c>
    </row>
    <row r="828" ht="15" customHeight="1" s="38">
      <c r="A828" s="80">
        <f>'Blind Scoring Sheet'!A828</f>
        <v/>
      </c>
      <c r="B828" s="80">
        <f>MID(INDEX('Anonymization Key'!$B$4:$B$1003,MATCH(A828,'Anonymization Key'!$A$4:$A$1003,0)),3,2)</f>
        <v/>
      </c>
      <c r="C828" s="81">
        <f>IF(ISNUMBER('Blind Scoring Sheet'!B828),'Blind Scoring Sheet'!B828,VALUE(TRIM(LEFT('Blind Scoring Sheet'!B828,FIND("|",'Blind Scoring Sheet'!B828)-1))))</f>
        <v/>
      </c>
      <c r="D828" s="81">
        <f>IF(ISNUMBER('Blind Scoring Sheet'!D828),'Blind Scoring Sheet'!D828,VALUE(TRIM(LEFT('Blind Scoring Sheet'!D828,FIND("|",'Blind Scoring Sheet'!D828)-1))))</f>
        <v/>
      </c>
      <c r="E828" s="81">
        <f>IF(ISNUMBER('Blind Scoring Sheet'!F828),'Blind Scoring Sheet'!F828,VALUE(TRIM(LEFT('Blind Scoring Sheet'!F828,FIND("|",'Blind Scoring Sheet'!F828)-1))))</f>
        <v/>
      </c>
      <c r="F828" s="81">
        <f>IF(ISNUMBER('Blind Scoring Sheet'!H828),'Blind Scoring Sheet'!H828,VALUE(TRIM(LEFT('Blind Scoring Sheet'!H828,FIND("|",'Blind Scoring Sheet'!H828)-1))))</f>
        <v/>
      </c>
      <c r="G828" s="81">
        <f>IF(ISNUMBER('Blind Scoring Sheet'!J828),'Blind Scoring Sheet'!J828,VALUE(TRIM(LEFT('Blind Scoring Sheet'!J828,FIND("|",'Blind Scoring Sheet'!J828)-1))))</f>
        <v/>
      </c>
      <c r="H828" s="80">
        <f>IF(ISNUMBER(SEARCH("|",'Blind Scoring Sheet'!K828)),TRIM(LEFT('Blind Scoring Sheet'!K828,FIND("|",'Blind Scoring Sheet'!K828)-1)),TRIM('Blind Scoring Sheet'!K828))</f>
        <v/>
      </c>
    </row>
    <row r="829" ht="15" customHeight="1" s="38">
      <c r="A829" s="80">
        <f>'Blind Scoring Sheet'!A829</f>
        <v/>
      </c>
      <c r="B829" s="80">
        <f>MID(INDEX('Anonymization Key'!$B$4:$B$1003,MATCH(A829,'Anonymization Key'!$A$4:$A$1003,0)),3,2)</f>
        <v/>
      </c>
      <c r="C829" s="81">
        <f>IF(ISNUMBER('Blind Scoring Sheet'!B829),'Blind Scoring Sheet'!B829,VALUE(TRIM(LEFT('Blind Scoring Sheet'!B829,FIND("|",'Blind Scoring Sheet'!B829)-1))))</f>
        <v/>
      </c>
      <c r="D829" s="81">
        <f>IF(ISNUMBER('Blind Scoring Sheet'!D829),'Blind Scoring Sheet'!D829,VALUE(TRIM(LEFT('Blind Scoring Sheet'!D829,FIND("|",'Blind Scoring Sheet'!D829)-1))))</f>
        <v/>
      </c>
      <c r="E829" s="81">
        <f>IF(ISNUMBER('Blind Scoring Sheet'!F829),'Blind Scoring Sheet'!F829,VALUE(TRIM(LEFT('Blind Scoring Sheet'!F829,FIND("|",'Blind Scoring Sheet'!F829)-1))))</f>
        <v/>
      </c>
      <c r="F829" s="81">
        <f>IF(ISNUMBER('Blind Scoring Sheet'!H829),'Blind Scoring Sheet'!H829,VALUE(TRIM(LEFT('Blind Scoring Sheet'!H829,FIND("|",'Blind Scoring Sheet'!H829)-1))))</f>
        <v/>
      </c>
      <c r="G829" s="81">
        <f>IF(ISNUMBER('Blind Scoring Sheet'!J829),'Blind Scoring Sheet'!J829,VALUE(TRIM(LEFT('Blind Scoring Sheet'!J829,FIND("|",'Blind Scoring Sheet'!J829)-1))))</f>
        <v/>
      </c>
      <c r="H829" s="80">
        <f>IF(ISNUMBER(SEARCH("|",'Blind Scoring Sheet'!K829)),TRIM(LEFT('Blind Scoring Sheet'!K829,FIND("|",'Blind Scoring Sheet'!K829)-1)),TRIM('Blind Scoring Sheet'!K829))</f>
        <v/>
      </c>
    </row>
    <row r="830" ht="15" customHeight="1" s="38">
      <c r="A830" s="80">
        <f>'Blind Scoring Sheet'!A830</f>
        <v/>
      </c>
      <c r="B830" s="80">
        <f>MID(INDEX('Anonymization Key'!$B$4:$B$1003,MATCH(A830,'Anonymization Key'!$A$4:$A$1003,0)),3,2)</f>
        <v/>
      </c>
      <c r="C830" s="81">
        <f>IF(ISNUMBER('Blind Scoring Sheet'!B830),'Blind Scoring Sheet'!B830,VALUE(TRIM(LEFT('Blind Scoring Sheet'!B830,FIND("|",'Blind Scoring Sheet'!B830)-1))))</f>
        <v/>
      </c>
      <c r="D830" s="81">
        <f>IF(ISNUMBER('Blind Scoring Sheet'!D830),'Blind Scoring Sheet'!D830,VALUE(TRIM(LEFT('Blind Scoring Sheet'!D830,FIND("|",'Blind Scoring Sheet'!D830)-1))))</f>
        <v/>
      </c>
      <c r="E830" s="81">
        <f>IF(ISNUMBER('Blind Scoring Sheet'!F830),'Blind Scoring Sheet'!F830,VALUE(TRIM(LEFT('Blind Scoring Sheet'!F830,FIND("|",'Blind Scoring Sheet'!F830)-1))))</f>
        <v/>
      </c>
      <c r="F830" s="81">
        <f>IF(ISNUMBER('Blind Scoring Sheet'!H830),'Blind Scoring Sheet'!H830,VALUE(TRIM(LEFT('Blind Scoring Sheet'!H830,FIND("|",'Blind Scoring Sheet'!H830)-1))))</f>
        <v/>
      </c>
      <c r="G830" s="81">
        <f>IF(ISNUMBER('Blind Scoring Sheet'!J830),'Blind Scoring Sheet'!J830,VALUE(TRIM(LEFT('Blind Scoring Sheet'!J830,FIND("|",'Blind Scoring Sheet'!J830)-1))))</f>
        <v/>
      </c>
      <c r="H830" s="80">
        <f>IF(ISNUMBER(SEARCH("|",'Blind Scoring Sheet'!K830)),TRIM(LEFT('Blind Scoring Sheet'!K830,FIND("|",'Blind Scoring Sheet'!K830)-1)),TRIM('Blind Scoring Sheet'!K830))</f>
        <v/>
      </c>
    </row>
    <row r="831" ht="15" customHeight="1" s="38">
      <c r="A831" s="80">
        <f>'Blind Scoring Sheet'!A831</f>
        <v/>
      </c>
      <c r="B831" s="80">
        <f>MID(INDEX('Anonymization Key'!$B$4:$B$1003,MATCH(A831,'Anonymization Key'!$A$4:$A$1003,0)),3,2)</f>
        <v/>
      </c>
      <c r="C831" s="81">
        <f>IF(ISNUMBER('Blind Scoring Sheet'!B831),'Blind Scoring Sheet'!B831,VALUE(TRIM(LEFT('Blind Scoring Sheet'!B831,FIND("|",'Blind Scoring Sheet'!B831)-1))))</f>
        <v/>
      </c>
      <c r="D831" s="81">
        <f>IF(ISNUMBER('Blind Scoring Sheet'!D831),'Blind Scoring Sheet'!D831,VALUE(TRIM(LEFT('Blind Scoring Sheet'!D831,FIND("|",'Blind Scoring Sheet'!D831)-1))))</f>
        <v/>
      </c>
      <c r="E831" s="81">
        <f>IF(ISNUMBER('Blind Scoring Sheet'!F831),'Blind Scoring Sheet'!F831,VALUE(TRIM(LEFT('Blind Scoring Sheet'!F831,FIND("|",'Blind Scoring Sheet'!F831)-1))))</f>
        <v/>
      </c>
      <c r="F831" s="81">
        <f>IF(ISNUMBER('Blind Scoring Sheet'!H831),'Blind Scoring Sheet'!H831,VALUE(TRIM(LEFT('Blind Scoring Sheet'!H831,FIND("|",'Blind Scoring Sheet'!H831)-1))))</f>
        <v/>
      </c>
      <c r="G831" s="81">
        <f>IF(ISNUMBER('Blind Scoring Sheet'!J831),'Blind Scoring Sheet'!J831,VALUE(TRIM(LEFT('Blind Scoring Sheet'!J831,FIND("|",'Blind Scoring Sheet'!J831)-1))))</f>
        <v/>
      </c>
      <c r="H831" s="80">
        <f>IF(ISNUMBER(SEARCH("|",'Blind Scoring Sheet'!K831)),TRIM(LEFT('Blind Scoring Sheet'!K831,FIND("|",'Blind Scoring Sheet'!K831)-1)),TRIM('Blind Scoring Sheet'!K831))</f>
        <v/>
      </c>
    </row>
    <row r="832" ht="15" customHeight="1" s="38">
      <c r="A832" s="80">
        <f>'Blind Scoring Sheet'!A832</f>
        <v/>
      </c>
      <c r="B832" s="80">
        <f>MID(INDEX('Anonymization Key'!$B$4:$B$1003,MATCH(A832,'Anonymization Key'!$A$4:$A$1003,0)),3,2)</f>
        <v/>
      </c>
      <c r="C832" s="81">
        <f>IF(ISNUMBER('Blind Scoring Sheet'!B832),'Blind Scoring Sheet'!B832,VALUE(TRIM(LEFT('Blind Scoring Sheet'!B832,FIND("|",'Blind Scoring Sheet'!B832)-1))))</f>
        <v/>
      </c>
      <c r="D832" s="81">
        <f>IF(ISNUMBER('Blind Scoring Sheet'!D832),'Blind Scoring Sheet'!D832,VALUE(TRIM(LEFT('Blind Scoring Sheet'!D832,FIND("|",'Blind Scoring Sheet'!D832)-1))))</f>
        <v/>
      </c>
      <c r="E832" s="81">
        <f>IF(ISNUMBER('Blind Scoring Sheet'!F832),'Blind Scoring Sheet'!F832,VALUE(TRIM(LEFT('Blind Scoring Sheet'!F832,FIND("|",'Blind Scoring Sheet'!F832)-1))))</f>
        <v/>
      </c>
      <c r="F832" s="81">
        <f>IF(ISNUMBER('Blind Scoring Sheet'!H832),'Blind Scoring Sheet'!H832,VALUE(TRIM(LEFT('Blind Scoring Sheet'!H832,FIND("|",'Blind Scoring Sheet'!H832)-1))))</f>
        <v/>
      </c>
      <c r="G832" s="81">
        <f>IF(ISNUMBER('Blind Scoring Sheet'!J832),'Blind Scoring Sheet'!J832,VALUE(TRIM(LEFT('Blind Scoring Sheet'!J832,FIND("|",'Blind Scoring Sheet'!J832)-1))))</f>
        <v/>
      </c>
      <c r="H832" s="80">
        <f>IF(ISNUMBER(SEARCH("|",'Blind Scoring Sheet'!K832)),TRIM(LEFT('Blind Scoring Sheet'!K832,FIND("|",'Blind Scoring Sheet'!K832)-1)),TRIM('Blind Scoring Sheet'!K832))</f>
        <v/>
      </c>
    </row>
    <row r="833" ht="15" customHeight="1" s="38">
      <c r="A833" s="80">
        <f>'Blind Scoring Sheet'!A833</f>
        <v/>
      </c>
      <c r="B833" s="80">
        <f>MID(INDEX('Anonymization Key'!$B$4:$B$1003,MATCH(A833,'Anonymization Key'!$A$4:$A$1003,0)),3,2)</f>
        <v/>
      </c>
      <c r="C833" s="81">
        <f>IF(ISNUMBER('Blind Scoring Sheet'!B833),'Blind Scoring Sheet'!B833,VALUE(TRIM(LEFT('Blind Scoring Sheet'!B833,FIND("|",'Blind Scoring Sheet'!B833)-1))))</f>
        <v/>
      </c>
      <c r="D833" s="81">
        <f>IF(ISNUMBER('Blind Scoring Sheet'!D833),'Blind Scoring Sheet'!D833,VALUE(TRIM(LEFT('Blind Scoring Sheet'!D833,FIND("|",'Blind Scoring Sheet'!D833)-1))))</f>
        <v/>
      </c>
      <c r="E833" s="81">
        <f>IF(ISNUMBER('Blind Scoring Sheet'!F833),'Blind Scoring Sheet'!F833,VALUE(TRIM(LEFT('Blind Scoring Sheet'!F833,FIND("|",'Blind Scoring Sheet'!F833)-1))))</f>
        <v/>
      </c>
      <c r="F833" s="81">
        <f>IF(ISNUMBER('Blind Scoring Sheet'!H833),'Blind Scoring Sheet'!H833,VALUE(TRIM(LEFT('Blind Scoring Sheet'!H833,FIND("|",'Blind Scoring Sheet'!H833)-1))))</f>
        <v/>
      </c>
      <c r="G833" s="81">
        <f>IF(ISNUMBER('Blind Scoring Sheet'!J833),'Blind Scoring Sheet'!J833,VALUE(TRIM(LEFT('Blind Scoring Sheet'!J833,FIND("|",'Blind Scoring Sheet'!J833)-1))))</f>
        <v/>
      </c>
      <c r="H833" s="80">
        <f>IF(ISNUMBER(SEARCH("|",'Blind Scoring Sheet'!K833)),TRIM(LEFT('Blind Scoring Sheet'!K833,FIND("|",'Blind Scoring Sheet'!K833)-1)),TRIM('Blind Scoring Sheet'!K833))</f>
        <v/>
      </c>
    </row>
    <row r="834" ht="15" customHeight="1" s="38">
      <c r="A834" s="80">
        <f>'Blind Scoring Sheet'!A834</f>
        <v/>
      </c>
      <c r="B834" s="80">
        <f>MID(INDEX('Anonymization Key'!$B$4:$B$1003,MATCH(A834,'Anonymization Key'!$A$4:$A$1003,0)),3,2)</f>
        <v/>
      </c>
      <c r="C834" s="81">
        <f>IF(ISNUMBER('Blind Scoring Sheet'!B834),'Blind Scoring Sheet'!B834,VALUE(TRIM(LEFT('Blind Scoring Sheet'!B834,FIND("|",'Blind Scoring Sheet'!B834)-1))))</f>
        <v/>
      </c>
      <c r="D834" s="81">
        <f>IF(ISNUMBER('Blind Scoring Sheet'!D834),'Blind Scoring Sheet'!D834,VALUE(TRIM(LEFT('Blind Scoring Sheet'!D834,FIND("|",'Blind Scoring Sheet'!D834)-1))))</f>
        <v/>
      </c>
      <c r="E834" s="81">
        <f>IF(ISNUMBER('Blind Scoring Sheet'!F834),'Blind Scoring Sheet'!F834,VALUE(TRIM(LEFT('Blind Scoring Sheet'!F834,FIND("|",'Blind Scoring Sheet'!F834)-1))))</f>
        <v/>
      </c>
      <c r="F834" s="81">
        <f>IF(ISNUMBER('Blind Scoring Sheet'!H834),'Blind Scoring Sheet'!H834,VALUE(TRIM(LEFT('Blind Scoring Sheet'!H834,FIND("|",'Blind Scoring Sheet'!H834)-1))))</f>
        <v/>
      </c>
      <c r="G834" s="81">
        <f>IF(ISNUMBER('Blind Scoring Sheet'!J834),'Blind Scoring Sheet'!J834,VALUE(TRIM(LEFT('Blind Scoring Sheet'!J834,FIND("|",'Blind Scoring Sheet'!J834)-1))))</f>
        <v/>
      </c>
      <c r="H834" s="80">
        <f>IF(ISNUMBER(SEARCH("|",'Blind Scoring Sheet'!K834)),TRIM(LEFT('Blind Scoring Sheet'!K834,FIND("|",'Blind Scoring Sheet'!K834)-1)),TRIM('Blind Scoring Sheet'!K834))</f>
        <v/>
      </c>
    </row>
    <row r="835" ht="15" customHeight="1" s="38">
      <c r="A835" s="80">
        <f>'Blind Scoring Sheet'!A835</f>
        <v/>
      </c>
      <c r="B835" s="80">
        <f>MID(INDEX('Anonymization Key'!$B$4:$B$1003,MATCH(A835,'Anonymization Key'!$A$4:$A$1003,0)),3,2)</f>
        <v/>
      </c>
      <c r="C835" s="81">
        <f>IF(ISNUMBER('Blind Scoring Sheet'!B835),'Blind Scoring Sheet'!B835,VALUE(TRIM(LEFT('Blind Scoring Sheet'!B835,FIND("|",'Blind Scoring Sheet'!B835)-1))))</f>
        <v/>
      </c>
      <c r="D835" s="81">
        <f>IF(ISNUMBER('Blind Scoring Sheet'!D835),'Blind Scoring Sheet'!D835,VALUE(TRIM(LEFT('Blind Scoring Sheet'!D835,FIND("|",'Blind Scoring Sheet'!D835)-1))))</f>
        <v/>
      </c>
      <c r="E835" s="81">
        <f>IF(ISNUMBER('Blind Scoring Sheet'!F835),'Blind Scoring Sheet'!F835,VALUE(TRIM(LEFT('Blind Scoring Sheet'!F835,FIND("|",'Blind Scoring Sheet'!F835)-1))))</f>
        <v/>
      </c>
      <c r="F835" s="81">
        <f>IF(ISNUMBER('Blind Scoring Sheet'!H835),'Blind Scoring Sheet'!H835,VALUE(TRIM(LEFT('Blind Scoring Sheet'!H835,FIND("|",'Blind Scoring Sheet'!H835)-1))))</f>
        <v/>
      </c>
      <c r="G835" s="81">
        <f>IF(ISNUMBER('Blind Scoring Sheet'!J835),'Blind Scoring Sheet'!J835,VALUE(TRIM(LEFT('Blind Scoring Sheet'!J835,FIND("|",'Blind Scoring Sheet'!J835)-1))))</f>
        <v/>
      </c>
      <c r="H835" s="80">
        <f>IF(ISNUMBER(SEARCH("|",'Blind Scoring Sheet'!K835)),TRIM(LEFT('Blind Scoring Sheet'!K835,FIND("|",'Blind Scoring Sheet'!K835)-1)),TRIM('Blind Scoring Sheet'!K835))</f>
        <v/>
      </c>
    </row>
    <row r="836" ht="15" customHeight="1" s="38">
      <c r="A836" s="80">
        <f>'Blind Scoring Sheet'!A836</f>
        <v/>
      </c>
      <c r="B836" s="80">
        <f>MID(INDEX('Anonymization Key'!$B$4:$B$1003,MATCH(A836,'Anonymization Key'!$A$4:$A$1003,0)),3,2)</f>
        <v/>
      </c>
      <c r="C836" s="81">
        <f>IF(ISNUMBER('Blind Scoring Sheet'!B836),'Blind Scoring Sheet'!B836,VALUE(TRIM(LEFT('Blind Scoring Sheet'!B836,FIND("|",'Blind Scoring Sheet'!B836)-1))))</f>
        <v/>
      </c>
      <c r="D836" s="81">
        <f>IF(ISNUMBER('Blind Scoring Sheet'!D836),'Blind Scoring Sheet'!D836,VALUE(TRIM(LEFT('Blind Scoring Sheet'!D836,FIND("|",'Blind Scoring Sheet'!D836)-1))))</f>
        <v/>
      </c>
      <c r="E836" s="81">
        <f>IF(ISNUMBER('Blind Scoring Sheet'!F836),'Blind Scoring Sheet'!F836,VALUE(TRIM(LEFT('Blind Scoring Sheet'!F836,FIND("|",'Blind Scoring Sheet'!F836)-1))))</f>
        <v/>
      </c>
      <c r="F836" s="81">
        <f>IF(ISNUMBER('Blind Scoring Sheet'!H836),'Blind Scoring Sheet'!H836,VALUE(TRIM(LEFT('Blind Scoring Sheet'!H836,FIND("|",'Blind Scoring Sheet'!H836)-1))))</f>
        <v/>
      </c>
      <c r="G836" s="81">
        <f>IF(ISNUMBER('Blind Scoring Sheet'!J836),'Blind Scoring Sheet'!J836,VALUE(TRIM(LEFT('Blind Scoring Sheet'!J836,FIND("|",'Blind Scoring Sheet'!J836)-1))))</f>
        <v/>
      </c>
      <c r="H836" s="80">
        <f>IF(ISNUMBER(SEARCH("|",'Blind Scoring Sheet'!K836)),TRIM(LEFT('Blind Scoring Sheet'!K836,FIND("|",'Blind Scoring Sheet'!K836)-1)),TRIM('Blind Scoring Sheet'!K836))</f>
        <v/>
      </c>
    </row>
    <row r="837" ht="15" customHeight="1" s="38">
      <c r="A837" s="80">
        <f>'Blind Scoring Sheet'!A837</f>
        <v/>
      </c>
      <c r="B837" s="80">
        <f>MID(INDEX('Anonymization Key'!$B$4:$B$1003,MATCH(A837,'Anonymization Key'!$A$4:$A$1003,0)),3,2)</f>
        <v/>
      </c>
      <c r="C837" s="81">
        <f>IF(ISNUMBER('Blind Scoring Sheet'!B837),'Blind Scoring Sheet'!B837,VALUE(TRIM(LEFT('Blind Scoring Sheet'!B837,FIND("|",'Blind Scoring Sheet'!B837)-1))))</f>
        <v/>
      </c>
      <c r="D837" s="81">
        <f>IF(ISNUMBER('Blind Scoring Sheet'!D837),'Blind Scoring Sheet'!D837,VALUE(TRIM(LEFT('Blind Scoring Sheet'!D837,FIND("|",'Blind Scoring Sheet'!D837)-1))))</f>
        <v/>
      </c>
      <c r="E837" s="81">
        <f>IF(ISNUMBER('Blind Scoring Sheet'!F837),'Blind Scoring Sheet'!F837,VALUE(TRIM(LEFT('Blind Scoring Sheet'!F837,FIND("|",'Blind Scoring Sheet'!F837)-1))))</f>
        <v/>
      </c>
      <c r="F837" s="81">
        <f>IF(ISNUMBER('Blind Scoring Sheet'!H837),'Blind Scoring Sheet'!H837,VALUE(TRIM(LEFT('Blind Scoring Sheet'!H837,FIND("|",'Blind Scoring Sheet'!H837)-1))))</f>
        <v/>
      </c>
      <c r="G837" s="81">
        <f>IF(ISNUMBER('Blind Scoring Sheet'!J837),'Blind Scoring Sheet'!J837,VALUE(TRIM(LEFT('Blind Scoring Sheet'!J837,FIND("|",'Blind Scoring Sheet'!J837)-1))))</f>
        <v/>
      </c>
      <c r="H837" s="80">
        <f>IF(ISNUMBER(SEARCH("|",'Blind Scoring Sheet'!K837)),TRIM(LEFT('Blind Scoring Sheet'!K837,FIND("|",'Blind Scoring Sheet'!K837)-1)),TRIM('Blind Scoring Sheet'!K837))</f>
        <v/>
      </c>
    </row>
    <row r="838" ht="15" customHeight="1" s="38">
      <c r="A838" s="80">
        <f>'Blind Scoring Sheet'!A838</f>
        <v/>
      </c>
      <c r="B838" s="80">
        <f>MID(INDEX('Anonymization Key'!$B$4:$B$1003,MATCH(A838,'Anonymization Key'!$A$4:$A$1003,0)),3,2)</f>
        <v/>
      </c>
      <c r="C838" s="81">
        <f>IF(ISNUMBER('Blind Scoring Sheet'!B838),'Blind Scoring Sheet'!B838,VALUE(TRIM(LEFT('Blind Scoring Sheet'!B838,FIND("|",'Blind Scoring Sheet'!B838)-1))))</f>
        <v/>
      </c>
      <c r="D838" s="81">
        <f>IF(ISNUMBER('Blind Scoring Sheet'!D838),'Blind Scoring Sheet'!D838,VALUE(TRIM(LEFT('Blind Scoring Sheet'!D838,FIND("|",'Blind Scoring Sheet'!D838)-1))))</f>
        <v/>
      </c>
      <c r="E838" s="81">
        <f>IF(ISNUMBER('Blind Scoring Sheet'!F838),'Blind Scoring Sheet'!F838,VALUE(TRIM(LEFT('Blind Scoring Sheet'!F838,FIND("|",'Blind Scoring Sheet'!F838)-1))))</f>
        <v/>
      </c>
      <c r="F838" s="81">
        <f>IF(ISNUMBER('Blind Scoring Sheet'!H838),'Blind Scoring Sheet'!H838,VALUE(TRIM(LEFT('Blind Scoring Sheet'!H838,FIND("|",'Blind Scoring Sheet'!H838)-1))))</f>
        <v/>
      </c>
      <c r="G838" s="81">
        <f>IF(ISNUMBER('Blind Scoring Sheet'!J838),'Blind Scoring Sheet'!J838,VALUE(TRIM(LEFT('Blind Scoring Sheet'!J838,FIND("|",'Blind Scoring Sheet'!J838)-1))))</f>
        <v/>
      </c>
      <c r="H838" s="80">
        <f>IF(ISNUMBER(SEARCH("|",'Blind Scoring Sheet'!K838)),TRIM(LEFT('Blind Scoring Sheet'!K838,FIND("|",'Blind Scoring Sheet'!K838)-1)),TRIM('Blind Scoring Sheet'!K838))</f>
        <v/>
      </c>
    </row>
    <row r="839" ht="15" customHeight="1" s="38">
      <c r="A839" s="80">
        <f>'Blind Scoring Sheet'!A839</f>
        <v/>
      </c>
      <c r="B839" s="80">
        <f>MID(INDEX('Anonymization Key'!$B$4:$B$1003,MATCH(A839,'Anonymization Key'!$A$4:$A$1003,0)),3,2)</f>
        <v/>
      </c>
      <c r="C839" s="81">
        <f>IF(ISNUMBER('Blind Scoring Sheet'!B839),'Blind Scoring Sheet'!B839,VALUE(TRIM(LEFT('Blind Scoring Sheet'!B839,FIND("|",'Blind Scoring Sheet'!B839)-1))))</f>
        <v/>
      </c>
      <c r="D839" s="81">
        <f>IF(ISNUMBER('Blind Scoring Sheet'!D839),'Blind Scoring Sheet'!D839,VALUE(TRIM(LEFT('Blind Scoring Sheet'!D839,FIND("|",'Blind Scoring Sheet'!D839)-1))))</f>
        <v/>
      </c>
      <c r="E839" s="81">
        <f>IF(ISNUMBER('Blind Scoring Sheet'!F839),'Blind Scoring Sheet'!F839,VALUE(TRIM(LEFT('Blind Scoring Sheet'!F839,FIND("|",'Blind Scoring Sheet'!F839)-1))))</f>
        <v/>
      </c>
      <c r="F839" s="81">
        <f>IF(ISNUMBER('Blind Scoring Sheet'!H839),'Blind Scoring Sheet'!H839,VALUE(TRIM(LEFT('Blind Scoring Sheet'!H839,FIND("|",'Blind Scoring Sheet'!H839)-1))))</f>
        <v/>
      </c>
      <c r="G839" s="81">
        <f>IF(ISNUMBER('Blind Scoring Sheet'!J839),'Blind Scoring Sheet'!J839,VALUE(TRIM(LEFT('Blind Scoring Sheet'!J839,FIND("|",'Blind Scoring Sheet'!J839)-1))))</f>
        <v/>
      </c>
      <c r="H839" s="80">
        <f>IF(ISNUMBER(SEARCH("|",'Blind Scoring Sheet'!K839)),TRIM(LEFT('Blind Scoring Sheet'!K839,FIND("|",'Blind Scoring Sheet'!K839)-1)),TRIM('Blind Scoring Sheet'!K839))</f>
        <v/>
      </c>
    </row>
    <row r="840" ht="15" customHeight="1" s="38">
      <c r="A840" s="80">
        <f>'Blind Scoring Sheet'!A840</f>
        <v/>
      </c>
      <c r="B840" s="80">
        <f>MID(INDEX('Anonymization Key'!$B$4:$B$1003,MATCH(A840,'Anonymization Key'!$A$4:$A$1003,0)),3,2)</f>
        <v/>
      </c>
      <c r="C840" s="81">
        <f>IF(ISNUMBER('Blind Scoring Sheet'!B840),'Blind Scoring Sheet'!B840,VALUE(TRIM(LEFT('Blind Scoring Sheet'!B840,FIND("|",'Blind Scoring Sheet'!B840)-1))))</f>
        <v/>
      </c>
      <c r="D840" s="81">
        <f>IF(ISNUMBER('Blind Scoring Sheet'!D840),'Blind Scoring Sheet'!D840,VALUE(TRIM(LEFT('Blind Scoring Sheet'!D840,FIND("|",'Blind Scoring Sheet'!D840)-1))))</f>
        <v/>
      </c>
      <c r="E840" s="81">
        <f>IF(ISNUMBER('Blind Scoring Sheet'!F840),'Blind Scoring Sheet'!F840,VALUE(TRIM(LEFT('Blind Scoring Sheet'!F840,FIND("|",'Blind Scoring Sheet'!F840)-1))))</f>
        <v/>
      </c>
      <c r="F840" s="81">
        <f>IF(ISNUMBER('Blind Scoring Sheet'!H840),'Blind Scoring Sheet'!H840,VALUE(TRIM(LEFT('Blind Scoring Sheet'!H840,FIND("|",'Blind Scoring Sheet'!H840)-1))))</f>
        <v/>
      </c>
      <c r="G840" s="81">
        <f>IF(ISNUMBER('Blind Scoring Sheet'!J840),'Blind Scoring Sheet'!J840,VALUE(TRIM(LEFT('Blind Scoring Sheet'!J840,FIND("|",'Blind Scoring Sheet'!J840)-1))))</f>
        <v/>
      </c>
      <c r="H840" s="80">
        <f>IF(ISNUMBER(SEARCH("|",'Blind Scoring Sheet'!K840)),TRIM(LEFT('Blind Scoring Sheet'!K840,FIND("|",'Blind Scoring Sheet'!K840)-1)),TRIM('Blind Scoring Sheet'!K840))</f>
        <v/>
      </c>
    </row>
    <row r="841" ht="15" customHeight="1" s="38">
      <c r="A841" s="80">
        <f>'Blind Scoring Sheet'!A841</f>
        <v/>
      </c>
      <c r="B841" s="80">
        <f>MID(INDEX('Anonymization Key'!$B$4:$B$1003,MATCH(A841,'Anonymization Key'!$A$4:$A$1003,0)),3,2)</f>
        <v/>
      </c>
      <c r="C841" s="81">
        <f>IF(ISNUMBER('Blind Scoring Sheet'!B841),'Blind Scoring Sheet'!B841,VALUE(TRIM(LEFT('Blind Scoring Sheet'!B841,FIND("|",'Blind Scoring Sheet'!B841)-1))))</f>
        <v/>
      </c>
      <c r="D841" s="81">
        <f>IF(ISNUMBER('Blind Scoring Sheet'!D841),'Blind Scoring Sheet'!D841,VALUE(TRIM(LEFT('Blind Scoring Sheet'!D841,FIND("|",'Blind Scoring Sheet'!D841)-1))))</f>
        <v/>
      </c>
      <c r="E841" s="81">
        <f>IF(ISNUMBER('Blind Scoring Sheet'!F841),'Blind Scoring Sheet'!F841,VALUE(TRIM(LEFT('Blind Scoring Sheet'!F841,FIND("|",'Blind Scoring Sheet'!F841)-1))))</f>
        <v/>
      </c>
      <c r="F841" s="81">
        <f>IF(ISNUMBER('Blind Scoring Sheet'!H841),'Blind Scoring Sheet'!H841,VALUE(TRIM(LEFT('Blind Scoring Sheet'!H841,FIND("|",'Blind Scoring Sheet'!H841)-1))))</f>
        <v/>
      </c>
      <c r="G841" s="81">
        <f>IF(ISNUMBER('Blind Scoring Sheet'!J841),'Blind Scoring Sheet'!J841,VALUE(TRIM(LEFT('Blind Scoring Sheet'!J841,FIND("|",'Blind Scoring Sheet'!J841)-1))))</f>
        <v/>
      </c>
      <c r="H841" s="80">
        <f>IF(ISNUMBER(SEARCH("|",'Blind Scoring Sheet'!K841)),TRIM(LEFT('Blind Scoring Sheet'!K841,FIND("|",'Blind Scoring Sheet'!K841)-1)),TRIM('Blind Scoring Sheet'!K841))</f>
        <v/>
      </c>
    </row>
    <row r="842" ht="15" customHeight="1" s="38">
      <c r="A842" s="80">
        <f>'Blind Scoring Sheet'!A842</f>
        <v/>
      </c>
      <c r="B842" s="80">
        <f>MID(INDEX('Anonymization Key'!$B$4:$B$1003,MATCH(A842,'Anonymization Key'!$A$4:$A$1003,0)),3,2)</f>
        <v/>
      </c>
      <c r="C842" s="81">
        <f>IF(ISNUMBER('Blind Scoring Sheet'!B842),'Blind Scoring Sheet'!B842,VALUE(TRIM(LEFT('Blind Scoring Sheet'!B842,FIND("|",'Blind Scoring Sheet'!B842)-1))))</f>
        <v/>
      </c>
      <c r="D842" s="81">
        <f>IF(ISNUMBER('Blind Scoring Sheet'!D842),'Blind Scoring Sheet'!D842,VALUE(TRIM(LEFT('Blind Scoring Sheet'!D842,FIND("|",'Blind Scoring Sheet'!D842)-1))))</f>
        <v/>
      </c>
      <c r="E842" s="81">
        <f>IF(ISNUMBER('Blind Scoring Sheet'!F842),'Blind Scoring Sheet'!F842,VALUE(TRIM(LEFT('Blind Scoring Sheet'!F842,FIND("|",'Blind Scoring Sheet'!F842)-1))))</f>
        <v/>
      </c>
      <c r="F842" s="81">
        <f>IF(ISNUMBER('Blind Scoring Sheet'!H842),'Blind Scoring Sheet'!H842,VALUE(TRIM(LEFT('Blind Scoring Sheet'!H842,FIND("|",'Blind Scoring Sheet'!H842)-1))))</f>
        <v/>
      </c>
      <c r="G842" s="81">
        <f>IF(ISNUMBER('Blind Scoring Sheet'!J842),'Blind Scoring Sheet'!J842,VALUE(TRIM(LEFT('Blind Scoring Sheet'!J842,FIND("|",'Blind Scoring Sheet'!J842)-1))))</f>
        <v/>
      </c>
      <c r="H842" s="80">
        <f>IF(ISNUMBER(SEARCH("|",'Blind Scoring Sheet'!K842)),TRIM(LEFT('Blind Scoring Sheet'!K842,FIND("|",'Blind Scoring Sheet'!K842)-1)),TRIM('Blind Scoring Sheet'!K842))</f>
        <v/>
      </c>
    </row>
    <row r="843" ht="15" customHeight="1" s="38">
      <c r="A843" s="80">
        <f>'Blind Scoring Sheet'!A843</f>
        <v/>
      </c>
      <c r="B843" s="80">
        <f>MID(INDEX('Anonymization Key'!$B$4:$B$1003,MATCH(A843,'Anonymization Key'!$A$4:$A$1003,0)),3,2)</f>
        <v/>
      </c>
      <c r="C843" s="81">
        <f>IF(ISNUMBER('Blind Scoring Sheet'!B843),'Blind Scoring Sheet'!B843,VALUE(TRIM(LEFT('Blind Scoring Sheet'!B843,FIND("|",'Blind Scoring Sheet'!B843)-1))))</f>
        <v/>
      </c>
      <c r="D843" s="81">
        <f>IF(ISNUMBER('Blind Scoring Sheet'!D843),'Blind Scoring Sheet'!D843,VALUE(TRIM(LEFT('Blind Scoring Sheet'!D843,FIND("|",'Blind Scoring Sheet'!D843)-1))))</f>
        <v/>
      </c>
      <c r="E843" s="81">
        <f>IF(ISNUMBER('Blind Scoring Sheet'!F843),'Blind Scoring Sheet'!F843,VALUE(TRIM(LEFT('Blind Scoring Sheet'!F843,FIND("|",'Blind Scoring Sheet'!F843)-1))))</f>
        <v/>
      </c>
      <c r="F843" s="81">
        <f>IF(ISNUMBER('Blind Scoring Sheet'!H843),'Blind Scoring Sheet'!H843,VALUE(TRIM(LEFT('Blind Scoring Sheet'!H843,FIND("|",'Blind Scoring Sheet'!H843)-1))))</f>
        <v/>
      </c>
      <c r="G843" s="81">
        <f>IF(ISNUMBER('Blind Scoring Sheet'!J843),'Blind Scoring Sheet'!J843,VALUE(TRIM(LEFT('Blind Scoring Sheet'!J843,FIND("|",'Blind Scoring Sheet'!J843)-1))))</f>
        <v/>
      </c>
      <c r="H843" s="80">
        <f>IF(ISNUMBER(SEARCH("|",'Blind Scoring Sheet'!K843)),TRIM(LEFT('Blind Scoring Sheet'!K843,FIND("|",'Blind Scoring Sheet'!K843)-1)),TRIM('Blind Scoring Sheet'!K843))</f>
        <v/>
      </c>
    </row>
    <row r="844" ht="15" customHeight="1" s="38">
      <c r="A844" s="80">
        <f>'Blind Scoring Sheet'!A844</f>
        <v/>
      </c>
      <c r="B844" s="80">
        <f>MID(INDEX('Anonymization Key'!$B$4:$B$1003,MATCH(A844,'Anonymization Key'!$A$4:$A$1003,0)),3,2)</f>
        <v/>
      </c>
      <c r="C844" s="81">
        <f>IF(ISNUMBER('Blind Scoring Sheet'!B844),'Blind Scoring Sheet'!B844,VALUE(TRIM(LEFT('Blind Scoring Sheet'!B844,FIND("|",'Blind Scoring Sheet'!B844)-1))))</f>
        <v/>
      </c>
      <c r="D844" s="81">
        <f>IF(ISNUMBER('Blind Scoring Sheet'!D844),'Blind Scoring Sheet'!D844,VALUE(TRIM(LEFT('Blind Scoring Sheet'!D844,FIND("|",'Blind Scoring Sheet'!D844)-1))))</f>
        <v/>
      </c>
      <c r="E844" s="81">
        <f>IF(ISNUMBER('Blind Scoring Sheet'!F844),'Blind Scoring Sheet'!F844,VALUE(TRIM(LEFT('Blind Scoring Sheet'!F844,FIND("|",'Blind Scoring Sheet'!F844)-1))))</f>
        <v/>
      </c>
      <c r="F844" s="81">
        <f>IF(ISNUMBER('Blind Scoring Sheet'!H844),'Blind Scoring Sheet'!H844,VALUE(TRIM(LEFT('Blind Scoring Sheet'!H844,FIND("|",'Blind Scoring Sheet'!H844)-1))))</f>
        <v/>
      </c>
      <c r="G844" s="81">
        <f>IF(ISNUMBER('Blind Scoring Sheet'!J844),'Blind Scoring Sheet'!J844,VALUE(TRIM(LEFT('Blind Scoring Sheet'!J844,FIND("|",'Blind Scoring Sheet'!J844)-1))))</f>
        <v/>
      </c>
      <c r="H844" s="80">
        <f>IF(ISNUMBER(SEARCH("|",'Blind Scoring Sheet'!K844)),TRIM(LEFT('Blind Scoring Sheet'!K844,FIND("|",'Blind Scoring Sheet'!K844)-1)),TRIM('Blind Scoring Sheet'!K844))</f>
        <v/>
      </c>
    </row>
    <row r="845" ht="15" customHeight="1" s="38">
      <c r="A845" s="80">
        <f>'Blind Scoring Sheet'!A845</f>
        <v/>
      </c>
      <c r="B845" s="80">
        <f>MID(INDEX('Anonymization Key'!$B$4:$B$1003,MATCH(A845,'Anonymization Key'!$A$4:$A$1003,0)),3,2)</f>
        <v/>
      </c>
      <c r="C845" s="81">
        <f>IF(ISNUMBER('Blind Scoring Sheet'!B845),'Blind Scoring Sheet'!B845,VALUE(TRIM(LEFT('Blind Scoring Sheet'!B845,FIND("|",'Blind Scoring Sheet'!B845)-1))))</f>
        <v/>
      </c>
      <c r="D845" s="81">
        <f>IF(ISNUMBER('Blind Scoring Sheet'!D845),'Blind Scoring Sheet'!D845,VALUE(TRIM(LEFT('Blind Scoring Sheet'!D845,FIND("|",'Blind Scoring Sheet'!D845)-1))))</f>
        <v/>
      </c>
      <c r="E845" s="81">
        <f>IF(ISNUMBER('Blind Scoring Sheet'!F845),'Blind Scoring Sheet'!F845,VALUE(TRIM(LEFT('Blind Scoring Sheet'!F845,FIND("|",'Blind Scoring Sheet'!F845)-1))))</f>
        <v/>
      </c>
      <c r="F845" s="81">
        <f>IF(ISNUMBER('Blind Scoring Sheet'!H845),'Blind Scoring Sheet'!H845,VALUE(TRIM(LEFT('Blind Scoring Sheet'!H845,FIND("|",'Blind Scoring Sheet'!H845)-1))))</f>
        <v/>
      </c>
      <c r="G845" s="81">
        <f>IF(ISNUMBER('Blind Scoring Sheet'!J845),'Blind Scoring Sheet'!J845,VALUE(TRIM(LEFT('Blind Scoring Sheet'!J845,FIND("|",'Blind Scoring Sheet'!J845)-1))))</f>
        <v/>
      </c>
      <c r="H845" s="80">
        <f>IF(ISNUMBER(SEARCH("|",'Blind Scoring Sheet'!K845)),TRIM(LEFT('Blind Scoring Sheet'!K845,FIND("|",'Blind Scoring Sheet'!K845)-1)),TRIM('Blind Scoring Sheet'!K845))</f>
        <v/>
      </c>
    </row>
    <row r="846" ht="15" customHeight="1" s="38">
      <c r="A846" s="80">
        <f>'Blind Scoring Sheet'!A846</f>
        <v/>
      </c>
      <c r="B846" s="80">
        <f>MID(INDEX('Anonymization Key'!$B$4:$B$1003,MATCH(A846,'Anonymization Key'!$A$4:$A$1003,0)),3,2)</f>
        <v/>
      </c>
      <c r="C846" s="81">
        <f>IF(ISNUMBER('Blind Scoring Sheet'!B846),'Blind Scoring Sheet'!B846,VALUE(TRIM(LEFT('Blind Scoring Sheet'!B846,FIND("|",'Blind Scoring Sheet'!B846)-1))))</f>
        <v/>
      </c>
      <c r="D846" s="81">
        <f>IF(ISNUMBER('Blind Scoring Sheet'!D846),'Blind Scoring Sheet'!D846,VALUE(TRIM(LEFT('Blind Scoring Sheet'!D846,FIND("|",'Blind Scoring Sheet'!D846)-1))))</f>
        <v/>
      </c>
      <c r="E846" s="81">
        <f>IF(ISNUMBER('Blind Scoring Sheet'!F846),'Blind Scoring Sheet'!F846,VALUE(TRIM(LEFT('Blind Scoring Sheet'!F846,FIND("|",'Blind Scoring Sheet'!F846)-1))))</f>
        <v/>
      </c>
      <c r="F846" s="81">
        <f>IF(ISNUMBER('Blind Scoring Sheet'!H846),'Blind Scoring Sheet'!H846,VALUE(TRIM(LEFT('Blind Scoring Sheet'!H846,FIND("|",'Blind Scoring Sheet'!H846)-1))))</f>
        <v/>
      </c>
      <c r="G846" s="81">
        <f>IF(ISNUMBER('Blind Scoring Sheet'!J846),'Blind Scoring Sheet'!J846,VALUE(TRIM(LEFT('Blind Scoring Sheet'!J846,FIND("|",'Blind Scoring Sheet'!J846)-1))))</f>
        <v/>
      </c>
      <c r="H846" s="80">
        <f>IF(ISNUMBER(SEARCH("|",'Blind Scoring Sheet'!K846)),TRIM(LEFT('Blind Scoring Sheet'!K846,FIND("|",'Blind Scoring Sheet'!K846)-1)),TRIM('Blind Scoring Sheet'!K846))</f>
        <v/>
      </c>
    </row>
    <row r="847" ht="15" customHeight="1" s="38">
      <c r="A847" s="80">
        <f>'Blind Scoring Sheet'!A847</f>
        <v/>
      </c>
      <c r="B847" s="80">
        <f>MID(INDEX('Anonymization Key'!$B$4:$B$1003,MATCH(A847,'Anonymization Key'!$A$4:$A$1003,0)),3,2)</f>
        <v/>
      </c>
      <c r="C847" s="81">
        <f>IF(ISNUMBER('Blind Scoring Sheet'!B847),'Blind Scoring Sheet'!B847,VALUE(TRIM(LEFT('Blind Scoring Sheet'!B847,FIND("|",'Blind Scoring Sheet'!B847)-1))))</f>
        <v/>
      </c>
      <c r="D847" s="81">
        <f>IF(ISNUMBER('Blind Scoring Sheet'!D847),'Blind Scoring Sheet'!D847,VALUE(TRIM(LEFT('Blind Scoring Sheet'!D847,FIND("|",'Blind Scoring Sheet'!D847)-1))))</f>
        <v/>
      </c>
      <c r="E847" s="81">
        <f>IF(ISNUMBER('Blind Scoring Sheet'!F847),'Blind Scoring Sheet'!F847,VALUE(TRIM(LEFT('Blind Scoring Sheet'!F847,FIND("|",'Blind Scoring Sheet'!F847)-1))))</f>
        <v/>
      </c>
      <c r="F847" s="81">
        <f>IF(ISNUMBER('Blind Scoring Sheet'!H847),'Blind Scoring Sheet'!H847,VALUE(TRIM(LEFT('Blind Scoring Sheet'!H847,FIND("|",'Blind Scoring Sheet'!H847)-1))))</f>
        <v/>
      </c>
      <c r="G847" s="81">
        <f>IF(ISNUMBER('Blind Scoring Sheet'!J847),'Blind Scoring Sheet'!J847,VALUE(TRIM(LEFT('Blind Scoring Sheet'!J847,FIND("|",'Blind Scoring Sheet'!J847)-1))))</f>
        <v/>
      </c>
      <c r="H847" s="80">
        <f>IF(ISNUMBER(SEARCH("|",'Blind Scoring Sheet'!K847)),TRIM(LEFT('Blind Scoring Sheet'!K847,FIND("|",'Blind Scoring Sheet'!K847)-1)),TRIM('Blind Scoring Sheet'!K847))</f>
        <v/>
      </c>
    </row>
    <row r="848" ht="15" customHeight="1" s="38">
      <c r="A848" s="80">
        <f>'Blind Scoring Sheet'!A848</f>
        <v/>
      </c>
      <c r="B848" s="80">
        <f>MID(INDEX('Anonymization Key'!$B$4:$B$1003,MATCH(A848,'Anonymization Key'!$A$4:$A$1003,0)),3,2)</f>
        <v/>
      </c>
      <c r="C848" s="81">
        <f>IF(ISNUMBER('Blind Scoring Sheet'!B848),'Blind Scoring Sheet'!B848,VALUE(TRIM(LEFT('Blind Scoring Sheet'!B848,FIND("|",'Blind Scoring Sheet'!B848)-1))))</f>
        <v/>
      </c>
      <c r="D848" s="81">
        <f>IF(ISNUMBER('Blind Scoring Sheet'!D848),'Blind Scoring Sheet'!D848,VALUE(TRIM(LEFT('Blind Scoring Sheet'!D848,FIND("|",'Blind Scoring Sheet'!D848)-1))))</f>
        <v/>
      </c>
      <c r="E848" s="81">
        <f>IF(ISNUMBER('Blind Scoring Sheet'!F848),'Blind Scoring Sheet'!F848,VALUE(TRIM(LEFT('Blind Scoring Sheet'!F848,FIND("|",'Blind Scoring Sheet'!F848)-1))))</f>
        <v/>
      </c>
      <c r="F848" s="81">
        <f>IF(ISNUMBER('Blind Scoring Sheet'!H848),'Blind Scoring Sheet'!H848,VALUE(TRIM(LEFT('Blind Scoring Sheet'!H848,FIND("|",'Blind Scoring Sheet'!H848)-1))))</f>
        <v/>
      </c>
      <c r="G848" s="81">
        <f>IF(ISNUMBER('Blind Scoring Sheet'!J848),'Blind Scoring Sheet'!J848,VALUE(TRIM(LEFT('Blind Scoring Sheet'!J848,FIND("|",'Blind Scoring Sheet'!J848)-1))))</f>
        <v/>
      </c>
      <c r="H848" s="80">
        <f>IF(ISNUMBER(SEARCH("|",'Blind Scoring Sheet'!K848)),TRIM(LEFT('Blind Scoring Sheet'!K848,FIND("|",'Blind Scoring Sheet'!K848)-1)),TRIM('Blind Scoring Sheet'!K848))</f>
        <v/>
      </c>
    </row>
    <row r="849" ht="15" customHeight="1" s="38">
      <c r="A849" s="80">
        <f>'Blind Scoring Sheet'!A849</f>
        <v/>
      </c>
      <c r="B849" s="80">
        <f>MID(INDEX('Anonymization Key'!$B$4:$B$1003,MATCH(A849,'Anonymization Key'!$A$4:$A$1003,0)),3,2)</f>
        <v/>
      </c>
      <c r="C849" s="81">
        <f>IF(ISNUMBER('Blind Scoring Sheet'!B849),'Blind Scoring Sheet'!B849,VALUE(TRIM(LEFT('Blind Scoring Sheet'!B849,FIND("|",'Blind Scoring Sheet'!B849)-1))))</f>
        <v/>
      </c>
      <c r="D849" s="81">
        <f>IF(ISNUMBER('Blind Scoring Sheet'!D849),'Blind Scoring Sheet'!D849,VALUE(TRIM(LEFT('Blind Scoring Sheet'!D849,FIND("|",'Blind Scoring Sheet'!D849)-1))))</f>
        <v/>
      </c>
      <c r="E849" s="81">
        <f>IF(ISNUMBER('Blind Scoring Sheet'!F849),'Blind Scoring Sheet'!F849,VALUE(TRIM(LEFT('Blind Scoring Sheet'!F849,FIND("|",'Blind Scoring Sheet'!F849)-1))))</f>
        <v/>
      </c>
      <c r="F849" s="81">
        <f>IF(ISNUMBER('Blind Scoring Sheet'!H849),'Blind Scoring Sheet'!H849,VALUE(TRIM(LEFT('Blind Scoring Sheet'!H849,FIND("|",'Blind Scoring Sheet'!H849)-1))))</f>
        <v/>
      </c>
      <c r="G849" s="81">
        <f>IF(ISNUMBER('Blind Scoring Sheet'!J849),'Blind Scoring Sheet'!J849,VALUE(TRIM(LEFT('Blind Scoring Sheet'!J849,FIND("|",'Blind Scoring Sheet'!J849)-1))))</f>
        <v/>
      </c>
      <c r="H849" s="80">
        <f>IF(ISNUMBER(SEARCH("|",'Blind Scoring Sheet'!K849)),TRIM(LEFT('Blind Scoring Sheet'!K849,FIND("|",'Blind Scoring Sheet'!K849)-1)),TRIM('Blind Scoring Sheet'!K849))</f>
        <v/>
      </c>
    </row>
    <row r="850" ht="15" customHeight="1" s="38">
      <c r="A850" s="80">
        <f>'Blind Scoring Sheet'!A850</f>
        <v/>
      </c>
      <c r="B850" s="80">
        <f>MID(INDEX('Anonymization Key'!$B$4:$B$1003,MATCH(A850,'Anonymization Key'!$A$4:$A$1003,0)),3,2)</f>
        <v/>
      </c>
      <c r="C850" s="81">
        <f>IF(ISNUMBER('Blind Scoring Sheet'!B850),'Blind Scoring Sheet'!B850,VALUE(TRIM(LEFT('Blind Scoring Sheet'!B850,FIND("|",'Blind Scoring Sheet'!B850)-1))))</f>
        <v/>
      </c>
      <c r="D850" s="81">
        <f>IF(ISNUMBER('Blind Scoring Sheet'!D850),'Blind Scoring Sheet'!D850,VALUE(TRIM(LEFT('Blind Scoring Sheet'!D850,FIND("|",'Blind Scoring Sheet'!D850)-1))))</f>
        <v/>
      </c>
      <c r="E850" s="81">
        <f>IF(ISNUMBER('Blind Scoring Sheet'!F850),'Blind Scoring Sheet'!F850,VALUE(TRIM(LEFT('Blind Scoring Sheet'!F850,FIND("|",'Blind Scoring Sheet'!F850)-1))))</f>
        <v/>
      </c>
      <c r="F850" s="81">
        <f>IF(ISNUMBER('Blind Scoring Sheet'!H850),'Blind Scoring Sheet'!H850,VALUE(TRIM(LEFT('Blind Scoring Sheet'!H850,FIND("|",'Blind Scoring Sheet'!H850)-1))))</f>
        <v/>
      </c>
      <c r="G850" s="81">
        <f>IF(ISNUMBER('Blind Scoring Sheet'!J850),'Blind Scoring Sheet'!J850,VALUE(TRIM(LEFT('Blind Scoring Sheet'!J850,FIND("|",'Blind Scoring Sheet'!J850)-1))))</f>
        <v/>
      </c>
      <c r="H850" s="80">
        <f>IF(ISNUMBER(SEARCH("|",'Blind Scoring Sheet'!K850)),TRIM(LEFT('Blind Scoring Sheet'!K850,FIND("|",'Blind Scoring Sheet'!K850)-1)),TRIM('Blind Scoring Sheet'!K850))</f>
        <v/>
      </c>
    </row>
    <row r="851" ht="15" customHeight="1" s="38">
      <c r="A851" s="80">
        <f>'Blind Scoring Sheet'!A851</f>
        <v/>
      </c>
      <c r="B851" s="80">
        <f>MID(INDEX('Anonymization Key'!$B$4:$B$1003,MATCH(A851,'Anonymization Key'!$A$4:$A$1003,0)),3,2)</f>
        <v/>
      </c>
      <c r="C851" s="81">
        <f>IF(ISNUMBER('Blind Scoring Sheet'!B851),'Blind Scoring Sheet'!B851,VALUE(TRIM(LEFT('Blind Scoring Sheet'!B851,FIND("|",'Blind Scoring Sheet'!B851)-1))))</f>
        <v/>
      </c>
      <c r="D851" s="81">
        <f>IF(ISNUMBER('Blind Scoring Sheet'!D851),'Blind Scoring Sheet'!D851,VALUE(TRIM(LEFT('Blind Scoring Sheet'!D851,FIND("|",'Blind Scoring Sheet'!D851)-1))))</f>
        <v/>
      </c>
      <c r="E851" s="81">
        <f>IF(ISNUMBER('Blind Scoring Sheet'!F851),'Blind Scoring Sheet'!F851,VALUE(TRIM(LEFT('Blind Scoring Sheet'!F851,FIND("|",'Blind Scoring Sheet'!F851)-1))))</f>
        <v/>
      </c>
      <c r="F851" s="81">
        <f>IF(ISNUMBER('Blind Scoring Sheet'!H851),'Blind Scoring Sheet'!H851,VALUE(TRIM(LEFT('Blind Scoring Sheet'!H851,FIND("|",'Blind Scoring Sheet'!H851)-1))))</f>
        <v/>
      </c>
      <c r="G851" s="81">
        <f>IF(ISNUMBER('Blind Scoring Sheet'!J851),'Blind Scoring Sheet'!J851,VALUE(TRIM(LEFT('Blind Scoring Sheet'!J851,FIND("|",'Blind Scoring Sheet'!J851)-1))))</f>
        <v/>
      </c>
      <c r="H851" s="80">
        <f>IF(ISNUMBER(SEARCH("|",'Blind Scoring Sheet'!K851)),TRIM(LEFT('Blind Scoring Sheet'!K851,FIND("|",'Blind Scoring Sheet'!K851)-1)),TRIM('Blind Scoring Sheet'!K851))</f>
        <v/>
      </c>
    </row>
    <row r="852" ht="15" customHeight="1" s="38">
      <c r="A852" s="80">
        <f>'Blind Scoring Sheet'!A852</f>
        <v/>
      </c>
      <c r="B852" s="80">
        <f>MID(INDEX('Anonymization Key'!$B$4:$B$1003,MATCH(A852,'Anonymization Key'!$A$4:$A$1003,0)),3,2)</f>
        <v/>
      </c>
      <c r="C852" s="81">
        <f>IF(ISNUMBER('Blind Scoring Sheet'!B852),'Blind Scoring Sheet'!B852,VALUE(TRIM(LEFT('Blind Scoring Sheet'!B852,FIND("|",'Blind Scoring Sheet'!B852)-1))))</f>
        <v/>
      </c>
      <c r="D852" s="81">
        <f>IF(ISNUMBER('Blind Scoring Sheet'!D852),'Blind Scoring Sheet'!D852,VALUE(TRIM(LEFT('Blind Scoring Sheet'!D852,FIND("|",'Blind Scoring Sheet'!D852)-1))))</f>
        <v/>
      </c>
      <c r="E852" s="81">
        <f>IF(ISNUMBER('Blind Scoring Sheet'!F852),'Blind Scoring Sheet'!F852,VALUE(TRIM(LEFT('Blind Scoring Sheet'!F852,FIND("|",'Blind Scoring Sheet'!F852)-1))))</f>
        <v/>
      </c>
      <c r="F852" s="81">
        <f>IF(ISNUMBER('Blind Scoring Sheet'!H852),'Blind Scoring Sheet'!H852,VALUE(TRIM(LEFT('Blind Scoring Sheet'!H852,FIND("|",'Blind Scoring Sheet'!H852)-1))))</f>
        <v/>
      </c>
      <c r="G852" s="81">
        <f>IF(ISNUMBER('Blind Scoring Sheet'!J852),'Blind Scoring Sheet'!J852,VALUE(TRIM(LEFT('Blind Scoring Sheet'!J852,FIND("|",'Blind Scoring Sheet'!J852)-1))))</f>
        <v/>
      </c>
      <c r="H852" s="80">
        <f>IF(ISNUMBER(SEARCH("|",'Blind Scoring Sheet'!K852)),TRIM(LEFT('Blind Scoring Sheet'!K852,FIND("|",'Blind Scoring Sheet'!K852)-1)),TRIM('Blind Scoring Sheet'!K852))</f>
        <v/>
      </c>
    </row>
    <row r="853" ht="15" customHeight="1" s="38">
      <c r="A853" s="80">
        <f>'Blind Scoring Sheet'!A853</f>
        <v/>
      </c>
      <c r="B853" s="80">
        <f>MID(INDEX('Anonymization Key'!$B$4:$B$1003,MATCH(A853,'Anonymization Key'!$A$4:$A$1003,0)),3,2)</f>
        <v/>
      </c>
      <c r="C853" s="81">
        <f>IF(ISNUMBER('Blind Scoring Sheet'!B853),'Blind Scoring Sheet'!B853,VALUE(TRIM(LEFT('Blind Scoring Sheet'!B853,FIND("|",'Blind Scoring Sheet'!B853)-1))))</f>
        <v/>
      </c>
      <c r="D853" s="81">
        <f>IF(ISNUMBER('Blind Scoring Sheet'!D853),'Blind Scoring Sheet'!D853,VALUE(TRIM(LEFT('Blind Scoring Sheet'!D853,FIND("|",'Blind Scoring Sheet'!D853)-1))))</f>
        <v/>
      </c>
      <c r="E853" s="81">
        <f>IF(ISNUMBER('Blind Scoring Sheet'!F853),'Blind Scoring Sheet'!F853,VALUE(TRIM(LEFT('Blind Scoring Sheet'!F853,FIND("|",'Blind Scoring Sheet'!F853)-1))))</f>
        <v/>
      </c>
      <c r="F853" s="81">
        <f>IF(ISNUMBER('Blind Scoring Sheet'!H853),'Blind Scoring Sheet'!H853,VALUE(TRIM(LEFT('Blind Scoring Sheet'!H853,FIND("|",'Blind Scoring Sheet'!H853)-1))))</f>
        <v/>
      </c>
      <c r="G853" s="81">
        <f>IF(ISNUMBER('Blind Scoring Sheet'!J853),'Blind Scoring Sheet'!J853,VALUE(TRIM(LEFT('Blind Scoring Sheet'!J853,FIND("|",'Blind Scoring Sheet'!J853)-1))))</f>
        <v/>
      </c>
      <c r="H853" s="80">
        <f>IF(ISNUMBER(SEARCH("|",'Blind Scoring Sheet'!K853)),TRIM(LEFT('Blind Scoring Sheet'!K853,FIND("|",'Blind Scoring Sheet'!K853)-1)),TRIM('Blind Scoring Sheet'!K853))</f>
        <v/>
      </c>
    </row>
    <row r="854" ht="15" customHeight="1" s="38">
      <c r="A854" s="80">
        <f>'Blind Scoring Sheet'!A854</f>
        <v/>
      </c>
      <c r="B854" s="80">
        <f>MID(INDEX('Anonymization Key'!$B$4:$B$1003,MATCH(A854,'Anonymization Key'!$A$4:$A$1003,0)),3,2)</f>
        <v/>
      </c>
      <c r="C854" s="81">
        <f>IF(ISNUMBER('Blind Scoring Sheet'!B854),'Blind Scoring Sheet'!B854,VALUE(TRIM(LEFT('Blind Scoring Sheet'!B854,FIND("|",'Blind Scoring Sheet'!B854)-1))))</f>
        <v/>
      </c>
      <c r="D854" s="81">
        <f>IF(ISNUMBER('Blind Scoring Sheet'!D854),'Blind Scoring Sheet'!D854,VALUE(TRIM(LEFT('Blind Scoring Sheet'!D854,FIND("|",'Blind Scoring Sheet'!D854)-1))))</f>
        <v/>
      </c>
      <c r="E854" s="81">
        <f>IF(ISNUMBER('Blind Scoring Sheet'!F854),'Blind Scoring Sheet'!F854,VALUE(TRIM(LEFT('Blind Scoring Sheet'!F854,FIND("|",'Blind Scoring Sheet'!F854)-1))))</f>
        <v/>
      </c>
      <c r="F854" s="81">
        <f>IF(ISNUMBER('Blind Scoring Sheet'!H854),'Blind Scoring Sheet'!H854,VALUE(TRIM(LEFT('Blind Scoring Sheet'!H854,FIND("|",'Blind Scoring Sheet'!H854)-1))))</f>
        <v/>
      </c>
      <c r="G854" s="81">
        <f>IF(ISNUMBER('Blind Scoring Sheet'!J854),'Blind Scoring Sheet'!J854,VALUE(TRIM(LEFT('Blind Scoring Sheet'!J854,FIND("|",'Blind Scoring Sheet'!J854)-1))))</f>
        <v/>
      </c>
      <c r="H854" s="80">
        <f>IF(ISNUMBER(SEARCH("|",'Blind Scoring Sheet'!K854)),TRIM(LEFT('Blind Scoring Sheet'!K854,FIND("|",'Blind Scoring Sheet'!K854)-1)),TRIM('Blind Scoring Sheet'!K854))</f>
        <v/>
      </c>
    </row>
    <row r="855" ht="15" customHeight="1" s="38">
      <c r="A855" s="80">
        <f>'Blind Scoring Sheet'!A855</f>
        <v/>
      </c>
      <c r="B855" s="80">
        <f>MID(INDEX('Anonymization Key'!$B$4:$B$1003,MATCH(A855,'Anonymization Key'!$A$4:$A$1003,0)),3,2)</f>
        <v/>
      </c>
      <c r="C855" s="81">
        <f>IF(ISNUMBER('Blind Scoring Sheet'!B855),'Blind Scoring Sheet'!B855,VALUE(TRIM(LEFT('Blind Scoring Sheet'!B855,FIND("|",'Blind Scoring Sheet'!B855)-1))))</f>
        <v/>
      </c>
      <c r="D855" s="81">
        <f>IF(ISNUMBER('Blind Scoring Sheet'!D855),'Blind Scoring Sheet'!D855,VALUE(TRIM(LEFT('Blind Scoring Sheet'!D855,FIND("|",'Blind Scoring Sheet'!D855)-1))))</f>
        <v/>
      </c>
      <c r="E855" s="81">
        <f>IF(ISNUMBER('Blind Scoring Sheet'!F855),'Blind Scoring Sheet'!F855,VALUE(TRIM(LEFT('Blind Scoring Sheet'!F855,FIND("|",'Blind Scoring Sheet'!F855)-1))))</f>
        <v/>
      </c>
      <c r="F855" s="81">
        <f>IF(ISNUMBER('Blind Scoring Sheet'!H855),'Blind Scoring Sheet'!H855,VALUE(TRIM(LEFT('Blind Scoring Sheet'!H855,FIND("|",'Blind Scoring Sheet'!H855)-1))))</f>
        <v/>
      </c>
      <c r="G855" s="81">
        <f>IF(ISNUMBER('Blind Scoring Sheet'!J855),'Blind Scoring Sheet'!J855,VALUE(TRIM(LEFT('Blind Scoring Sheet'!J855,FIND("|",'Blind Scoring Sheet'!J855)-1))))</f>
        <v/>
      </c>
      <c r="H855" s="80">
        <f>IF(ISNUMBER(SEARCH("|",'Blind Scoring Sheet'!K855)),TRIM(LEFT('Blind Scoring Sheet'!K855,FIND("|",'Blind Scoring Sheet'!K855)-1)),TRIM('Blind Scoring Sheet'!K855))</f>
        <v/>
      </c>
    </row>
    <row r="856" ht="15" customHeight="1" s="38">
      <c r="A856" s="80">
        <f>'Blind Scoring Sheet'!A856</f>
        <v/>
      </c>
      <c r="B856" s="80">
        <f>MID(INDEX('Anonymization Key'!$B$4:$B$1003,MATCH(A856,'Anonymization Key'!$A$4:$A$1003,0)),3,2)</f>
        <v/>
      </c>
      <c r="C856" s="81">
        <f>IF(ISNUMBER('Blind Scoring Sheet'!B856),'Blind Scoring Sheet'!B856,VALUE(TRIM(LEFT('Blind Scoring Sheet'!B856,FIND("|",'Blind Scoring Sheet'!B856)-1))))</f>
        <v/>
      </c>
      <c r="D856" s="81">
        <f>IF(ISNUMBER('Blind Scoring Sheet'!D856),'Blind Scoring Sheet'!D856,VALUE(TRIM(LEFT('Blind Scoring Sheet'!D856,FIND("|",'Blind Scoring Sheet'!D856)-1))))</f>
        <v/>
      </c>
      <c r="E856" s="81">
        <f>IF(ISNUMBER('Blind Scoring Sheet'!F856),'Blind Scoring Sheet'!F856,VALUE(TRIM(LEFT('Blind Scoring Sheet'!F856,FIND("|",'Blind Scoring Sheet'!F856)-1))))</f>
        <v/>
      </c>
      <c r="F856" s="81">
        <f>IF(ISNUMBER('Blind Scoring Sheet'!H856),'Blind Scoring Sheet'!H856,VALUE(TRIM(LEFT('Blind Scoring Sheet'!H856,FIND("|",'Blind Scoring Sheet'!H856)-1))))</f>
        <v/>
      </c>
      <c r="G856" s="81">
        <f>IF(ISNUMBER('Blind Scoring Sheet'!J856),'Blind Scoring Sheet'!J856,VALUE(TRIM(LEFT('Blind Scoring Sheet'!J856,FIND("|",'Blind Scoring Sheet'!J856)-1))))</f>
        <v/>
      </c>
      <c r="H856" s="80">
        <f>IF(ISNUMBER(SEARCH("|",'Blind Scoring Sheet'!K856)),TRIM(LEFT('Blind Scoring Sheet'!K856,FIND("|",'Blind Scoring Sheet'!K856)-1)),TRIM('Blind Scoring Sheet'!K856))</f>
        <v/>
      </c>
    </row>
    <row r="857" ht="15" customHeight="1" s="38">
      <c r="A857" s="80">
        <f>'Blind Scoring Sheet'!A857</f>
        <v/>
      </c>
      <c r="B857" s="80">
        <f>MID(INDEX('Anonymization Key'!$B$4:$B$1003,MATCH(A857,'Anonymization Key'!$A$4:$A$1003,0)),3,2)</f>
        <v/>
      </c>
      <c r="C857" s="81">
        <f>IF(ISNUMBER('Blind Scoring Sheet'!B857),'Blind Scoring Sheet'!B857,VALUE(TRIM(LEFT('Blind Scoring Sheet'!B857,FIND("|",'Blind Scoring Sheet'!B857)-1))))</f>
        <v/>
      </c>
      <c r="D857" s="81">
        <f>IF(ISNUMBER('Blind Scoring Sheet'!D857),'Blind Scoring Sheet'!D857,VALUE(TRIM(LEFT('Blind Scoring Sheet'!D857,FIND("|",'Blind Scoring Sheet'!D857)-1))))</f>
        <v/>
      </c>
      <c r="E857" s="81">
        <f>IF(ISNUMBER('Blind Scoring Sheet'!F857),'Blind Scoring Sheet'!F857,VALUE(TRIM(LEFT('Blind Scoring Sheet'!F857,FIND("|",'Blind Scoring Sheet'!F857)-1))))</f>
        <v/>
      </c>
      <c r="F857" s="81">
        <f>IF(ISNUMBER('Blind Scoring Sheet'!H857),'Blind Scoring Sheet'!H857,VALUE(TRIM(LEFT('Blind Scoring Sheet'!H857,FIND("|",'Blind Scoring Sheet'!H857)-1))))</f>
        <v/>
      </c>
      <c r="G857" s="81">
        <f>IF(ISNUMBER('Blind Scoring Sheet'!J857),'Blind Scoring Sheet'!J857,VALUE(TRIM(LEFT('Blind Scoring Sheet'!J857,FIND("|",'Blind Scoring Sheet'!J857)-1))))</f>
        <v/>
      </c>
      <c r="H857" s="80">
        <f>IF(ISNUMBER(SEARCH("|",'Blind Scoring Sheet'!K857)),TRIM(LEFT('Blind Scoring Sheet'!K857,FIND("|",'Blind Scoring Sheet'!K857)-1)),TRIM('Blind Scoring Sheet'!K857))</f>
        <v/>
      </c>
    </row>
    <row r="858" ht="15" customHeight="1" s="38">
      <c r="A858" s="80">
        <f>'Blind Scoring Sheet'!A858</f>
        <v/>
      </c>
      <c r="B858" s="80">
        <f>MID(INDEX('Anonymization Key'!$B$4:$B$1003,MATCH(A858,'Anonymization Key'!$A$4:$A$1003,0)),3,2)</f>
        <v/>
      </c>
      <c r="C858" s="81">
        <f>IF(ISNUMBER('Blind Scoring Sheet'!B858),'Blind Scoring Sheet'!B858,VALUE(TRIM(LEFT('Blind Scoring Sheet'!B858,FIND("|",'Blind Scoring Sheet'!B858)-1))))</f>
        <v/>
      </c>
      <c r="D858" s="81">
        <f>IF(ISNUMBER('Blind Scoring Sheet'!D858),'Blind Scoring Sheet'!D858,VALUE(TRIM(LEFT('Blind Scoring Sheet'!D858,FIND("|",'Blind Scoring Sheet'!D858)-1))))</f>
        <v/>
      </c>
      <c r="E858" s="81">
        <f>IF(ISNUMBER('Blind Scoring Sheet'!F858),'Blind Scoring Sheet'!F858,VALUE(TRIM(LEFT('Blind Scoring Sheet'!F858,FIND("|",'Blind Scoring Sheet'!F858)-1))))</f>
        <v/>
      </c>
      <c r="F858" s="81">
        <f>IF(ISNUMBER('Blind Scoring Sheet'!H858),'Blind Scoring Sheet'!H858,VALUE(TRIM(LEFT('Blind Scoring Sheet'!H858,FIND("|",'Blind Scoring Sheet'!H858)-1))))</f>
        <v/>
      </c>
      <c r="G858" s="81">
        <f>IF(ISNUMBER('Blind Scoring Sheet'!J858),'Blind Scoring Sheet'!J858,VALUE(TRIM(LEFT('Blind Scoring Sheet'!J858,FIND("|",'Blind Scoring Sheet'!J858)-1))))</f>
        <v/>
      </c>
      <c r="H858" s="80">
        <f>IF(ISNUMBER(SEARCH("|",'Blind Scoring Sheet'!K858)),TRIM(LEFT('Blind Scoring Sheet'!K858,FIND("|",'Blind Scoring Sheet'!K858)-1)),TRIM('Blind Scoring Sheet'!K858))</f>
        <v/>
      </c>
    </row>
    <row r="859" ht="15" customHeight="1" s="38">
      <c r="A859" s="80">
        <f>'Blind Scoring Sheet'!A859</f>
        <v/>
      </c>
      <c r="B859" s="80">
        <f>MID(INDEX('Anonymization Key'!$B$4:$B$1003,MATCH(A859,'Anonymization Key'!$A$4:$A$1003,0)),3,2)</f>
        <v/>
      </c>
      <c r="C859" s="81">
        <f>IF(ISNUMBER('Blind Scoring Sheet'!B859),'Blind Scoring Sheet'!B859,VALUE(TRIM(LEFT('Blind Scoring Sheet'!B859,FIND("|",'Blind Scoring Sheet'!B859)-1))))</f>
        <v/>
      </c>
      <c r="D859" s="81">
        <f>IF(ISNUMBER('Blind Scoring Sheet'!D859),'Blind Scoring Sheet'!D859,VALUE(TRIM(LEFT('Blind Scoring Sheet'!D859,FIND("|",'Blind Scoring Sheet'!D859)-1))))</f>
        <v/>
      </c>
      <c r="E859" s="81">
        <f>IF(ISNUMBER('Blind Scoring Sheet'!F859),'Blind Scoring Sheet'!F859,VALUE(TRIM(LEFT('Blind Scoring Sheet'!F859,FIND("|",'Blind Scoring Sheet'!F859)-1))))</f>
        <v/>
      </c>
      <c r="F859" s="81">
        <f>IF(ISNUMBER('Blind Scoring Sheet'!H859),'Blind Scoring Sheet'!H859,VALUE(TRIM(LEFT('Blind Scoring Sheet'!H859,FIND("|",'Blind Scoring Sheet'!H859)-1))))</f>
        <v/>
      </c>
      <c r="G859" s="81">
        <f>IF(ISNUMBER('Blind Scoring Sheet'!J859),'Blind Scoring Sheet'!J859,VALUE(TRIM(LEFT('Blind Scoring Sheet'!J859,FIND("|",'Blind Scoring Sheet'!J859)-1))))</f>
        <v/>
      </c>
      <c r="H859" s="80">
        <f>IF(ISNUMBER(SEARCH("|",'Blind Scoring Sheet'!K859)),TRIM(LEFT('Blind Scoring Sheet'!K859,FIND("|",'Blind Scoring Sheet'!K859)-1)),TRIM('Blind Scoring Sheet'!K859))</f>
        <v/>
      </c>
    </row>
    <row r="860" ht="15" customHeight="1" s="38">
      <c r="A860" s="80">
        <f>'Blind Scoring Sheet'!A860</f>
        <v/>
      </c>
      <c r="B860" s="80">
        <f>MID(INDEX('Anonymization Key'!$B$4:$B$1003,MATCH(A860,'Anonymization Key'!$A$4:$A$1003,0)),3,2)</f>
        <v/>
      </c>
      <c r="C860" s="81">
        <f>IF(ISNUMBER('Blind Scoring Sheet'!B860),'Blind Scoring Sheet'!B860,VALUE(TRIM(LEFT('Blind Scoring Sheet'!B860,FIND("|",'Blind Scoring Sheet'!B860)-1))))</f>
        <v/>
      </c>
      <c r="D860" s="81">
        <f>IF(ISNUMBER('Blind Scoring Sheet'!D860),'Blind Scoring Sheet'!D860,VALUE(TRIM(LEFT('Blind Scoring Sheet'!D860,FIND("|",'Blind Scoring Sheet'!D860)-1))))</f>
        <v/>
      </c>
      <c r="E860" s="81">
        <f>IF(ISNUMBER('Blind Scoring Sheet'!F860),'Blind Scoring Sheet'!F860,VALUE(TRIM(LEFT('Blind Scoring Sheet'!F860,FIND("|",'Blind Scoring Sheet'!F860)-1))))</f>
        <v/>
      </c>
      <c r="F860" s="81">
        <f>IF(ISNUMBER('Blind Scoring Sheet'!H860),'Blind Scoring Sheet'!H860,VALUE(TRIM(LEFT('Blind Scoring Sheet'!H860,FIND("|",'Blind Scoring Sheet'!H860)-1))))</f>
        <v/>
      </c>
      <c r="G860" s="81">
        <f>IF(ISNUMBER('Blind Scoring Sheet'!J860),'Blind Scoring Sheet'!J860,VALUE(TRIM(LEFT('Blind Scoring Sheet'!J860,FIND("|",'Blind Scoring Sheet'!J860)-1))))</f>
        <v/>
      </c>
      <c r="H860" s="80">
        <f>IF(ISNUMBER(SEARCH("|",'Blind Scoring Sheet'!K860)),TRIM(LEFT('Blind Scoring Sheet'!K860,FIND("|",'Blind Scoring Sheet'!K860)-1)),TRIM('Blind Scoring Sheet'!K860))</f>
        <v/>
      </c>
    </row>
    <row r="861" ht="15" customHeight="1" s="38">
      <c r="A861" s="80">
        <f>'Blind Scoring Sheet'!A861</f>
        <v/>
      </c>
      <c r="B861" s="80">
        <f>MID(INDEX('Anonymization Key'!$B$4:$B$1003,MATCH(A861,'Anonymization Key'!$A$4:$A$1003,0)),3,2)</f>
        <v/>
      </c>
      <c r="C861" s="81">
        <f>IF(ISNUMBER('Blind Scoring Sheet'!B861),'Blind Scoring Sheet'!B861,VALUE(TRIM(LEFT('Blind Scoring Sheet'!B861,FIND("|",'Blind Scoring Sheet'!B861)-1))))</f>
        <v/>
      </c>
      <c r="D861" s="81">
        <f>IF(ISNUMBER('Blind Scoring Sheet'!D861),'Blind Scoring Sheet'!D861,VALUE(TRIM(LEFT('Blind Scoring Sheet'!D861,FIND("|",'Blind Scoring Sheet'!D861)-1))))</f>
        <v/>
      </c>
      <c r="E861" s="81">
        <f>IF(ISNUMBER('Blind Scoring Sheet'!F861),'Blind Scoring Sheet'!F861,VALUE(TRIM(LEFT('Blind Scoring Sheet'!F861,FIND("|",'Blind Scoring Sheet'!F861)-1))))</f>
        <v/>
      </c>
      <c r="F861" s="81">
        <f>IF(ISNUMBER('Blind Scoring Sheet'!H861),'Blind Scoring Sheet'!H861,VALUE(TRIM(LEFT('Blind Scoring Sheet'!H861,FIND("|",'Blind Scoring Sheet'!H861)-1))))</f>
        <v/>
      </c>
      <c r="G861" s="81">
        <f>IF(ISNUMBER('Blind Scoring Sheet'!J861),'Blind Scoring Sheet'!J861,VALUE(TRIM(LEFT('Blind Scoring Sheet'!J861,FIND("|",'Blind Scoring Sheet'!J861)-1))))</f>
        <v/>
      </c>
      <c r="H861" s="80">
        <f>IF(ISNUMBER(SEARCH("|",'Blind Scoring Sheet'!K861)),TRIM(LEFT('Blind Scoring Sheet'!K861,FIND("|",'Blind Scoring Sheet'!K861)-1)),TRIM('Blind Scoring Sheet'!K861))</f>
        <v/>
      </c>
    </row>
    <row r="862" ht="15" customHeight="1" s="38">
      <c r="A862" s="80">
        <f>'Blind Scoring Sheet'!A862</f>
        <v/>
      </c>
      <c r="B862" s="80">
        <f>MID(INDEX('Anonymization Key'!$B$4:$B$1003,MATCH(A862,'Anonymization Key'!$A$4:$A$1003,0)),3,2)</f>
        <v/>
      </c>
      <c r="C862" s="81">
        <f>IF(ISNUMBER('Blind Scoring Sheet'!B862),'Blind Scoring Sheet'!B862,VALUE(TRIM(LEFT('Blind Scoring Sheet'!B862,FIND("|",'Blind Scoring Sheet'!B862)-1))))</f>
        <v/>
      </c>
      <c r="D862" s="81">
        <f>IF(ISNUMBER('Blind Scoring Sheet'!D862),'Blind Scoring Sheet'!D862,VALUE(TRIM(LEFT('Blind Scoring Sheet'!D862,FIND("|",'Blind Scoring Sheet'!D862)-1))))</f>
        <v/>
      </c>
      <c r="E862" s="81">
        <f>IF(ISNUMBER('Blind Scoring Sheet'!F862),'Blind Scoring Sheet'!F862,VALUE(TRIM(LEFT('Blind Scoring Sheet'!F862,FIND("|",'Blind Scoring Sheet'!F862)-1))))</f>
        <v/>
      </c>
      <c r="F862" s="81">
        <f>IF(ISNUMBER('Blind Scoring Sheet'!H862),'Blind Scoring Sheet'!H862,VALUE(TRIM(LEFT('Blind Scoring Sheet'!H862,FIND("|",'Blind Scoring Sheet'!H862)-1))))</f>
        <v/>
      </c>
      <c r="G862" s="81">
        <f>IF(ISNUMBER('Blind Scoring Sheet'!J862),'Blind Scoring Sheet'!J862,VALUE(TRIM(LEFT('Blind Scoring Sheet'!J862,FIND("|",'Blind Scoring Sheet'!J862)-1))))</f>
        <v/>
      </c>
      <c r="H862" s="80">
        <f>IF(ISNUMBER(SEARCH("|",'Blind Scoring Sheet'!K862)),TRIM(LEFT('Blind Scoring Sheet'!K862,FIND("|",'Blind Scoring Sheet'!K862)-1)),TRIM('Blind Scoring Sheet'!K862))</f>
        <v/>
      </c>
    </row>
    <row r="863" ht="15" customHeight="1" s="38">
      <c r="A863" s="80">
        <f>'Blind Scoring Sheet'!A863</f>
        <v/>
      </c>
      <c r="B863" s="80">
        <f>MID(INDEX('Anonymization Key'!$B$4:$B$1003,MATCH(A863,'Anonymization Key'!$A$4:$A$1003,0)),3,2)</f>
        <v/>
      </c>
      <c r="C863" s="81">
        <f>IF(ISNUMBER('Blind Scoring Sheet'!B863),'Blind Scoring Sheet'!B863,VALUE(TRIM(LEFT('Blind Scoring Sheet'!B863,FIND("|",'Blind Scoring Sheet'!B863)-1))))</f>
        <v/>
      </c>
      <c r="D863" s="81">
        <f>IF(ISNUMBER('Blind Scoring Sheet'!D863),'Blind Scoring Sheet'!D863,VALUE(TRIM(LEFT('Blind Scoring Sheet'!D863,FIND("|",'Blind Scoring Sheet'!D863)-1))))</f>
        <v/>
      </c>
      <c r="E863" s="81">
        <f>IF(ISNUMBER('Blind Scoring Sheet'!F863),'Blind Scoring Sheet'!F863,VALUE(TRIM(LEFT('Blind Scoring Sheet'!F863,FIND("|",'Blind Scoring Sheet'!F863)-1))))</f>
        <v/>
      </c>
      <c r="F863" s="81">
        <f>IF(ISNUMBER('Blind Scoring Sheet'!H863),'Blind Scoring Sheet'!H863,VALUE(TRIM(LEFT('Blind Scoring Sheet'!H863,FIND("|",'Blind Scoring Sheet'!H863)-1))))</f>
        <v/>
      </c>
      <c r="G863" s="81">
        <f>IF(ISNUMBER('Blind Scoring Sheet'!J863),'Blind Scoring Sheet'!J863,VALUE(TRIM(LEFT('Blind Scoring Sheet'!J863,FIND("|",'Blind Scoring Sheet'!J863)-1))))</f>
        <v/>
      </c>
      <c r="H863" s="80">
        <f>IF(ISNUMBER(SEARCH("|",'Blind Scoring Sheet'!K863)),TRIM(LEFT('Blind Scoring Sheet'!K863,FIND("|",'Blind Scoring Sheet'!K863)-1)),TRIM('Blind Scoring Sheet'!K863))</f>
        <v/>
      </c>
    </row>
    <row r="864" ht="15" customHeight="1" s="38">
      <c r="A864" s="80">
        <f>'Blind Scoring Sheet'!A864</f>
        <v/>
      </c>
      <c r="B864" s="80">
        <f>MID(INDEX('Anonymization Key'!$B$4:$B$1003,MATCH(A864,'Anonymization Key'!$A$4:$A$1003,0)),3,2)</f>
        <v/>
      </c>
      <c r="C864" s="81">
        <f>IF(ISNUMBER('Blind Scoring Sheet'!B864),'Blind Scoring Sheet'!B864,VALUE(TRIM(LEFT('Blind Scoring Sheet'!B864,FIND("|",'Blind Scoring Sheet'!B864)-1))))</f>
        <v/>
      </c>
      <c r="D864" s="81">
        <f>IF(ISNUMBER('Blind Scoring Sheet'!D864),'Blind Scoring Sheet'!D864,VALUE(TRIM(LEFT('Blind Scoring Sheet'!D864,FIND("|",'Blind Scoring Sheet'!D864)-1))))</f>
        <v/>
      </c>
      <c r="E864" s="81">
        <f>IF(ISNUMBER('Blind Scoring Sheet'!F864),'Blind Scoring Sheet'!F864,VALUE(TRIM(LEFT('Blind Scoring Sheet'!F864,FIND("|",'Blind Scoring Sheet'!F864)-1))))</f>
        <v/>
      </c>
      <c r="F864" s="81">
        <f>IF(ISNUMBER('Blind Scoring Sheet'!H864),'Blind Scoring Sheet'!H864,VALUE(TRIM(LEFT('Blind Scoring Sheet'!H864,FIND("|",'Blind Scoring Sheet'!H864)-1))))</f>
        <v/>
      </c>
      <c r="G864" s="81">
        <f>IF(ISNUMBER('Blind Scoring Sheet'!J864),'Blind Scoring Sheet'!J864,VALUE(TRIM(LEFT('Blind Scoring Sheet'!J864,FIND("|",'Blind Scoring Sheet'!J864)-1))))</f>
        <v/>
      </c>
      <c r="H864" s="80">
        <f>IF(ISNUMBER(SEARCH("|",'Blind Scoring Sheet'!K864)),TRIM(LEFT('Blind Scoring Sheet'!K864,FIND("|",'Blind Scoring Sheet'!K864)-1)),TRIM('Blind Scoring Sheet'!K864))</f>
        <v/>
      </c>
    </row>
    <row r="865" ht="15" customHeight="1" s="38">
      <c r="A865" s="80">
        <f>'Blind Scoring Sheet'!A865</f>
        <v/>
      </c>
      <c r="B865" s="80">
        <f>MID(INDEX('Anonymization Key'!$B$4:$B$1003,MATCH(A865,'Anonymization Key'!$A$4:$A$1003,0)),3,2)</f>
        <v/>
      </c>
      <c r="C865" s="81">
        <f>IF(ISNUMBER('Blind Scoring Sheet'!B865),'Blind Scoring Sheet'!B865,VALUE(TRIM(LEFT('Blind Scoring Sheet'!B865,FIND("|",'Blind Scoring Sheet'!B865)-1))))</f>
        <v/>
      </c>
      <c r="D865" s="81">
        <f>IF(ISNUMBER('Blind Scoring Sheet'!D865),'Blind Scoring Sheet'!D865,VALUE(TRIM(LEFT('Blind Scoring Sheet'!D865,FIND("|",'Blind Scoring Sheet'!D865)-1))))</f>
        <v/>
      </c>
      <c r="E865" s="81">
        <f>IF(ISNUMBER('Blind Scoring Sheet'!F865),'Blind Scoring Sheet'!F865,VALUE(TRIM(LEFT('Blind Scoring Sheet'!F865,FIND("|",'Blind Scoring Sheet'!F865)-1))))</f>
        <v/>
      </c>
      <c r="F865" s="81">
        <f>IF(ISNUMBER('Blind Scoring Sheet'!H865),'Blind Scoring Sheet'!H865,VALUE(TRIM(LEFT('Blind Scoring Sheet'!H865,FIND("|",'Blind Scoring Sheet'!H865)-1))))</f>
        <v/>
      </c>
      <c r="G865" s="81">
        <f>IF(ISNUMBER('Blind Scoring Sheet'!J865),'Blind Scoring Sheet'!J865,VALUE(TRIM(LEFT('Blind Scoring Sheet'!J865,FIND("|",'Blind Scoring Sheet'!J865)-1))))</f>
        <v/>
      </c>
      <c r="H865" s="80">
        <f>IF(ISNUMBER(SEARCH("|",'Blind Scoring Sheet'!K865)),TRIM(LEFT('Blind Scoring Sheet'!K865,FIND("|",'Blind Scoring Sheet'!K865)-1)),TRIM('Blind Scoring Sheet'!K865))</f>
        <v/>
      </c>
    </row>
    <row r="866" ht="15" customHeight="1" s="38">
      <c r="A866" s="80">
        <f>'Blind Scoring Sheet'!A866</f>
        <v/>
      </c>
      <c r="B866" s="80">
        <f>MID(INDEX('Anonymization Key'!$B$4:$B$1003,MATCH(A866,'Anonymization Key'!$A$4:$A$1003,0)),3,2)</f>
        <v/>
      </c>
      <c r="C866" s="81">
        <f>IF(ISNUMBER('Blind Scoring Sheet'!B866),'Blind Scoring Sheet'!B866,VALUE(TRIM(LEFT('Blind Scoring Sheet'!B866,FIND("|",'Blind Scoring Sheet'!B866)-1))))</f>
        <v/>
      </c>
      <c r="D866" s="81">
        <f>IF(ISNUMBER('Blind Scoring Sheet'!D866),'Blind Scoring Sheet'!D866,VALUE(TRIM(LEFT('Blind Scoring Sheet'!D866,FIND("|",'Blind Scoring Sheet'!D866)-1))))</f>
        <v/>
      </c>
      <c r="E866" s="81">
        <f>IF(ISNUMBER('Blind Scoring Sheet'!F866),'Blind Scoring Sheet'!F866,VALUE(TRIM(LEFT('Blind Scoring Sheet'!F866,FIND("|",'Blind Scoring Sheet'!F866)-1))))</f>
        <v/>
      </c>
      <c r="F866" s="81">
        <f>IF(ISNUMBER('Blind Scoring Sheet'!H866),'Blind Scoring Sheet'!H866,VALUE(TRIM(LEFT('Blind Scoring Sheet'!H866,FIND("|",'Blind Scoring Sheet'!H866)-1))))</f>
        <v/>
      </c>
      <c r="G866" s="81">
        <f>IF(ISNUMBER('Blind Scoring Sheet'!J866),'Blind Scoring Sheet'!J866,VALUE(TRIM(LEFT('Blind Scoring Sheet'!J866,FIND("|",'Blind Scoring Sheet'!J866)-1))))</f>
        <v/>
      </c>
      <c r="H866" s="80">
        <f>IF(ISNUMBER(SEARCH("|",'Blind Scoring Sheet'!K866)),TRIM(LEFT('Blind Scoring Sheet'!K866,FIND("|",'Blind Scoring Sheet'!K866)-1)),TRIM('Blind Scoring Sheet'!K866))</f>
        <v/>
      </c>
    </row>
    <row r="867" ht="15" customHeight="1" s="38">
      <c r="A867" s="80">
        <f>'Blind Scoring Sheet'!A867</f>
        <v/>
      </c>
      <c r="B867" s="80">
        <f>MID(INDEX('Anonymization Key'!$B$4:$B$1003,MATCH(A867,'Anonymization Key'!$A$4:$A$1003,0)),3,2)</f>
        <v/>
      </c>
      <c r="C867" s="81">
        <f>IF(ISNUMBER('Blind Scoring Sheet'!B867),'Blind Scoring Sheet'!B867,VALUE(TRIM(LEFT('Blind Scoring Sheet'!B867,FIND("|",'Blind Scoring Sheet'!B867)-1))))</f>
        <v/>
      </c>
      <c r="D867" s="81">
        <f>IF(ISNUMBER('Blind Scoring Sheet'!D867),'Blind Scoring Sheet'!D867,VALUE(TRIM(LEFT('Blind Scoring Sheet'!D867,FIND("|",'Blind Scoring Sheet'!D867)-1))))</f>
        <v/>
      </c>
      <c r="E867" s="81">
        <f>IF(ISNUMBER('Blind Scoring Sheet'!F867),'Blind Scoring Sheet'!F867,VALUE(TRIM(LEFT('Blind Scoring Sheet'!F867,FIND("|",'Blind Scoring Sheet'!F867)-1))))</f>
        <v/>
      </c>
      <c r="F867" s="81">
        <f>IF(ISNUMBER('Blind Scoring Sheet'!H867),'Blind Scoring Sheet'!H867,VALUE(TRIM(LEFT('Blind Scoring Sheet'!H867,FIND("|",'Blind Scoring Sheet'!H867)-1))))</f>
        <v/>
      </c>
      <c r="G867" s="81">
        <f>IF(ISNUMBER('Blind Scoring Sheet'!J867),'Blind Scoring Sheet'!J867,VALUE(TRIM(LEFT('Blind Scoring Sheet'!J867,FIND("|",'Blind Scoring Sheet'!J867)-1))))</f>
        <v/>
      </c>
      <c r="H867" s="80">
        <f>IF(ISNUMBER(SEARCH("|",'Blind Scoring Sheet'!K867)),TRIM(LEFT('Blind Scoring Sheet'!K867,FIND("|",'Blind Scoring Sheet'!K867)-1)),TRIM('Blind Scoring Sheet'!K867))</f>
        <v/>
      </c>
    </row>
    <row r="868" ht="15" customHeight="1" s="38">
      <c r="A868" s="80">
        <f>'Blind Scoring Sheet'!A868</f>
        <v/>
      </c>
      <c r="B868" s="80">
        <f>MID(INDEX('Anonymization Key'!$B$4:$B$1003,MATCH(A868,'Anonymization Key'!$A$4:$A$1003,0)),3,2)</f>
        <v/>
      </c>
      <c r="C868" s="81">
        <f>IF(ISNUMBER('Blind Scoring Sheet'!B868),'Blind Scoring Sheet'!B868,VALUE(TRIM(LEFT('Blind Scoring Sheet'!B868,FIND("|",'Blind Scoring Sheet'!B868)-1))))</f>
        <v/>
      </c>
      <c r="D868" s="81">
        <f>IF(ISNUMBER('Blind Scoring Sheet'!D868),'Blind Scoring Sheet'!D868,VALUE(TRIM(LEFT('Blind Scoring Sheet'!D868,FIND("|",'Blind Scoring Sheet'!D868)-1))))</f>
        <v/>
      </c>
      <c r="E868" s="81">
        <f>IF(ISNUMBER('Blind Scoring Sheet'!F868),'Blind Scoring Sheet'!F868,VALUE(TRIM(LEFT('Blind Scoring Sheet'!F868,FIND("|",'Blind Scoring Sheet'!F868)-1))))</f>
        <v/>
      </c>
      <c r="F868" s="81">
        <f>IF(ISNUMBER('Blind Scoring Sheet'!H868),'Blind Scoring Sheet'!H868,VALUE(TRIM(LEFT('Blind Scoring Sheet'!H868,FIND("|",'Blind Scoring Sheet'!H868)-1))))</f>
        <v/>
      </c>
      <c r="G868" s="81">
        <f>IF(ISNUMBER('Blind Scoring Sheet'!J868),'Blind Scoring Sheet'!J868,VALUE(TRIM(LEFT('Blind Scoring Sheet'!J868,FIND("|",'Blind Scoring Sheet'!J868)-1))))</f>
        <v/>
      </c>
      <c r="H868" s="80">
        <f>IF(ISNUMBER(SEARCH("|",'Blind Scoring Sheet'!K868)),TRIM(LEFT('Blind Scoring Sheet'!K868,FIND("|",'Blind Scoring Sheet'!K868)-1)),TRIM('Blind Scoring Sheet'!K868))</f>
        <v/>
      </c>
    </row>
    <row r="869" ht="15" customHeight="1" s="38">
      <c r="A869" s="80">
        <f>'Blind Scoring Sheet'!A869</f>
        <v/>
      </c>
      <c r="B869" s="80">
        <f>MID(INDEX('Anonymization Key'!$B$4:$B$1003,MATCH(A869,'Anonymization Key'!$A$4:$A$1003,0)),3,2)</f>
        <v/>
      </c>
      <c r="C869" s="81">
        <f>IF(ISNUMBER('Blind Scoring Sheet'!B869),'Blind Scoring Sheet'!B869,VALUE(TRIM(LEFT('Blind Scoring Sheet'!B869,FIND("|",'Blind Scoring Sheet'!B869)-1))))</f>
        <v/>
      </c>
      <c r="D869" s="81">
        <f>IF(ISNUMBER('Blind Scoring Sheet'!D869),'Blind Scoring Sheet'!D869,VALUE(TRIM(LEFT('Blind Scoring Sheet'!D869,FIND("|",'Blind Scoring Sheet'!D869)-1))))</f>
        <v/>
      </c>
      <c r="E869" s="81">
        <f>IF(ISNUMBER('Blind Scoring Sheet'!F869),'Blind Scoring Sheet'!F869,VALUE(TRIM(LEFT('Blind Scoring Sheet'!F869,FIND("|",'Blind Scoring Sheet'!F869)-1))))</f>
        <v/>
      </c>
      <c r="F869" s="81">
        <f>IF(ISNUMBER('Blind Scoring Sheet'!H869),'Blind Scoring Sheet'!H869,VALUE(TRIM(LEFT('Blind Scoring Sheet'!H869,FIND("|",'Blind Scoring Sheet'!H869)-1))))</f>
        <v/>
      </c>
      <c r="G869" s="81">
        <f>IF(ISNUMBER('Blind Scoring Sheet'!J869),'Blind Scoring Sheet'!J869,VALUE(TRIM(LEFT('Blind Scoring Sheet'!J869,FIND("|",'Blind Scoring Sheet'!J869)-1))))</f>
        <v/>
      </c>
      <c r="H869" s="80">
        <f>IF(ISNUMBER(SEARCH("|",'Blind Scoring Sheet'!K869)),TRIM(LEFT('Blind Scoring Sheet'!K869,FIND("|",'Blind Scoring Sheet'!K869)-1)),TRIM('Blind Scoring Sheet'!K869))</f>
        <v/>
      </c>
    </row>
    <row r="870" ht="15" customHeight="1" s="38">
      <c r="A870" s="80">
        <f>'Blind Scoring Sheet'!A870</f>
        <v/>
      </c>
      <c r="B870" s="80">
        <f>MID(INDEX('Anonymization Key'!$B$4:$B$1003,MATCH(A870,'Anonymization Key'!$A$4:$A$1003,0)),3,2)</f>
        <v/>
      </c>
      <c r="C870" s="81">
        <f>IF(ISNUMBER('Blind Scoring Sheet'!B870),'Blind Scoring Sheet'!B870,VALUE(TRIM(LEFT('Blind Scoring Sheet'!B870,FIND("|",'Blind Scoring Sheet'!B870)-1))))</f>
        <v/>
      </c>
      <c r="D870" s="81">
        <f>IF(ISNUMBER('Blind Scoring Sheet'!D870),'Blind Scoring Sheet'!D870,VALUE(TRIM(LEFT('Blind Scoring Sheet'!D870,FIND("|",'Blind Scoring Sheet'!D870)-1))))</f>
        <v/>
      </c>
      <c r="E870" s="81">
        <f>IF(ISNUMBER('Blind Scoring Sheet'!F870),'Blind Scoring Sheet'!F870,VALUE(TRIM(LEFT('Blind Scoring Sheet'!F870,FIND("|",'Blind Scoring Sheet'!F870)-1))))</f>
        <v/>
      </c>
      <c r="F870" s="81">
        <f>IF(ISNUMBER('Blind Scoring Sheet'!H870),'Blind Scoring Sheet'!H870,VALUE(TRIM(LEFT('Blind Scoring Sheet'!H870,FIND("|",'Blind Scoring Sheet'!H870)-1))))</f>
        <v/>
      </c>
      <c r="G870" s="81">
        <f>IF(ISNUMBER('Blind Scoring Sheet'!J870),'Blind Scoring Sheet'!J870,VALUE(TRIM(LEFT('Blind Scoring Sheet'!J870,FIND("|",'Blind Scoring Sheet'!J870)-1))))</f>
        <v/>
      </c>
      <c r="H870" s="80">
        <f>IF(ISNUMBER(SEARCH("|",'Blind Scoring Sheet'!K870)),TRIM(LEFT('Blind Scoring Sheet'!K870,FIND("|",'Blind Scoring Sheet'!K870)-1)),TRIM('Blind Scoring Sheet'!K870))</f>
        <v/>
      </c>
    </row>
    <row r="871" ht="15" customHeight="1" s="38">
      <c r="A871" s="80">
        <f>'Blind Scoring Sheet'!A871</f>
        <v/>
      </c>
      <c r="B871" s="80">
        <f>MID(INDEX('Anonymization Key'!$B$4:$B$1003,MATCH(A871,'Anonymization Key'!$A$4:$A$1003,0)),3,2)</f>
        <v/>
      </c>
      <c r="C871" s="81">
        <f>IF(ISNUMBER('Blind Scoring Sheet'!B871),'Blind Scoring Sheet'!B871,VALUE(TRIM(LEFT('Blind Scoring Sheet'!B871,FIND("|",'Blind Scoring Sheet'!B871)-1))))</f>
        <v/>
      </c>
      <c r="D871" s="81">
        <f>IF(ISNUMBER('Blind Scoring Sheet'!D871),'Blind Scoring Sheet'!D871,VALUE(TRIM(LEFT('Blind Scoring Sheet'!D871,FIND("|",'Blind Scoring Sheet'!D871)-1))))</f>
        <v/>
      </c>
      <c r="E871" s="81">
        <f>IF(ISNUMBER('Blind Scoring Sheet'!F871),'Blind Scoring Sheet'!F871,VALUE(TRIM(LEFT('Blind Scoring Sheet'!F871,FIND("|",'Blind Scoring Sheet'!F871)-1))))</f>
        <v/>
      </c>
      <c r="F871" s="81">
        <f>IF(ISNUMBER('Blind Scoring Sheet'!H871),'Blind Scoring Sheet'!H871,VALUE(TRIM(LEFT('Blind Scoring Sheet'!H871,FIND("|",'Blind Scoring Sheet'!H871)-1))))</f>
        <v/>
      </c>
      <c r="G871" s="81">
        <f>IF(ISNUMBER('Blind Scoring Sheet'!J871),'Blind Scoring Sheet'!J871,VALUE(TRIM(LEFT('Blind Scoring Sheet'!J871,FIND("|",'Blind Scoring Sheet'!J871)-1))))</f>
        <v/>
      </c>
      <c r="H871" s="80">
        <f>IF(ISNUMBER(SEARCH("|",'Blind Scoring Sheet'!K871)),TRIM(LEFT('Blind Scoring Sheet'!K871,FIND("|",'Blind Scoring Sheet'!K871)-1)),TRIM('Blind Scoring Sheet'!K871))</f>
        <v/>
      </c>
    </row>
    <row r="872" ht="15" customHeight="1" s="38">
      <c r="A872" s="80">
        <f>'Blind Scoring Sheet'!A872</f>
        <v/>
      </c>
      <c r="B872" s="80">
        <f>MID(INDEX('Anonymization Key'!$B$4:$B$1003,MATCH(A872,'Anonymization Key'!$A$4:$A$1003,0)),3,2)</f>
        <v/>
      </c>
      <c r="C872" s="81">
        <f>IF(ISNUMBER('Blind Scoring Sheet'!B872),'Blind Scoring Sheet'!B872,VALUE(TRIM(LEFT('Blind Scoring Sheet'!B872,FIND("|",'Blind Scoring Sheet'!B872)-1))))</f>
        <v/>
      </c>
      <c r="D872" s="81">
        <f>IF(ISNUMBER('Blind Scoring Sheet'!D872),'Blind Scoring Sheet'!D872,VALUE(TRIM(LEFT('Blind Scoring Sheet'!D872,FIND("|",'Blind Scoring Sheet'!D872)-1))))</f>
        <v/>
      </c>
      <c r="E872" s="81">
        <f>IF(ISNUMBER('Blind Scoring Sheet'!F872),'Blind Scoring Sheet'!F872,VALUE(TRIM(LEFT('Blind Scoring Sheet'!F872,FIND("|",'Blind Scoring Sheet'!F872)-1))))</f>
        <v/>
      </c>
      <c r="F872" s="81">
        <f>IF(ISNUMBER('Blind Scoring Sheet'!H872),'Blind Scoring Sheet'!H872,VALUE(TRIM(LEFT('Blind Scoring Sheet'!H872,FIND("|",'Blind Scoring Sheet'!H872)-1))))</f>
        <v/>
      </c>
      <c r="G872" s="81">
        <f>IF(ISNUMBER('Blind Scoring Sheet'!J872),'Blind Scoring Sheet'!J872,VALUE(TRIM(LEFT('Blind Scoring Sheet'!J872,FIND("|",'Blind Scoring Sheet'!J872)-1))))</f>
        <v/>
      </c>
      <c r="H872" s="80">
        <f>IF(ISNUMBER(SEARCH("|",'Blind Scoring Sheet'!K872)),TRIM(LEFT('Blind Scoring Sheet'!K872,FIND("|",'Blind Scoring Sheet'!K872)-1)),TRIM('Blind Scoring Sheet'!K872))</f>
        <v/>
      </c>
    </row>
    <row r="873" ht="15" customHeight="1" s="38">
      <c r="A873" s="80">
        <f>'Blind Scoring Sheet'!A873</f>
        <v/>
      </c>
      <c r="B873" s="80">
        <f>MID(INDEX('Anonymization Key'!$B$4:$B$1003,MATCH(A873,'Anonymization Key'!$A$4:$A$1003,0)),3,2)</f>
        <v/>
      </c>
      <c r="C873" s="81">
        <f>IF(ISNUMBER('Blind Scoring Sheet'!B873),'Blind Scoring Sheet'!B873,VALUE(TRIM(LEFT('Blind Scoring Sheet'!B873,FIND("|",'Blind Scoring Sheet'!B873)-1))))</f>
        <v/>
      </c>
      <c r="D873" s="81">
        <f>IF(ISNUMBER('Blind Scoring Sheet'!D873),'Blind Scoring Sheet'!D873,VALUE(TRIM(LEFT('Blind Scoring Sheet'!D873,FIND("|",'Blind Scoring Sheet'!D873)-1))))</f>
        <v/>
      </c>
      <c r="E873" s="81">
        <f>IF(ISNUMBER('Blind Scoring Sheet'!F873),'Blind Scoring Sheet'!F873,VALUE(TRIM(LEFT('Blind Scoring Sheet'!F873,FIND("|",'Blind Scoring Sheet'!F873)-1))))</f>
        <v/>
      </c>
      <c r="F873" s="81">
        <f>IF(ISNUMBER('Blind Scoring Sheet'!H873),'Blind Scoring Sheet'!H873,VALUE(TRIM(LEFT('Blind Scoring Sheet'!H873,FIND("|",'Blind Scoring Sheet'!H873)-1))))</f>
        <v/>
      </c>
      <c r="G873" s="81">
        <f>IF(ISNUMBER('Blind Scoring Sheet'!J873),'Blind Scoring Sheet'!J873,VALUE(TRIM(LEFT('Blind Scoring Sheet'!J873,FIND("|",'Blind Scoring Sheet'!J873)-1))))</f>
        <v/>
      </c>
      <c r="H873" s="80">
        <f>IF(ISNUMBER(SEARCH("|",'Blind Scoring Sheet'!K873)),TRIM(LEFT('Blind Scoring Sheet'!K873,FIND("|",'Blind Scoring Sheet'!K873)-1)),TRIM('Blind Scoring Sheet'!K873))</f>
        <v/>
      </c>
    </row>
    <row r="874" ht="15" customHeight="1" s="38">
      <c r="A874" s="80">
        <f>'Blind Scoring Sheet'!A874</f>
        <v/>
      </c>
      <c r="B874" s="80">
        <f>MID(INDEX('Anonymization Key'!$B$4:$B$1003,MATCH(A874,'Anonymization Key'!$A$4:$A$1003,0)),3,2)</f>
        <v/>
      </c>
      <c r="C874" s="81">
        <f>IF(ISNUMBER('Blind Scoring Sheet'!B874),'Blind Scoring Sheet'!B874,VALUE(TRIM(LEFT('Blind Scoring Sheet'!B874,FIND("|",'Blind Scoring Sheet'!B874)-1))))</f>
        <v/>
      </c>
      <c r="D874" s="81">
        <f>IF(ISNUMBER('Blind Scoring Sheet'!D874),'Blind Scoring Sheet'!D874,VALUE(TRIM(LEFT('Blind Scoring Sheet'!D874,FIND("|",'Blind Scoring Sheet'!D874)-1))))</f>
        <v/>
      </c>
      <c r="E874" s="81">
        <f>IF(ISNUMBER('Blind Scoring Sheet'!F874),'Blind Scoring Sheet'!F874,VALUE(TRIM(LEFT('Blind Scoring Sheet'!F874,FIND("|",'Blind Scoring Sheet'!F874)-1))))</f>
        <v/>
      </c>
      <c r="F874" s="81">
        <f>IF(ISNUMBER('Blind Scoring Sheet'!H874),'Blind Scoring Sheet'!H874,VALUE(TRIM(LEFT('Blind Scoring Sheet'!H874,FIND("|",'Blind Scoring Sheet'!H874)-1))))</f>
        <v/>
      </c>
      <c r="G874" s="81">
        <f>IF(ISNUMBER('Blind Scoring Sheet'!J874),'Blind Scoring Sheet'!J874,VALUE(TRIM(LEFT('Blind Scoring Sheet'!J874,FIND("|",'Blind Scoring Sheet'!J874)-1))))</f>
        <v/>
      </c>
      <c r="H874" s="80">
        <f>IF(ISNUMBER(SEARCH("|",'Blind Scoring Sheet'!K874)),TRIM(LEFT('Blind Scoring Sheet'!K874,FIND("|",'Blind Scoring Sheet'!K874)-1)),TRIM('Blind Scoring Sheet'!K874))</f>
        <v/>
      </c>
    </row>
    <row r="875" ht="15" customHeight="1" s="38">
      <c r="A875" s="80">
        <f>'Blind Scoring Sheet'!A875</f>
        <v/>
      </c>
      <c r="B875" s="80">
        <f>MID(INDEX('Anonymization Key'!$B$4:$B$1003,MATCH(A875,'Anonymization Key'!$A$4:$A$1003,0)),3,2)</f>
        <v/>
      </c>
      <c r="C875" s="81">
        <f>IF(ISNUMBER('Blind Scoring Sheet'!B875),'Blind Scoring Sheet'!B875,VALUE(TRIM(LEFT('Blind Scoring Sheet'!B875,FIND("|",'Blind Scoring Sheet'!B875)-1))))</f>
        <v/>
      </c>
      <c r="D875" s="81">
        <f>IF(ISNUMBER('Blind Scoring Sheet'!D875),'Blind Scoring Sheet'!D875,VALUE(TRIM(LEFT('Blind Scoring Sheet'!D875,FIND("|",'Blind Scoring Sheet'!D875)-1))))</f>
        <v/>
      </c>
      <c r="E875" s="81">
        <f>IF(ISNUMBER('Blind Scoring Sheet'!F875),'Blind Scoring Sheet'!F875,VALUE(TRIM(LEFT('Blind Scoring Sheet'!F875,FIND("|",'Blind Scoring Sheet'!F875)-1))))</f>
        <v/>
      </c>
      <c r="F875" s="81">
        <f>IF(ISNUMBER('Blind Scoring Sheet'!H875),'Blind Scoring Sheet'!H875,VALUE(TRIM(LEFT('Blind Scoring Sheet'!H875,FIND("|",'Blind Scoring Sheet'!H875)-1))))</f>
        <v/>
      </c>
      <c r="G875" s="81">
        <f>IF(ISNUMBER('Blind Scoring Sheet'!J875),'Blind Scoring Sheet'!J875,VALUE(TRIM(LEFT('Blind Scoring Sheet'!J875,FIND("|",'Blind Scoring Sheet'!J875)-1))))</f>
        <v/>
      </c>
      <c r="H875" s="80">
        <f>IF(ISNUMBER(SEARCH("|",'Blind Scoring Sheet'!K875)),TRIM(LEFT('Blind Scoring Sheet'!K875,FIND("|",'Blind Scoring Sheet'!K875)-1)),TRIM('Blind Scoring Sheet'!K875))</f>
        <v/>
      </c>
    </row>
    <row r="876" ht="15" customHeight="1" s="38">
      <c r="A876" s="80">
        <f>'Blind Scoring Sheet'!A876</f>
        <v/>
      </c>
      <c r="B876" s="80">
        <f>MID(INDEX('Anonymization Key'!$B$4:$B$1003,MATCH(A876,'Anonymization Key'!$A$4:$A$1003,0)),3,2)</f>
        <v/>
      </c>
      <c r="C876" s="81">
        <f>IF(ISNUMBER('Blind Scoring Sheet'!B876),'Blind Scoring Sheet'!B876,VALUE(TRIM(LEFT('Blind Scoring Sheet'!B876,FIND("|",'Blind Scoring Sheet'!B876)-1))))</f>
        <v/>
      </c>
      <c r="D876" s="81">
        <f>IF(ISNUMBER('Blind Scoring Sheet'!D876),'Blind Scoring Sheet'!D876,VALUE(TRIM(LEFT('Blind Scoring Sheet'!D876,FIND("|",'Blind Scoring Sheet'!D876)-1))))</f>
        <v/>
      </c>
      <c r="E876" s="81">
        <f>IF(ISNUMBER('Blind Scoring Sheet'!F876),'Blind Scoring Sheet'!F876,VALUE(TRIM(LEFT('Blind Scoring Sheet'!F876,FIND("|",'Blind Scoring Sheet'!F876)-1))))</f>
        <v/>
      </c>
      <c r="F876" s="81">
        <f>IF(ISNUMBER('Blind Scoring Sheet'!H876),'Blind Scoring Sheet'!H876,VALUE(TRIM(LEFT('Blind Scoring Sheet'!H876,FIND("|",'Blind Scoring Sheet'!H876)-1))))</f>
        <v/>
      </c>
      <c r="G876" s="81">
        <f>IF(ISNUMBER('Blind Scoring Sheet'!J876),'Blind Scoring Sheet'!J876,VALUE(TRIM(LEFT('Blind Scoring Sheet'!J876,FIND("|",'Blind Scoring Sheet'!J876)-1))))</f>
        <v/>
      </c>
      <c r="H876" s="80">
        <f>IF(ISNUMBER(SEARCH("|",'Blind Scoring Sheet'!K876)),TRIM(LEFT('Blind Scoring Sheet'!K876,FIND("|",'Blind Scoring Sheet'!K876)-1)),TRIM('Blind Scoring Sheet'!K876))</f>
        <v/>
      </c>
    </row>
    <row r="877" ht="15" customHeight="1" s="38">
      <c r="A877" s="80">
        <f>'Blind Scoring Sheet'!A877</f>
        <v/>
      </c>
      <c r="B877" s="80">
        <f>MID(INDEX('Anonymization Key'!$B$4:$B$1003,MATCH(A877,'Anonymization Key'!$A$4:$A$1003,0)),3,2)</f>
        <v/>
      </c>
      <c r="C877" s="81">
        <f>IF(ISNUMBER('Blind Scoring Sheet'!B877),'Blind Scoring Sheet'!B877,VALUE(TRIM(LEFT('Blind Scoring Sheet'!B877,FIND("|",'Blind Scoring Sheet'!B877)-1))))</f>
        <v/>
      </c>
      <c r="D877" s="81">
        <f>IF(ISNUMBER('Blind Scoring Sheet'!D877),'Blind Scoring Sheet'!D877,VALUE(TRIM(LEFT('Blind Scoring Sheet'!D877,FIND("|",'Blind Scoring Sheet'!D877)-1))))</f>
        <v/>
      </c>
      <c r="E877" s="81">
        <f>IF(ISNUMBER('Blind Scoring Sheet'!F877),'Blind Scoring Sheet'!F877,VALUE(TRIM(LEFT('Blind Scoring Sheet'!F877,FIND("|",'Blind Scoring Sheet'!F877)-1))))</f>
        <v/>
      </c>
      <c r="F877" s="81">
        <f>IF(ISNUMBER('Blind Scoring Sheet'!H877),'Blind Scoring Sheet'!H877,VALUE(TRIM(LEFT('Blind Scoring Sheet'!H877,FIND("|",'Blind Scoring Sheet'!H877)-1))))</f>
        <v/>
      </c>
      <c r="G877" s="81">
        <f>IF(ISNUMBER('Blind Scoring Sheet'!J877),'Blind Scoring Sheet'!J877,VALUE(TRIM(LEFT('Blind Scoring Sheet'!J877,FIND("|",'Blind Scoring Sheet'!J877)-1))))</f>
        <v/>
      </c>
      <c r="H877" s="80">
        <f>IF(ISNUMBER(SEARCH("|",'Blind Scoring Sheet'!K877)),TRIM(LEFT('Blind Scoring Sheet'!K877,FIND("|",'Blind Scoring Sheet'!K877)-1)),TRIM('Blind Scoring Sheet'!K877))</f>
        <v/>
      </c>
    </row>
    <row r="878" ht="15" customHeight="1" s="38">
      <c r="A878" s="80">
        <f>'Blind Scoring Sheet'!A878</f>
        <v/>
      </c>
      <c r="B878" s="80">
        <f>MID(INDEX('Anonymization Key'!$B$4:$B$1003,MATCH(A878,'Anonymization Key'!$A$4:$A$1003,0)),3,2)</f>
        <v/>
      </c>
      <c r="C878" s="81">
        <f>IF(ISNUMBER('Blind Scoring Sheet'!B878),'Blind Scoring Sheet'!B878,VALUE(TRIM(LEFT('Blind Scoring Sheet'!B878,FIND("|",'Blind Scoring Sheet'!B878)-1))))</f>
        <v/>
      </c>
      <c r="D878" s="81">
        <f>IF(ISNUMBER('Blind Scoring Sheet'!D878),'Blind Scoring Sheet'!D878,VALUE(TRIM(LEFT('Blind Scoring Sheet'!D878,FIND("|",'Blind Scoring Sheet'!D878)-1))))</f>
        <v/>
      </c>
      <c r="E878" s="81">
        <f>IF(ISNUMBER('Blind Scoring Sheet'!F878),'Blind Scoring Sheet'!F878,VALUE(TRIM(LEFT('Blind Scoring Sheet'!F878,FIND("|",'Blind Scoring Sheet'!F878)-1))))</f>
        <v/>
      </c>
      <c r="F878" s="81">
        <f>IF(ISNUMBER('Blind Scoring Sheet'!H878),'Blind Scoring Sheet'!H878,VALUE(TRIM(LEFT('Blind Scoring Sheet'!H878,FIND("|",'Blind Scoring Sheet'!H878)-1))))</f>
        <v/>
      </c>
      <c r="G878" s="81">
        <f>IF(ISNUMBER('Blind Scoring Sheet'!J878),'Blind Scoring Sheet'!J878,VALUE(TRIM(LEFT('Blind Scoring Sheet'!J878,FIND("|",'Blind Scoring Sheet'!J878)-1))))</f>
        <v/>
      </c>
      <c r="H878" s="80">
        <f>IF(ISNUMBER(SEARCH("|",'Blind Scoring Sheet'!K878)),TRIM(LEFT('Blind Scoring Sheet'!K878,FIND("|",'Blind Scoring Sheet'!K878)-1)),TRIM('Blind Scoring Sheet'!K878))</f>
        <v/>
      </c>
    </row>
    <row r="879" ht="15" customHeight="1" s="38">
      <c r="A879" s="80">
        <f>'Blind Scoring Sheet'!A879</f>
        <v/>
      </c>
      <c r="B879" s="80">
        <f>MID(INDEX('Anonymization Key'!$B$4:$B$1003,MATCH(A879,'Anonymization Key'!$A$4:$A$1003,0)),3,2)</f>
        <v/>
      </c>
      <c r="C879" s="81">
        <f>IF(ISNUMBER('Blind Scoring Sheet'!B879),'Blind Scoring Sheet'!B879,VALUE(TRIM(LEFT('Blind Scoring Sheet'!B879,FIND("|",'Blind Scoring Sheet'!B879)-1))))</f>
        <v/>
      </c>
      <c r="D879" s="81">
        <f>IF(ISNUMBER('Blind Scoring Sheet'!D879),'Blind Scoring Sheet'!D879,VALUE(TRIM(LEFT('Blind Scoring Sheet'!D879,FIND("|",'Blind Scoring Sheet'!D879)-1))))</f>
        <v/>
      </c>
      <c r="E879" s="81">
        <f>IF(ISNUMBER('Blind Scoring Sheet'!F879),'Blind Scoring Sheet'!F879,VALUE(TRIM(LEFT('Blind Scoring Sheet'!F879,FIND("|",'Blind Scoring Sheet'!F879)-1))))</f>
        <v/>
      </c>
      <c r="F879" s="81">
        <f>IF(ISNUMBER('Blind Scoring Sheet'!H879),'Blind Scoring Sheet'!H879,VALUE(TRIM(LEFT('Blind Scoring Sheet'!H879,FIND("|",'Blind Scoring Sheet'!H879)-1))))</f>
        <v/>
      </c>
      <c r="G879" s="81">
        <f>IF(ISNUMBER('Blind Scoring Sheet'!J879),'Blind Scoring Sheet'!J879,VALUE(TRIM(LEFT('Blind Scoring Sheet'!J879,FIND("|",'Blind Scoring Sheet'!J879)-1))))</f>
        <v/>
      </c>
      <c r="H879" s="80">
        <f>IF(ISNUMBER(SEARCH("|",'Blind Scoring Sheet'!K879)),TRIM(LEFT('Blind Scoring Sheet'!K879,FIND("|",'Blind Scoring Sheet'!K879)-1)),TRIM('Blind Scoring Sheet'!K879))</f>
        <v/>
      </c>
    </row>
    <row r="880" ht="15" customHeight="1" s="38">
      <c r="A880" s="80">
        <f>'Blind Scoring Sheet'!A880</f>
        <v/>
      </c>
      <c r="B880" s="80">
        <f>MID(INDEX('Anonymization Key'!$B$4:$B$1003,MATCH(A880,'Anonymization Key'!$A$4:$A$1003,0)),3,2)</f>
        <v/>
      </c>
      <c r="C880" s="81">
        <f>IF(ISNUMBER('Blind Scoring Sheet'!B880),'Blind Scoring Sheet'!B880,VALUE(TRIM(LEFT('Blind Scoring Sheet'!B880,FIND("|",'Blind Scoring Sheet'!B880)-1))))</f>
        <v/>
      </c>
      <c r="D880" s="81">
        <f>IF(ISNUMBER('Blind Scoring Sheet'!D880),'Blind Scoring Sheet'!D880,VALUE(TRIM(LEFT('Blind Scoring Sheet'!D880,FIND("|",'Blind Scoring Sheet'!D880)-1))))</f>
        <v/>
      </c>
      <c r="E880" s="81">
        <f>IF(ISNUMBER('Blind Scoring Sheet'!F880),'Blind Scoring Sheet'!F880,VALUE(TRIM(LEFT('Blind Scoring Sheet'!F880,FIND("|",'Blind Scoring Sheet'!F880)-1))))</f>
        <v/>
      </c>
      <c r="F880" s="81">
        <f>IF(ISNUMBER('Blind Scoring Sheet'!H880),'Blind Scoring Sheet'!H880,VALUE(TRIM(LEFT('Blind Scoring Sheet'!H880,FIND("|",'Blind Scoring Sheet'!H880)-1))))</f>
        <v/>
      </c>
      <c r="G880" s="81">
        <f>IF(ISNUMBER('Blind Scoring Sheet'!J880),'Blind Scoring Sheet'!J880,VALUE(TRIM(LEFT('Blind Scoring Sheet'!J880,FIND("|",'Blind Scoring Sheet'!J880)-1))))</f>
        <v/>
      </c>
      <c r="H880" s="80">
        <f>IF(ISNUMBER(SEARCH("|",'Blind Scoring Sheet'!K880)),TRIM(LEFT('Blind Scoring Sheet'!K880,FIND("|",'Blind Scoring Sheet'!K880)-1)),TRIM('Blind Scoring Sheet'!K880))</f>
        <v/>
      </c>
    </row>
    <row r="881" ht="15" customHeight="1" s="38">
      <c r="A881" s="80">
        <f>'Blind Scoring Sheet'!A881</f>
        <v/>
      </c>
      <c r="B881" s="80">
        <f>MID(INDEX('Anonymization Key'!$B$4:$B$1003,MATCH(A881,'Anonymization Key'!$A$4:$A$1003,0)),3,2)</f>
        <v/>
      </c>
      <c r="C881" s="81">
        <f>IF(ISNUMBER('Blind Scoring Sheet'!B881),'Blind Scoring Sheet'!B881,VALUE(TRIM(LEFT('Blind Scoring Sheet'!B881,FIND("|",'Blind Scoring Sheet'!B881)-1))))</f>
        <v/>
      </c>
      <c r="D881" s="81">
        <f>IF(ISNUMBER('Blind Scoring Sheet'!D881),'Blind Scoring Sheet'!D881,VALUE(TRIM(LEFT('Blind Scoring Sheet'!D881,FIND("|",'Blind Scoring Sheet'!D881)-1))))</f>
        <v/>
      </c>
      <c r="E881" s="81">
        <f>IF(ISNUMBER('Blind Scoring Sheet'!F881),'Blind Scoring Sheet'!F881,VALUE(TRIM(LEFT('Blind Scoring Sheet'!F881,FIND("|",'Blind Scoring Sheet'!F881)-1))))</f>
        <v/>
      </c>
      <c r="F881" s="81">
        <f>IF(ISNUMBER('Blind Scoring Sheet'!H881),'Blind Scoring Sheet'!H881,VALUE(TRIM(LEFT('Blind Scoring Sheet'!H881,FIND("|",'Blind Scoring Sheet'!H881)-1))))</f>
        <v/>
      </c>
      <c r="G881" s="81">
        <f>IF(ISNUMBER('Blind Scoring Sheet'!J881),'Blind Scoring Sheet'!J881,VALUE(TRIM(LEFT('Blind Scoring Sheet'!J881,FIND("|",'Blind Scoring Sheet'!J881)-1))))</f>
        <v/>
      </c>
      <c r="H881" s="80">
        <f>IF(ISNUMBER(SEARCH("|",'Blind Scoring Sheet'!K881)),TRIM(LEFT('Blind Scoring Sheet'!K881,FIND("|",'Blind Scoring Sheet'!K881)-1)),TRIM('Blind Scoring Sheet'!K881))</f>
        <v/>
      </c>
    </row>
    <row r="882" ht="15" customHeight="1" s="38">
      <c r="A882" s="80">
        <f>'Blind Scoring Sheet'!A882</f>
        <v/>
      </c>
      <c r="B882" s="80">
        <f>MID(INDEX('Anonymization Key'!$B$4:$B$1003,MATCH(A882,'Anonymization Key'!$A$4:$A$1003,0)),3,2)</f>
        <v/>
      </c>
      <c r="C882" s="81">
        <f>IF(ISNUMBER('Blind Scoring Sheet'!B882),'Blind Scoring Sheet'!B882,VALUE(TRIM(LEFT('Blind Scoring Sheet'!B882,FIND("|",'Blind Scoring Sheet'!B882)-1))))</f>
        <v/>
      </c>
      <c r="D882" s="81">
        <f>IF(ISNUMBER('Blind Scoring Sheet'!D882),'Blind Scoring Sheet'!D882,VALUE(TRIM(LEFT('Blind Scoring Sheet'!D882,FIND("|",'Blind Scoring Sheet'!D882)-1))))</f>
        <v/>
      </c>
      <c r="E882" s="81">
        <f>IF(ISNUMBER('Blind Scoring Sheet'!F882),'Blind Scoring Sheet'!F882,VALUE(TRIM(LEFT('Blind Scoring Sheet'!F882,FIND("|",'Blind Scoring Sheet'!F882)-1))))</f>
        <v/>
      </c>
      <c r="F882" s="81">
        <f>IF(ISNUMBER('Blind Scoring Sheet'!H882),'Blind Scoring Sheet'!H882,VALUE(TRIM(LEFT('Blind Scoring Sheet'!H882,FIND("|",'Blind Scoring Sheet'!H882)-1))))</f>
        <v/>
      </c>
      <c r="G882" s="81">
        <f>IF(ISNUMBER('Blind Scoring Sheet'!J882),'Blind Scoring Sheet'!J882,VALUE(TRIM(LEFT('Blind Scoring Sheet'!J882,FIND("|",'Blind Scoring Sheet'!J882)-1))))</f>
        <v/>
      </c>
      <c r="H882" s="80">
        <f>IF(ISNUMBER(SEARCH("|",'Blind Scoring Sheet'!K882)),TRIM(LEFT('Blind Scoring Sheet'!K882,FIND("|",'Blind Scoring Sheet'!K882)-1)),TRIM('Blind Scoring Sheet'!K882))</f>
        <v/>
      </c>
    </row>
    <row r="883" ht="15" customHeight="1" s="38">
      <c r="A883" s="80">
        <f>'Blind Scoring Sheet'!A883</f>
        <v/>
      </c>
      <c r="B883" s="80">
        <f>MID(INDEX('Anonymization Key'!$B$4:$B$1003,MATCH(A883,'Anonymization Key'!$A$4:$A$1003,0)),3,2)</f>
        <v/>
      </c>
      <c r="C883" s="81">
        <f>IF(ISNUMBER('Blind Scoring Sheet'!B883),'Blind Scoring Sheet'!B883,VALUE(TRIM(LEFT('Blind Scoring Sheet'!B883,FIND("|",'Blind Scoring Sheet'!B883)-1))))</f>
        <v/>
      </c>
      <c r="D883" s="81">
        <f>IF(ISNUMBER('Blind Scoring Sheet'!D883),'Blind Scoring Sheet'!D883,VALUE(TRIM(LEFT('Blind Scoring Sheet'!D883,FIND("|",'Blind Scoring Sheet'!D883)-1))))</f>
        <v/>
      </c>
      <c r="E883" s="81">
        <f>IF(ISNUMBER('Blind Scoring Sheet'!F883),'Blind Scoring Sheet'!F883,VALUE(TRIM(LEFT('Blind Scoring Sheet'!F883,FIND("|",'Blind Scoring Sheet'!F883)-1))))</f>
        <v/>
      </c>
      <c r="F883" s="81">
        <f>IF(ISNUMBER('Blind Scoring Sheet'!H883),'Blind Scoring Sheet'!H883,VALUE(TRIM(LEFT('Blind Scoring Sheet'!H883,FIND("|",'Blind Scoring Sheet'!H883)-1))))</f>
        <v/>
      </c>
      <c r="G883" s="81">
        <f>IF(ISNUMBER('Blind Scoring Sheet'!J883),'Blind Scoring Sheet'!J883,VALUE(TRIM(LEFT('Blind Scoring Sheet'!J883,FIND("|",'Blind Scoring Sheet'!J883)-1))))</f>
        <v/>
      </c>
      <c r="H883" s="80">
        <f>IF(ISNUMBER(SEARCH("|",'Blind Scoring Sheet'!K883)),TRIM(LEFT('Blind Scoring Sheet'!K883,FIND("|",'Blind Scoring Sheet'!K883)-1)),TRIM('Blind Scoring Sheet'!K883))</f>
        <v/>
      </c>
    </row>
    <row r="884" ht="15" customHeight="1" s="38">
      <c r="A884" s="80">
        <f>'Blind Scoring Sheet'!A884</f>
        <v/>
      </c>
      <c r="B884" s="80">
        <f>MID(INDEX('Anonymization Key'!$B$4:$B$1003,MATCH(A884,'Anonymization Key'!$A$4:$A$1003,0)),3,2)</f>
        <v/>
      </c>
      <c r="C884" s="81">
        <f>IF(ISNUMBER('Blind Scoring Sheet'!B884),'Blind Scoring Sheet'!B884,VALUE(TRIM(LEFT('Blind Scoring Sheet'!B884,FIND("|",'Blind Scoring Sheet'!B884)-1))))</f>
        <v/>
      </c>
      <c r="D884" s="81">
        <f>IF(ISNUMBER('Blind Scoring Sheet'!D884),'Blind Scoring Sheet'!D884,VALUE(TRIM(LEFT('Blind Scoring Sheet'!D884,FIND("|",'Blind Scoring Sheet'!D884)-1))))</f>
        <v/>
      </c>
      <c r="E884" s="81">
        <f>IF(ISNUMBER('Blind Scoring Sheet'!F884),'Blind Scoring Sheet'!F884,VALUE(TRIM(LEFT('Blind Scoring Sheet'!F884,FIND("|",'Blind Scoring Sheet'!F884)-1))))</f>
        <v/>
      </c>
      <c r="F884" s="81">
        <f>IF(ISNUMBER('Blind Scoring Sheet'!H884),'Blind Scoring Sheet'!H884,VALUE(TRIM(LEFT('Blind Scoring Sheet'!H884,FIND("|",'Blind Scoring Sheet'!H884)-1))))</f>
        <v/>
      </c>
      <c r="G884" s="81">
        <f>IF(ISNUMBER('Blind Scoring Sheet'!J884),'Blind Scoring Sheet'!J884,VALUE(TRIM(LEFT('Blind Scoring Sheet'!J884,FIND("|",'Blind Scoring Sheet'!J884)-1))))</f>
        <v/>
      </c>
      <c r="H884" s="80">
        <f>IF(ISNUMBER(SEARCH("|",'Blind Scoring Sheet'!K884)),TRIM(LEFT('Blind Scoring Sheet'!K884,FIND("|",'Blind Scoring Sheet'!K884)-1)),TRIM('Blind Scoring Sheet'!K884))</f>
        <v/>
      </c>
    </row>
    <row r="885" ht="15" customHeight="1" s="38">
      <c r="A885" s="80">
        <f>'Blind Scoring Sheet'!A885</f>
        <v/>
      </c>
      <c r="B885" s="80">
        <f>MID(INDEX('Anonymization Key'!$B$4:$B$1003,MATCH(A885,'Anonymization Key'!$A$4:$A$1003,0)),3,2)</f>
        <v/>
      </c>
      <c r="C885" s="81">
        <f>IF(ISNUMBER('Blind Scoring Sheet'!B885),'Blind Scoring Sheet'!B885,VALUE(TRIM(LEFT('Blind Scoring Sheet'!B885,FIND("|",'Blind Scoring Sheet'!B885)-1))))</f>
        <v/>
      </c>
      <c r="D885" s="81">
        <f>IF(ISNUMBER('Blind Scoring Sheet'!D885),'Blind Scoring Sheet'!D885,VALUE(TRIM(LEFT('Blind Scoring Sheet'!D885,FIND("|",'Blind Scoring Sheet'!D885)-1))))</f>
        <v/>
      </c>
      <c r="E885" s="81">
        <f>IF(ISNUMBER('Blind Scoring Sheet'!F885),'Blind Scoring Sheet'!F885,VALUE(TRIM(LEFT('Blind Scoring Sheet'!F885,FIND("|",'Blind Scoring Sheet'!F885)-1))))</f>
        <v/>
      </c>
      <c r="F885" s="81">
        <f>IF(ISNUMBER('Blind Scoring Sheet'!H885),'Blind Scoring Sheet'!H885,VALUE(TRIM(LEFT('Blind Scoring Sheet'!H885,FIND("|",'Blind Scoring Sheet'!H885)-1))))</f>
        <v/>
      </c>
      <c r="G885" s="81">
        <f>IF(ISNUMBER('Blind Scoring Sheet'!J885),'Blind Scoring Sheet'!J885,VALUE(TRIM(LEFT('Blind Scoring Sheet'!J885,FIND("|",'Blind Scoring Sheet'!J885)-1))))</f>
        <v/>
      </c>
      <c r="H885" s="80">
        <f>IF(ISNUMBER(SEARCH("|",'Blind Scoring Sheet'!K885)),TRIM(LEFT('Blind Scoring Sheet'!K885,FIND("|",'Blind Scoring Sheet'!K885)-1)),TRIM('Blind Scoring Sheet'!K885))</f>
        <v/>
      </c>
    </row>
    <row r="886" ht="15" customHeight="1" s="38">
      <c r="A886" s="80">
        <f>'Blind Scoring Sheet'!A886</f>
        <v/>
      </c>
      <c r="B886" s="80">
        <f>MID(INDEX('Anonymization Key'!$B$4:$B$1003,MATCH(A886,'Anonymization Key'!$A$4:$A$1003,0)),3,2)</f>
        <v/>
      </c>
      <c r="C886" s="81">
        <f>IF(ISNUMBER('Blind Scoring Sheet'!B886),'Blind Scoring Sheet'!B886,VALUE(TRIM(LEFT('Blind Scoring Sheet'!B886,FIND("|",'Blind Scoring Sheet'!B886)-1))))</f>
        <v/>
      </c>
      <c r="D886" s="81">
        <f>IF(ISNUMBER('Blind Scoring Sheet'!D886),'Blind Scoring Sheet'!D886,VALUE(TRIM(LEFT('Blind Scoring Sheet'!D886,FIND("|",'Blind Scoring Sheet'!D886)-1))))</f>
        <v/>
      </c>
      <c r="E886" s="81">
        <f>IF(ISNUMBER('Blind Scoring Sheet'!F886),'Blind Scoring Sheet'!F886,VALUE(TRIM(LEFT('Blind Scoring Sheet'!F886,FIND("|",'Blind Scoring Sheet'!F886)-1))))</f>
        <v/>
      </c>
      <c r="F886" s="81">
        <f>IF(ISNUMBER('Blind Scoring Sheet'!H886),'Blind Scoring Sheet'!H886,VALUE(TRIM(LEFT('Blind Scoring Sheet'!H886,FIND("|",'Blind Scoring Sheet'!H886)-1))))</f>
        <v/>
      </c>
      <c r="G886" s="81">
        <f>IF(ISNUMBER('Blind Scoring Sheet'!J886),'Blind Scoring Sheet'!J886,VALUE(TRIM(LEFT('Blind Scoring Sheet'!J886,FIND("|",'Blind Scoring Sheet'!J886)-1))))</f>
        <v/>
      </c>
      <c r="H886" s="80">
        <f>IF(ISNUMBER(SEARCH("|",'Blind Scoring Sheet'!K886)),TRIM(LEFT('Blind Scoring Sheet'!K886,FIND("|",'Blind Scoring Sheet'!K886)-1)),TRIM('Blind Scoring Sheet'!K886))</f>
        <v/>
      </c>
    </row>
    <row r="887" ht="15" customHeight="1" s="38">
      <c r="A887" s="80">
        <f>'Blind Scoring Sheet'!A887</f>
        <v/>
      </c>
      <c r="B887" s="80">
        <f>MID(INDEX('Anonymization Key'!$B$4:$B$1003,MATCH(A887,'Anonymization Key'!$A$4:$A$1003,0)),3,2)</f>
        <v/>
      </c>
      <c r="C887" s="81">
        <f>IF(ISNUMBER('Blind Scoring Sheet'!B887),'Blind Scoring Sheet'!B887,VALUE(TRIM(LEFT('Blind Scoring Sheet'!B887,FIND("|",'Blind Scoring Sheet'!B887)-1))))</f>
        <v/>
      </c>
      <c r="D887" s="81">
        <f>IF(ISNUMBER('Blind Scoring Sheet'!D887),'Blind Scoring Sheet'!D887,VALUE(TRIM(LEFT('Blind Scoring Sheet'!D887,FIND("|",'Blind Scoring Sheet'!D887)-1))))</f>
        <v/>
      </c>
      <c r="E887" s="81">
        <f>IF(ISNUMBER('Blind Scoring Sheet'!F887),'Blind Scoring Sheet'!F887,VALUE(TRIM(LEFT('Blind Scoring Sheet'!F887,FIND("|",'Blind Scoring Sheet'!F887)-1))))</f>
        <v/>
      </c>
      <c r="F887" s="81">
        <f>IF(ISNUMBER('Blind Scoring Sheet'!H887),'Blind Scoring Sheet'!H887,VALUE(TRIM(LEFT('Blind Scoring Sheet'!H887,FIND("|",'Blind Scoring Sheet'!H887)-1))))</f>
        <v/>
      </c>
      <c r="G887" s="81">
        <f>IF(ISNUMBER('Blind Scoring Sheet'!J887),'Blind Scoring Sheet'!J887,VALUE(TRIM(LEFT('Blind Scoring Sheet'!J887,FIND("|",'Blind Scoring Sheet'!J887)-1))))</f>
        <v/>
      </c>
      <c r="H887" s="80">
        <f>IF(ISNUMBER(SEARCH("|",'Blind Scoring Sheet'!K887)),TRIM(LEFT('Blind Scoring Sheet'!K887,FIND("|",'Blind Scoring Sheet'!K887)-1)),TRIM('Blind Scoring Sheet'!K887))</f>
        <v/>
      </c>
    </row>
    <row r="888" ht="15" customHeight="1" s="38">
      <c r="A888" s="80">
        <f>'Blind Scoring Sheet'!A888</f>
        <v/>
      </c>
      <c r="B888" s="80">
        <f>MID(INDEX('Anonymization Key'!$B$4:$B$1003,MATCH(A888,'Anonymization Key'!$A$4:$A$1003,0)),3,2)</f>
        <v/>
      </c>
      <c r="C888" s="81">
        <f>IF(ISNUMBER('Blind Scoring Sheet'!B888),'Blind Scoring Sheet'!B888,VALUE(TRIM(LEFT('Blind Scoring Sheet'!B888,FIND("|",'Blind Scoring Sheet'!B888)-1))))</f>
        <v/>
      </c>
      <c r="D888" s="81">
        <f>IF(ISNUMBER('Blind Scoring Sheet'!D888),'Blind Scoring Sheet'!D888,VALUE(TRIM(LEFT('Blind Scoring Sheet'!D888,FIND("|",'Blind Scoring Sheet'!D888)-1))))</f>
        <v/>
      </c>
      <c r="E888" s="81">
        <f>IF(ISNUMBER('Blind Scoring Sheet'!F888),'Blind Scoring Sheet'!F888,VALUE(TRIM(LEFT('Blind Scoring Sheet'!F888,FIND("|",'Blind Scoring Sheet'!F888)-1))))</f>
        <v/>
      </c>
      <c r="F888" s="81">
        <f>IF(ISNUMBER('Blind Scoring Sheet'!H888),'Blind Scoring Sheet'!H888,VALUE(TRIM(LEFT('Blind Scoring Sheet'!H888,FIND("|",'Blind Scoring Sheet'!H888)-1))))</f>
        <v/>
      </c>
      <c r="G888" s="81">
        <f>IF(ISNUMBER('Blind Scoring Sheet'!J888),'Blind Scoring Sheet'!J888,VALUE(TRIM(LEFT('Blind Scoring Sheet'!J888,FIND("|",'Blind Scoring Sheet'!J888)-1))))</f>
        <v/>
      </c>
      <c r="H888" s="80">
        <f>IF(ISNUMBER(SEARCH("|",'Blind Scoring Sheet'!K888)),TRIM(LEFT('Blind Scoring Sheet'!K888,FIND("|",'Blind Scoring Sheet'!K888)-1)),TRIM('Blind Scoring Sheet'!K888))</f>
        <v/>
      </c>
    </row>
    <row r="889" ht="15" customHeight="1" s="38">
      <c r="A889" s="80">
        <f>'Blind Scoring Sheet'!A889</f>
        <v/>
      </c>
      <c r="B889" s="80">
        <f>MID(INDEX('Anonymization Key'!$B$4:$B$1003,MATCH(A889,'Anonymization Key'!$A$4:$A$1003,0)),3,2)</f>
        <v/>
      </c>
      <c r="C889" s="81">
        <f>IF(ISNUMBER('Blind Scoring Sheet'!B889),'Blind Scoring Sheet'!B889,VALUE(TRIM(LEFT('Blind Scoring Sheet'!B889,FIND("|",'Blind Scoring Sheet'!B889)-1))))</f>
        <v/>
      </c>
      <c r="D889" s="81">
        <f>IF(ISNUMBER('Blind Scoring Sheet'!D889),'Blind Scoring Sheet'!D889,VALUE(TRIM(LEFT('Blind Scoring Sheet'!D889,FIND("|",'Blind Scoring Sheet'!D889)-1))))</f>
        <v/>
      </c>
      <c r="E889" s="81">
        <f>IF(ISNUMBER('Blind Scoring Sheet'!F889),'Blind Scoring Sheet'!F889,VALUE(TRIM(LEFT('Blind Scoring Sheet'!F889,FIND("|",'Blind Scoring Sheet'!F889)-1))))</f>
        <v/>
      </c>
      <c r="F889" s="81">
        <f>IF(ISNUMBER('Blind Scoring Sheet'!H889),'Blind Scoring Sheet'!H889,VALUE(TRIM(LEFT('Blind Scoring Sheet'!H889,FIND("|",'Blind Scoring Sheet'!H889)-1))))</f>
        <v/>
      </c>
      <c r="G889" s="81">
        <f>IF(ISNUMBER('Blind Scoring Sheet'!J889),'Blind Scoring Sheet'!J889,VALUE(TRIM(LEFT('Blind Scoring Sheet'!J889,FIND("|",'Blind Scoring Sheet'!J889)-1))))</f>
        <v/>
      </c>
      <c r="H889" s="80">
        <f>IF(ISNUMBER(SEARCH("|",'Blind Scoring Sheet'!K889)),TRIM(LEFT('Blind Scoring Sheet'!K889,FIND("|",'Blind Scoring Sheet'!K889)-1)),TRIM('Blind Scoring Sheet'!K889))</f>
        <v/>
      </c>
    </row>
    <row r="890" ht="15" customHeight="1" s="38">
      <c r="A890" s="80">
        <f>'Blind Scoring Sheet'!A890</f>
        <v/>
      </c>
      <c r="B890" s="80">
        <f>MID(INDEX('Anonymization Key'!$B$4:$B$1003,MATCH(A890,'Anonymization Key'!$A$4:$A$1003,0)),3,2)</f>
        <v/>
      </c>
      <c r="C890" s="81">
        <f>IF(ISNUMBER('Blind Scoring Sheet'!B890),'Blind Scoring Sheet'!B890,VALUE(TRIM(LEFT('Blind Scoring Sheet'!B890,FIND("|",'Blind Scoring Sheet'!B890)-1))))</f>
        <v/>
      </c>
      <c r="D890" s="81">
        <f>IF(ISNUMBER('Blind Scoring Sheet'!D890),'Blind Scoring Sheet'!D890,VALUE(TRIM(LEFT('Blind Scoring Sheet'!D890,FIND("|",'Blind Scoring Sheet'!D890)-1))))</f>
        <v/>
      </c>
      <c r="E890" s="81">
        <f>IF(ISNUMBER('Blind Scoring Sheet'!F890),'Blind Scoring Sheet'!F890,VALUE(TRIM(LEFT('Blind Scoring Sheet'!F890,FIND("|",'Blind Scoring Sheet'!F890)-1))))</f>
        <v/>
      </c>
      <c r="F890" s="81">
        <f>IF(ISNUMBER('Blind Scoring Sheet'!H890),'Blind Scoring Sheet'!H890,VALUE(TRIM(LEFT('Blind Scoring Sheet'!H890,FIND("|",'Blind Scoring Sheet'!H890)-1))))</f>
        <v/>
      </c>
      <c r="G890" s="81">
        <f>IF(ISNUMBER('Blind Scoring Sheet'!J890),'Blind Scoring Sheet'!J890,VALUE(TRIM(LEFT('Blind Scoring Sheet'!J890,FIND("|",'Blind Scoring Sheet'!J890)-1))))</f>
        <v/>
      </c>
      <c r="H890" s="80">
        <f>IF(ISNUMBER(SEARCH("|",'Blind Scoring Sheet'!K890)),TRIM(LEFT('Blind Scoring Sheet'!K890,FIND("|",'Blind Scoring Sheet'!K890)-1)),TRIM('Blind Scoring Sheet'!K890))</f>
        <v/>
      </c>
    </row>
    <row r="891" ht="15" customHeight="1" s="38">
      <c r="A891" s="80">
        <f>'Blind Scoring Sheet'!A891</f>
        <v/>
      </c>
      <c r="B891" s="80">
        <f>MID(INDEX('Anonymization Key'!$B$4:$B$1003,MATCH(A891,'Anonymization Key'!$A$4:$A$1003,0)),3,2)</f>
        <v/>
      </c>
      <c r="C891" s="81">
        <f>IF(ISNUMBER('Blind Scoring Sheet'!B891),'Blind Scoring Sheet'!B891,VALUE(TRIM(LEFT('Blind Scoring Sheet'!B891,FIND("|",'Blind Scoring Sheet'!B891)-1))))</f>
        <v/>
      </c>
      <c r="D891" s="81">
        <f>IF(ISNUMBER('Blind Scoring Sheet'!D891),'Blind Scoring Sheet'!D891,VALUE(TRIM(LEFT('Blind Scoring Sheet'!D891,FIND("|",'Blind Scoring Sheet'!D891)-1))))</f>
        <v/>
      </c>
      <c r="E891" s="81">
        <f>IF(ISNUMBER('Blind Scoring Sheet'!F891),'Blind Scoring Sheet'!F891,VALUE(TRIM(LEFT('Blind Scoring Sheet'!F891,FIND("|",'Blind Scoring Sheet'!F891)-1))))</f>
        <v/>
      </c>
      <c r="F891" s="81">
        <f>IF(ISNUMBER('Blind Scoring Sheet'!H891),'Blind Scoring Sheet'!H891,VALUE(TRIM(LEFT('Blind Scoring Sheet'!H891,FIND("|",'Blind Scoring Sheet'!H891)-1))))</f>
        <v/>
      </c>
      <c r="G891" s="81">
        <f>IF(ISNUMBER('Blind Scoring Sheet'!J891),'Blind Scoring Sheet'!J891,VALUE(TRIM(LEFT('Blind Scoring Sheet'!J891,FIND("|",'Blind Scoring Sheet'!J891)-1))))</f>
        <v/>
      </c>
      <c r="H891" s="80">
        <f>IF(ISNUMBER(SEARCH("|",'Blind Scoring Sheet'!K891)),TRIM(LEFT('Blind Scoring Sheet'!K891,FIND("|",'Blind Scoring Sheet'!K891)-1)),TRIM('Blind Scoring Sheet'!K891))</f>
        <v/>
      </c>
    </row>
    <row r="892" ht="15" customHeight="1" s="38">
      <c r="A892" s="80">
        <f>'Blind Scoring Sheet'!A892</f>
        <v/>
      </c>
      <c r="B892" s="80">
        <f>MID(INDEX('Anonymization Key'!$B$4:$B$1003,MATCH(A892,'Anonymization Key'!$A$4:$A$1003,0)),3,2)</f>
        <v/>
      </c>
      <c r="C892" s="81">
        <f>IF(ISNUMBER('Blind Scoring Sheet'!B892),'Blind Scoring Sheet'!B892,VALUE(TRIM(LEFT('Blind Scoring Sheet'!B892,FIND("|",'Blind Scoring Sheet'!B892)-1))))</f>
        <v/>
      </c>
      <c r="D892" s="81">
        <f>IF(ISNUMBER('Blind Scoring Sheet'!D892),'Blind Scoring Sheet'!D892,VALUE(TRIM(LEFT('Blind Scoring Sheet'!D892,FIND("|",'Blind Scoring Sheet'!D892)-1))))</f>
        <v/>
      </c>
      <c r="E892" s="81">
        <f>IF(ISNUMBER('Blind Scoring Sheet'!F892),'Blind Scoring Sheet'!F892,VALUE(TRIM(LEFT('Blind Scoring Sheet'!F892,FIND("|",'Blind Scoring Sheet'!F892)-1))))</f>
        <v/>
      </c>
      <c r="F892" s="81">
        <f>IF(ISNUMBER('Blind Scoring Sheet'!H892),'Blind Scoring Sheet'!H892,VALUE(TRIM(LEFT('Blind Scoring Sheet'!H892,FIND("|",'Blind Scoring Sheet'!H892)-1))))</f>
        <v/>
      </c>
      <c r="G892" s="81">
        <f>IF(ISNUMBER('Blind Scoring Sheet'!J892),'Blind Scoring Sheet'!J892,VALUE(TRIM(LEFT('Blind Scoring Sheet'!J892,FIND("|",'Blind Scoring Sheet'!J892)-1))))</f>
        <v/>
      </c>
      <c r="H892" s="80">
        <f>IF(ISNUMBER(SEARCH("|",'Blind Scoring Sheet'!K892)),TRIM(LEFT('Blind Scoring Sheet'!K892,FIND("|",'Blind Scoring Sheet'!K892)-1)),TRIM('Blind Scoring Sheet'!K892))</f>
        <v/>
      </c>
    </row>
    <row r="893" ht="15" customHeight="1" s="38">
      <c r="A893" s="80">
        <f>'Blind Scoring Sheet'!A893</f>
        <v/>
      </c>
      <c r="B893" s="80">
        <f>MID(INDEX('Anonymization Key'!$B$4:$B$1003,MATCH(A893,'Anonymization Key'!$A$4:$A$1003,0)),3,2)</f>
        <v/>
      </c>
      <c r="C893" s="81">
        <f>IF(ISNUMBER('Blind Scoring Sheet'!B893),'Blind Scoring Sheet'!B893,VALUE(TRIM(LEFT('Blind Scoring Sheet'!B893,FIND("|",'Blind Scoring Sheet'!B893)-1))))</f>
        <v/>
      </c>
      <c r="D893" s="81">
        <f>IF(ISNUMBER('Blind Scoring Sheet'!D893),'Blind Scoring Sheet'!D893,VALUE(TRIM(LEFT('Blind Scoring Sheet'!D893,FIND("|",'Blind Scoring Sheet'!D893)-1))))</f>
        <v/>
      </c>
      <c r="E893" s="81">
        <f>IF(ISNUMBER('Blind Scoring Sheet'!F893),'Blind Scoring Sheet'!F893,VALUE(TRIM(LEFT('Blind Scoring Sheet'!F893,FIND("|",'Blind Scoring Sheet'!F893)-1))))</f>
        <v/>
      </c>
      <c r="F893" s="81">
        <f>IF(ISNUMBER('Blind Scoring Sheet'!H893),'Blind Scoring Sheet'!H893,VALUE(TRIM(LEFT('Blind Scoring Sheet'!H893,FIND("|",'Blind Scoring Sheet'!H893)-1))))</f>
        <v/>
      </c>
      <c r="G893" s="81">
        <f>IF(ISNUMBER('Blind Scoring Sheet'!J893),'Blind Scoring Sheet'!J893,VALUE(TRIM(LEFT('Blind Scoring Sheet'!J893,FIND("|",'Blind Scoring Sheet'!J893)-1))))</f>
        <v/>
      </c>
      <c r="H893" s="80">
        <f>IF(ISNUMBER(SEARCH("|",'Blind Scoring Sheet'!K893)),TRIM(LEFT('Blind Scoring Sheet'!K893,FIND("|",'Blind Scoring Sheet'!K893)-1)),TRIM('Blind Scoring Sheet'!K893))</f>
        <v/>
      </c>
    </row>
    <row r="894" ht="15" customHeight="1" s="38">
      <c r="A894" s="80">
        <f>'Blind Scoring Sheet'!A894</f>
        <v/>
      </c>
      <c r="B894" s="80">
        <f>MID(INDEX('Anonymization Key'!$B$4:$B$1003,MATCH(A894,'Anonymization Key'!$A$4:$A$1003,0)),3,2)</f>
        <v/>
      </c>
      <c r="C894" s="81">
        <f>IF(ISNUMBER('Blind Scoring Sheet'!B894),'Blind Scoring Sheet'!B894,VALUE(TRIM(LEFT('Blind Scoring Sheet'!B894,FIND("|",'Blind Scoring Sheet'!B894)-1))))</f>
        <v/>
      </c>
      <c r="D894" s="81">
        <f>IF(ISNUMBER('Blind Scoring Sheet'!D894),'Blind Scoring Sheet'!D894,VALUE(TRIM(LEFT('Blind Scoring Sheet'!D894,FIND("|",'Blind Scoring Sheet'!D894)-1))))</f>
        <v/>
      </c>
      <c r="E894" s="81">
        <f>IF(ISNUMBER('Blind Scoring Sheet'!F894),'Blind Scoring Sheet'!F894,VALUE(TRIM(LEFT('Blind Scoring Sheet'!F894,FIND("|",'Blind Scoring Sheet'!F894)-1))))</f>
        <v/>
      </c>
      <c r="F894" s="81">
        <f>IF(ISNUMBER('Blind Scoring Sheet'!H894),'Blind Scoring Sheet'!H894,VALUE(TRIM(LEFT('Blind Scoring Sheet'!H894,FIND("|",'Blind Scoring Sheet'!H894)-1))))</f>
        <v/>
      </c>
      <c r="G894" s="81">
        <f>IF(ISNUMBER('Blind Scoring Sheet'!J894),'Blind Scoring Sheet'!J894,VALUE(TRIM(LEFT('Blind Scoring Sheet'!J894,FIND("|",'Blind Scoring Sheet'!J894)-1))))</f>
        <v/>
      </c>
      <c r="H894" s="80">
        <f>IF(ISNUMBER(SEARCH("|",'Blind Scoring Sheet'!K894)),TRIM(LEFT('Blind Scoring Sheet'!K894,FIND("|",'Blind Scoring Sheet'!K894)-1)),TRIM('Blind Scoring Sheet'!K894))</f>
        <v/>
      </c>
    </row>
    <row r="895" ht="15" customHeight="1" s="38">
      <c r="A895" s="80">
        <f>'Blind Scoring Sheet'!A895</f>
        <v/>
      </c>
      <c r="B895" s="80">
        <f>MID(INDEX('Anonymization Key'!$B$4:$B$1003,MATCH(A895,'Anonymization Key'!$A$4:$A$1003,0)),3,2)</f>
        <v/>
      </c>
      <c r="C895" s="81">
        <f>IF(ISNUMBER('Blind Scoring Sheet'!B895),'Blind Scoring Sheet'!B895,VALUE(TRIM(LEFT('Blind Scoring Sheet'!B895,FIND("|",'Blind Scoring Sheet'!B895)-1))))</f>
        <v/>
      </c>
      <c r="D895" s="81">
        <f>IF(ISNUMBER('Blind Scoring Sheet'!D895),'Blind Scoring Sheet'!D895,VALUE(TRIM(LEFT('Blind Scoring Sheet'!D895,FIND("|",'Blind Scoring Sheet'!D895)-1))))</f>
        <v/>
      </c>
      <c r="E895" s="81">
        <f>IF(ISNUMBER('Blind Scoring Sheet'!F895),'Blind Scoring Sheet'!F895,VALUE(TRIM(LEFT('Blind Scoring Sheet'!F895,FIND("|",'Blind Scoring Sheet'!F895)-1))))</f>
        <v/>
      </c>
      <c r="F895" s="81">
        <f>IF(ISNUMBER('Blind Scoring Sheet'!H895),'Blind Scoring Sheet'!H895,VALUE(TRIM(LEFT('Blind Scoring Sheet'!H895,FIND("|",'Blind Scoring Sheet'!H895)-1))))</f>
        <v/>
      </c>
      <c r="G895" s="81">
        <f>IF(ISNUMBER('Blind Scoring Sheet'!J895),'Blind Scoring Sheet'!J895,VALUE(TRIM(LEFT('Blind Scoring Sheet'!J895,FIND("|",'Blind Scoring Sheet'!J895)-1))))</f>
        <v/>
      </c>
      <c r="H895" s="80">
        <f>IF(ISNUMBER(SEARCH("|",'Blind Scoring Sheet'!K895)),TRIM(LEFT('Blind Scoring Sheet'!K895,FIND("|",'Blind Scoring Sheet'!K895)-1)),TRIM('Blind Scoring Sheet'!K895))</f>
        <v/>
      </c>
    </row>
    <row r="896" ht="15" customHeight="1" s="38">
      <c r="A896" s="80">
        <f>'Blind Scoring Sheet'!A896</f>
        <v/>
      </c>
      <c r="B896" s="80">
        <f>MID(INDEX('Anonymization Key'!$B$4:$B$1003,MATCH(A896,'Anonymization Key'!$A$4:$A$1003,0)),3,2)</f>
        <v/>
      </c>
      <c r="C896" s="81">
        <f>IF(ISNUMBER('Blind Scoring Sheet'!B896),'Blind Scoring Sheet'!B896,VALUE(TRIM(LEFT('Blind Scoring Sheet'!B896,FIND("|",'Blind Scoring Sheet'!B896)-1))))</f>
        <v/>
      </c>
      <c r="D896" s="81">
        <f>IF(ISNUMBER('Blind Scoring Sheet'!D896),'Blind Scoring Sheet'!D896,VALUE(TRIM(LEFT('Blind Scoring Sheet'!D896,FIND("|",'Blind Scoring Sheet'!D896)-1))))</f>
        <v/>
      </c>
      <c r="E896" s="81">
        <f>IF(ISNUMBER('Blind Scoring Sheet'!F896),'Blind Scoring Sheet'!F896,VALUE(TRIM(LEFT('Blind Scoring Sheet'!F896,FIND("|",'Blind Scoring Sheet'!F896)-1))))</f>
        <v/>
      </c>
      <c r="F896" s="81">
        <f>IF(ISNUMBER('Blind Scoring Sheet'!H896),'Blind Scoring Sheet'!H896,VALUE(TRIM(LEFT('Blind Scoring Sheet'!H896,FIND("|",'Blind Scoring Sheet'!H896)-1))))</f>
        <v/>
      </c>
      <c r="G896" s="81">
        <f>IF(ISNUMBER('Blind Scoring Sheet'!J896),'Blind Scoring Sheet'!J896,VALUE(TRIM(LEFT('Blind Scoring Sheet'!J896,FIND("|",'Blind Scoring Sheet'!J896)-1))))</f>
        <v/>
      </c>
      <c r="H896" s="80">
        <f>IF(ISNUMBER(SEARCH("|",'Blind Scoring Sheet'!K896)),TRIM(LEFT('Blind Scoring Sheet'!K896,FIND("|",'Blind Scoring Sheet'!K896)-1)),TRIM('Blind Scoring Sheet'!K896))</f>
        <v/>
      </c>
    </row>
    <row r="897" ht="15" customHeight="1" s="38">
      <c r="A897" s="80">
        <f>'Blind Scoring Sheet'!A897</f>
        <v/>
      </c>
      <c r="B897" s="80">
        <f>MID(INDEX('Anonymization Key'!$B$4:$B$1003,MATCH(A897,'Anonymization Key'!$A$4:$A$1003,0)),3,2)</f>
        <v/>
      </c>
      <c r="C897" s="81">
        <f>IF(ISNUMBER('Blind Scoring Sheet'!B897),'Blind Scoring Sheet'!B897,VALUE(TRIM(LEFT('Blind Scoring Sheet'!B897,FIND("|",'Blind Scoring Sheet'!B897)-1))))</f>
        <v/>
      </c>
      <c r="D897" s="81">
        <f>IF(ISNUMBER('Blind Scoring Sheet'!D897),'Blind Scoring Sheet'!D897,VALUE(TRIM(LEFT('Blind Scoring Sheet'!D897,FIND("|",'Blind Scoring Sheet'!D897)-1))))</f>
        <v/>
      </c>
      <c r="E897" s="81">
        <f>IF(ISNUMBER('Blind Scoring Sheet'!F897),'Blind Scoring Sheet'!F897,VALUE(TRIM(LEFT('Blind Scoring Sheet'!F897,FIND("|",'Blind Scoring Sheet'!F897)-1))))</f>
        <v/>
      </c>
      <c r="F897" s="81">
        <f>IF(ISNUMBER('Blind Scoring Sheet'!H897),'Blind Scoring Sheet'!H897,VALUE(TRIM(LEFT('Blind Scoring Sheet'!H897,FIND("|",'Blind Scoring Sheet'!H897)-1))))</f>
        <v/>
      </c>
      <c r="G897" s="81">
        <f>IF(ISNUMBER('Blind Scoring Sheet'!J897),'Blind Scoring Sheet'!J897,VALUE(TRIM(LEFT('Blind Scoring Sheet'!J897,FIND("|",'Blind Scoring Sheet'!J897)-1))))</f>
        <v/>
      </c>
      <c r="H897" s="80">
        <f>IF(ISNUMBER(SEARCH("|",'Blind Scoring Sheet'!K897)),TRIM(LEFT('Blind Scoring Sheet'!K897,FIND("|",'Blind Scoring Sheet'!K897)-1)),TRIM('Blind Scoring Sheet'!K897))</f>
        <v/>
      </c>
    </row>
    <row r="898" ht="15" customHeight="1" s="38">
      <c r="A898" s="80">
        <f>'Blind Scoring Sheet'!A898</f>
        <v/>
      </c>
      <c r="B898" s="80">
        <f>MID(INDEX('Anonymization Key'!$B$4:$B$1003,MATCH(A898,'Anonymization Key'!$A$4:$A$1003,0)),3,2)</f>
        <v/>
      </c>
      <c r="C898" s="81">
        <f>IF(ISNUMBER('Blind Scoring Sheet'!B898),'Blind Scoring Sheet'!B898,VALUE(TRIM(LEFT('Blind Scoring Sheet'!B898,FIND("|",'Blind Scoring Sheet'!B898)-1))))</f>
        <v/>
      </c>
      <c r="D898" s="81">
        <f>IF(ISNUMBER('Blind Scoring Sheet'!D898),'Blind Scoring Sheet'!D898,VALUE(TRIM(LEFT('Blind Scoring Sheet'!D898,FIND("|",'Blind Scoring Sheet'!D898)-1))))</f>
        <v/>
      </c>
      <c r="E898" s="81">
        <f>IF(ISNUMBER('Blind Scoring Sheet'!F898),'Blind Scoring Sheet'!F898,VALUE(TRIM(LEFT('Blind Scoring Sheet'!F898,FIND("|",'Blind Scoring Sheet'!F898)-1))))</f>
        <v/>
      </c>
      <c r="F898" s="81">
        <f>IF(ISNUMBER('Blind Scoring Sheet'!H898),'Blind Scoring Sheet'!H898,VALUE(TRIM(LEFT('Blind Scoring Sheet'!H898,FIND("|",'Blind Scoring Sheet'!H898)-1))))</f>
        <v/>
      </c>
      <c r="G898" s="81">
        <f>IF(ISNUMBER('Blind Scoring Sheet'!J898),'Blind Scoring Sheet'!J898,VALUE(TRIM(LEFT('Blind Scoring Sheet'!J898,FIND("|",'Blind Scoring Sheet'!J898)-1))))</f>
        <v/>
      </c>
      <c r="H898" s="80">
        <f>IF(ISNUMBER(SEARCH("|",'Blind Scoring Sheet'!K898)),TRIM(LEFT('Blind Scoring Sheet'!K898,FIND("|",'Blind Scoring Sheet'!K898)-1)),TRIM('Blind Scoring Sheet'!K898))</f>
        <v/>
      </c>
    </row>
    <row r="899" ht="15" customHeight="1" s="38">
      <c r="A899" s="80">
        <f>'Blind Scoring Sheet'!A899</f>
        <v/>
      </c>
      <c r="B899" s="80">
        <f>MID(INDEX('Anonymization Key'!$B$4:$B$1003,MATCH(A899,'Anonymization Key'!$A$4:$A$1003,0)),3,2)</f>
        <v/>
      </c>
      <c r="C899" s="81">
        <f>IF(ISNUMBER('Blind Scoring Sheet'!B899),'Blind Scoring Sheet'!B899,VALUE(TRIM(LEFT('Blind Scoring Sheet'!B899,FIND("|",'Blind Scoring Sheet'!B899)-1))))</f>
        <v/>
      </c>
      <c r="D899" s="81">
        <f>IF(ISNUMBER('Blind Scoring Sheet'!D899),'Blind Scoring Sheet'!D899,VALUE(TRIM(LEFT('Blind Scoring Sheet'!D899,FIND("|",'Blind Scoring Sheet'!D899)-1))))</f>
        <v/>
      </c>
      <c r="E899" s="81">
        <f>IF(ISNUMBER('Blind Scoring Sheet'!F899),'Blind Scoring Sheet'!F899,VALUE(TRIM(LEFT('Blind Scoring Sheet'!F899,FIND("|",'Blind Scoring Sheet'!F899)-1))))</f>
        <v/>
      </c>
      <c r="F899" s="81">
        <f>IF(ISNUMBER('Blind Scoring Sheet'!H899),'Blind Scoring Sheet'!H899,VALUE(TRIM(LEFT('Blind Scoring Sheet'!H899,FIND("|",'Blind Scoring Sheet'!H899)-1))))</f>
        <v/>
      </c>
      <c r="G899" s="81">
        <f>IF(ISNUMBER('Blind Scoring Sheet'!J899),'Blind Scoring Sheet'!J899,VALUE(TRIM(LEFT('Blind Scoring Sheet'!J899,FIND("|",'Blind Scoring Sheet'!J899)-1))))</f>
        <v/>
      </c>
      <c r="H899" s="80">
        <f>IF(ISNUMBER(SEARCH("|",'Blind Scoring Sheet'!K899)),TRIM(LEFT('Blind Scoring Sheet'!K899,FIND("|",'Blind Scoring Sheet'!K899)-1)),TRIM('Blind Scoring Sheet'!K899))</f>
        <v/>
      </c>
    </row>
    <row r="900" ht="15" customHeight="1" s="38">
      <c r="A900" s="80">
        <f>'Blind Scoring Sheet'!A900</f>
        <v/>
      </c>
      <c r="B900" s="80">
        <f>MID(INDEX('Anonymization Key'!$B$4:$B$1003,MATCH(A900,'Anonymization Key'!$A$4:$A$1003,0)),3,2)</f>
        <v/>
      </c>
      <c r="C900" s="81">
        <f>IF(ISNUMBER('Blind Scoring Sheet'!B900),'Blind Scoring Sheet'!B900,VALUE(TRIM(LEFT('Blind Scoring Sheet'!B900,FIND("|",'Blind Scoring Sheet'!B900)-1))))</f>
        <v/>
      </c>
      <c r="D900" s="81">
        <f>IF(ISNUMBER('Blind Scoring Sheet'!D900),'Blind Scoring Sheet'!D900,VALUE(TRIM(LEFT('Blind Scoring Sheet'!D900,FIND("|",'Blind Scoring Sheet'!D900)-1))))</f>
        <v/>
      </c>
      <c r="E900" s="81">
        <f>IF(ISNUMBER('Blind Scoring Sheet'!F900),'Blind Scoring Sheet'!F900,VALUE(TRIM(LEFT('Blind Scoring Sheet'!F900,FIND("|",'Blind Scoring Sheet'!F900)-1))))</f>
        <v/>
      </c>
      <c r="F900" s="81">
        <f>IF(ISNUMBER('Blind Scoring Sheet'!H900),'Blind Scoring Sheet'!H900,VALUE(TRIM(LEFT('Blind Scoring Sheet'!H900,FIND("|",'Blind Scoring Sheet'!H900)-1))))</f>
        <v/>
      </c>
      <c r="G900" s="81">
        <f>IF(ISNUMBER('Blind Scoring Sheet'!J900),'Blind Scoring Sheet'!J900,VALUE(TRIM(LEFT('Blind Scoring Sheet'!J900,FIND("|",'Blind Scoring Sheet'!J900)-1))))</f>
        <v/>
      </c>
      <c r="H900" s="80">
        <f>IF(ISNUMBER(SEARCH("|",'Blind Scoring Sheet'!K900)),TRIM(LEFT('Blind Scoring Sheet'!K900,FIND("|",'Blind Scoring Sheet'!K900)-1)),TRIM('Blind Scoring Sheet'!K900))</f>
        <v/>
      </c>
    </row>
    <row r="901" ht="15" customHeight="1" s="38">
      <c r="A901" s="80">
        <f>'Blind Scoring Sheet'!A901</f>
        <v/>
      </c>
      <c r="B901" s="80">
        <f>MID(INDEX('Anonymization Key'!$B$4:$B$1003,MATCH(A901,'Anonymization Key'!$A$4:$A$1003,0)),3,2)</f>
        <v/>
      </c>
      <c r="C901" s="81">
        <f>IF(ISNUMBER('Blind Scoring Sheet'!B901),'Blind Scoring Sheet'!B901,VALUE(TRIM(LEFT('Blind Scoring Sheet'!B901,FIND("|",'Blind Scoring Sheet'!B901)-1))))</f>
        <v/>
      </c>
      <c r="D901" s="81">
        <f>IF(ISNUMBER('Blind Scoring Sheet'!D901),'Blind Scoring Sheet'!D901,VALUE(TRIM(LEFT('Blind Scoring Sheet'!D901,FIND("|",'Blind Scoring Sheet'!D901)-1))))</f>
        <v/>
      </c>
      <c r="E901" s="81">
        <f>IF(ISNUMBER('Blind Scoring Sheet'!F901),'Blind Scoring Sheet'!F901,VALUE(TRIM(LEFT('Blind Scoring Sheet'!F901,FIND("|",'Blind Scoring Sheet'!F901)-1))))</f>
        <v/>
      </c>
      <c r="F901" s="81">
        <f>IF(ISNUMBER('Blind Scoring Sheet'!H901),'Blind Scoring Sheet'!H901,VALUE(TRIM(LEFT('Blind Scoring Sheet'!H901,FIND("|",'Blind Scoring Sheet'!H901)-1))))</f>
        <v/>
      </c>
      <c r="G901" s="81">
        <f>IF(ISNUMBER('Blind Scoring Sheet'!J901),'Blind Scoring Sheet'!J901,VALUE(TRIM(LEFT('Blind Scoring Sheet'!J901,FIND("|",'Blind Scoring Sheet'!J901)-1))))</f>
        <v/>
      </c>
      <c r="H901" s="80">
        <f>IF(ISNUMBER(SEARCH("|",'Blind Scoring Sheet'!K901)),TRIM(LEFT('Blind Scoring Sheet'!K901,FIND("|",'Blind Scoring Sheet'!K901)-1)),TRIM('Blind Scoring Sheet'!K901))</f>
        <v/>
      </c>
    </row>
    <row r="902" ht="15" customHeight="1" s="38">
      <c r="A902" s="80">
        <f>'Blind Scoring Sheet'!A902</f>
        <v/>
      </c>
      <c r="B902" s="80">
        <f>MID(INDEX('Anonymization Key'!$B$4:$B$1003,MATCH(A902,'Anonymization Key'!$A$4:$A$1003,0)),3,2)</f>
        <v/>
      </c>
      <c r="C902" s="81">
        <f>IF(ISNUMBER('Blind Scoring Sheet'!B902),'Blind Scoring Sheet'!B902,VALUE(TRIM(LEFT('Blind Scoring Sheet'!B902,FIND("|",'Blind Scoring Sheet'!B902)-1))))</f>
        <v/>
      </c>
      <c r="D902" s="81">
        <f>IF(ISNUMBER('Blind Scoring Sheet'!D902),'Blind Scoring Sheet'!D902,VALUE(TRIM(LEFT('Blind Scoring Sheet'!D902,FIND("|",'Blind Scoring Sheet'!D902)-1))))</f>
        <v/>
      </c>
      <c r="E902" s="81">
        <f>IF(ISNUMBER('Blind Scoring Sheet'!F902),'Blind Scoring Sheet'!F902,VALUE(TRIM(LEFT('Blind Scoring Sheet'!F902,FIND("|",'Blind Scoring Sheet'!F902)-1))))</f>
        <v/>
      </c>
      <c r="F902" s="81">
        <f>IF(ISNUMBER('Blind Scoring Sheet'!H902),'Blind Scoring Sheet'!H902,VALUE(TRIM(LEFT('Blind Scoring Sheet'!H902,FIND("|",'Blind Scoring Sheet'!H902)-1))))</f>
        <v/>
      </c>
      <c r="G902" s="81">
        <f>IF(ISNUMBER('Blind Scoring Sheet'!J902),'Blind Scoring Sheet'!J902,VALUE(TRIM(LEFT('Blind Scoring Sheet'!J902,FIND("|",'Blind Scoring Sheet'!J902)-1))))</f>
        <v/>
      </c>
      <c r="H902" s="80">
        <f>IF(ISNUMBER(SEARCH("|",'Blind Scoring Sheet'!K902)),TRIM(LEFT('Blind Scoring Sheet'!K902,FIND("|",'Blind Scoring Sheet'!K902)-1)),TRIM('Blind Scoring Sheet'!K902))</f>
        <v/>
      </c>
    </row>
    <row r="903" ht="15" customHeight="1" s="38">
      <c r="A903" s="80">
        <f>'Blind Scoring Sheet'!A903</f>
        <v/>
      </c>
      <c r="B903" s="80">
        <f>MID(INDEX('Anonymization Key'!$B$4:$B$1003,MATCH(A903,'Anonymization Key'!$A$4:$A$1003,0)),3,2)</f>
        <v/>
      </c>
      <c r="C903" s="81">
        <f>IF(ISNUMBER('Blind Scoring Sheet'!B903),'Blind Scoring Sheet'!B903,VALUE(TRIM(LEFT('Blind Scoring Sheet'!B903,FIND("|",'Blind Scoring Sheet'!B903)-1))))</f>
        <v/>
      </c>
      <c r="D903" s="81">
        <f>IF(ISNUMBER('Blind Scoring Sheet'!D903),'Blind Scoring Sheet'!D903,VALUE(TRIM(LEFT('Blind Scoring Sheet'!D903,FIND("|",'Blind Scoring Sheet'!D903)-1))))</f>
        <v/>
      </c>
      <c r="E903" s="81">
        <f>IF(ISNUMBER('Blind Scoring Sheet'!F903),'Blind Scoring Sheet'!F903,VALUE(TRIM(LEFT('Blind Scoring Sheet'!F903,FIND("|",'Blind Scoring Sheet'!F903)-1))))</f>
        <v/>
      </c>
      <c r="F903" s="81">
        <f>IF(ISNUMBER('Blind Scoring Sheet'!H903),'Blind Scoring Sheet'!H903,VALUE(TRIM(LEFT('Blind Scoring Sheet'!H903,FIND("|",'Blind Scoring Sheet'!H903)-1))))</f>
        <v/>
      </c>
      <c r="G903" s="81">
        <f>IF(ISNUMBER('Blind Scoring Sheet'!J903),'Blind Scoring Sheet'!J903,VALUE(TRIM(LEFT('Blind Scoring Sheet'!J903,FIND("|",'Blind Scoring Sheet'!J903)-1))))</f>
        <v/>
      </c>
      <c r="H903" s="80">
        <f>IF(ISNUMBER(SEARCH("|",'Blind Scoring Sheet'!K903)),TRIM(LEFT('Blind Scoring Sheet'!K903,FIND("|",'Blind Scoring Sheet'!K903)-1)),TRIM('Blind Scoring Sheet'!K903))</f>
        <v/>
      </c>
    </row>
    <row r="904" ht="15" customHeight="1" s="38">
      <c r="A904" s="80">
        <f>'Blind Scoring Sheet'!A904</f>
        <v/>
      </c>
      <c r="B904" s="80">
        <f>MID(INDEX('Anonymization Key'!$B$4:$B$1003,MATCH(A904,'Anonymization Key'!$A$4:$A$1003,0)),3,2)</f>
        <v/>
      </c>
      <c r="C904" s="81">
        <f>IF(ISNUMBER('Blind Scoring Sheet'!B904),'Blind Scoring Sheet'!B904,VALUE(TRIM(LEFT('Blind Scoring Sheet'!B904,FIND("|",'Blind Scoring Sheet'!B904)-1))))</f>
        <v/>
      </c>
      <c r="D904" s="81">
        <f>IF(ISNUMBER('Blind Scoring Sheet'!D904),'Blind Scoring Sheet'!D904,VALUE(TRIM(LEFT('Blind Scoring Sheet'!D904,FIND("|",'Blind Scoring Sheet'!D904)-1))))</f>
        <v/>
      </c>
      <c r="E904" s="81">
        <f>IF(ISNUMBER('Blind Scoring Sheet'!F904),'Blind Scoring Sheet'!F904,VALUE(TRIM(LEFT('Blind Scoring Sheet'!F904,FIND("|",'Blind Scoring Sheet'!F904)-1))))</f>
        <v/>
      </c>
      <c r="F904" s="81">
        <f>IF(ISNUMBER('Blind Scoring Sheet'!H904),'Blind Scoring Sheet'!H904,VALUE(TRIM(LEFT('Blind Scoring Sheet'!H904,FIND("|",'Blind Scoring Sheet'!H904)-1))))</f>
        <v/>
      </c>
      <c r="G904" s="81">
        <f>IF(ISNUMBER('Blind Scoring Sheet'!J904),'Blind Scoring Sheet'!J904,VALUE(TRIM(LEFT('Blind Scoring Sheet'!J904,FIND("|",'Blind Scoring Sheet'!J904)-1))))</f>
        <v/>
      </c>
      <c r="H904" s="80">
        <f>IF(ISNUMBER(SEARCH("|",'Blind Scoring Sheet'!K904)),TRIM(LEFT('Blind Scoring Sheet'!K904,FIND("|",'Blind Scoring Sheet'!K904)-1)),TRIM('Blind Scoring Sheet'!K904))</f>
        <v/>
      </c>
    </row>
    <row r="905" ht="15" customHeight="1" s="38">
      <c r="A905" s="80">
        <f>'Blind Scoring Sheet'!A905</f>
        <v/>
      </c>
      <c r="B905" s="80">
        <f>MID(INDEX('Anonymization Key'!$B$4:$B$1003,MATCH(A905,'Anonymization Key'!$A$4:$A$1003,0)),3,2)</f>
        <v/>
      </c>
      <c r="C905" s="81">
        <f>IF(ISNUMBER('Blind Scoring Sheet'!B905),'Blind Scoring Sheet'!B905,VALUE(TRIM(LEFT('Blind Scoring Sheet'!B905,FIND("|",'Blind Scoring Sheet'!B905)-1))))</f>
        <v/>
      </c>
      <c r="D905" s="81">
        <f>IF(ISNUMBER('Blind Scoring Sheet'!D905),'Blind Scoring Sheet'!D905,VALUE(TRIM(LEFT('Blind Scoring Sheet'!D905,FIND("|",'Blind Scoring Sheet'!D905)-1))))</f>
        <v/>
      </c>
      <c r="E905" s="81">
        <f>IF(ISNUMBER('Blind Scoring Sheet'!F905),'Blind Scoring Sheet'!F905,VALUE(TRIM(LEFT('Blind Scoring Sheet'!F905,FIND("|",'Blind Scoring Sheet'!F905)-1))))</f>
        <v/>
      </c>
      <c r="F905" s="81">
        <f>IF(ISNUMBER('Blind Scoring Sheet'!H905),'Blind Scoring Sheet'!H905,VALUE(TRIM(LEFT('Blind Scoring Sheet'!H905,FIND("|",'Blind Scoring Sheet'!H905)-1))))</f>
        <v/>
      </c>
      <c r="G905" s="81">
        <f>IF(ISNUMBER('Blind Scoring Sheet'!J905),'Blind Scoring Sheet'!J905,VALUE(TRIM(LEFT('Blind Scoring Sheet'!J905,FIND("|",'Blind Scoring Sheet'!J905)-1))))</f>
        <v/>
      </c>
      <c r="H905" s="80">
        <f>IF(ISNUMBER(SEARCH("|",'Blind Scoring Sheet'!K905)),TRIM(LEFT('Blind Scoring Sheet'!K905,FIND("|",'Blind Scoring Sheet'!K905)-1)),TRIM('Blind Scoring Sheet'!K905))</f>
        <v/>
      </c>
    </row>
    <row r="906" ht="15" customHeight="1" s="38">
      <c r="A906" s="80">
        <f>'Blind Scoring Sheet'!A906</f>
        <v/>
      </c>
      <c r="B906" s="80">
        <f>MID(INDEX('Anonymization Key'!$B$4:$B$1003,MATCH(A906,'Anonymization Key'!$A$4:$A$1003,0)),3,2)</f>
        <v/>
      </c>
      <c r="C906" s="81">
        <f>IF(ISNUMBER('Blind Scoring Sheet'!B906),'Blind Scoring Sheet'!B906,VALUE(TRIM(LEFT('Blind Scoring Sheet'!B906,FIND("|",'Blind Scoring Sheet'!B906)-1))))</f>
        <v/>
      </c>
      <c r="D906" s="81">
        <f>IF(ISNUMBER('Blind Scoring Sheet'!D906),'Blind Scoring Sheet'!D906,VALUE(TRIM(LEFT('Blind Scoring Sheet'!D906,FIND("|",'Blind Scoring Sheet'!D906)-1))))</f>
        <v/>
      </c>
      <c r="E906" s="81">
        <f>IF(ISNUMBER('Blind Scoring Sheet'!F906),'Blind Scoring Sheet'!F906,VALUE(TRIM(LEFT('Blind Scoring Sheet'!F906,FIND("|",'Blind Scoring Sheet'!F906)-1))))</f>
        <v/>
      </c>
      <c r="F906" s="81">
        <f>IF(ISNUMBER('Blind Scoring Sheet'!H906),'Blind Scoring Sheet'!H906,VALUE(TRIM(LEFT('Blind Scoring Sheet'!H906,FIND("|",'Blind Scoring Sheet'!H906)-1))))</f>
        <v/>
      </c>
      <c r="G906" s="81">
        <f>IF(ISNUMBER('Blind Scoring Sheet'!J906),'Blind Scoring Sheet'!J906,VALUE(TRIM(LEFT('Blind Scoring Sheet'!J906,FIND("|",'Blind Scoring Sheet'!J906)-1))))</f>
        <v/>
      </c>
      <c r="H906" s="80">
        <f>IF(ISNUMBER(SEARCH("|",'Blind Scoring Sheet'!K906)),TRIM(LEFT('Blind Scoring Sheet'!K906,FIND("|",'Blind Scoring Sheet'!K906)-1)),TRIM('Blind Scoring Sheet'!K906))</f>
        <v/>
      </c>
    </row>
    <row r="907" ht="15" customHeight="1" s="38">
      <c r="A907" s="80">
        <f>'Blind Scoring Sheet'!A907</f>
        <v/>
      </c>
      <c r="B907" s="80">
        <f>MID(INDEX('Anonymization Key'!$B$4:$B$1003,MATCH(A907,'Anonymization Key'!$A$4:$A$1003,0)),3,2)</f>
        <v/>
      </c>
      <c r="C907" s="81">
        <f>IF(ISNUMBER('Blind Scoring Sheet'!B907),'Blind Scoring Sheet'!B907,VALUE(TRIM(LEFT('Blind Scoring Sheet'!B907,FIND("|",'Blind Scoring Sheet'!B907)-1))))</f>
        <v/>
      </c>
      <c r="D907" s="81">
        <f>IF(ISNUMBER('Blind Scoring Sheet'!D907),'Blind Scoring Sheet'!D907,VALUE(TRIM(LEFT('Blind Scoring Sheet'!D907,FIND("|",'Blind Scoring Sheet'!D907)-1))))</f>
        <v/>
      </c>
      <c r="E907" s="81">
        <f>IF(ISNUMBER('Blind Scoring Sheet'!F907),'Blind Scoring Sheet'!F907,VALUE(TRIM(LEFT('Blind Scoring Sheet'!F907,FIND("|",'Blind Scoring Sheet'!F907)-1))))</f>
        <v/>
      </c>
      <c r="F907" s="81">
        <f>IF(ISNUMBER('Blind Scoring Sheet'!H907),'Blind Scoring Sheet'!H907,VALUE(TRIM(LEFT('Blind Scoring Sheet'!H907,FIND("|",'Blind Scoring Sheet'!H907)-1))))</f>
        <v/>
      </c>
      <c r="G907" s="81">
        <f>IF(ISNUMBER('Blind Scoring Sheet'!J907),'Blind Scoring Sheet'!J907,VALUE(TRIM(LEFT('Blind Scoring Sheet'!J907,FIND("|",'Blind Scoring Sheet'!J907)-1))))</f>
        <v/>
      </c>
      <c r="H907" s="80">
        <f>IF(ISNUMBER(SEARCH("|",'Blind Scoring Sheet'!K907)),TRIM(LEFT('Blind Scoring Sheet'!K907,FIND("|",'Blind Scoring Sheet'!K907)-1)),TRIM('Blind Scoring Sheet'!K907))</f>
        <v/>
      </c>
    </row>
    <row r="908" ht="15" customHeight="1" s="38">
      <c r="A908" s="80">
        <f>'Blind Scoring Sheet'!A908</f>
        <v/>
      </c>
      <c r="B908" s="80">
        <f>MID(INDEX('Anonymization Key'!$B$4:$B$1003,MATCH(A908,'Anonymization Key'!$A$4:$A$1003,0)),3,2)</f>
        <v/>
      </c>
      <c r="C908" s="81">
        <f>IF(ISNUMBER('Blind Scoring Sheet'!B908),'Blind Scoring Sheet'!B908,VALUE(TRIM(LEFT('Blind Scoring Sheet'!B908,FIND("|",'Blind Scoring Sheet'!B908)-1))))</f>
        <v/>
      </c>
      <c r="D908" s="81">
        <f>IF(ISNUMBER('Blind Scoring Sheet'!D908),'Blind Scoring Sheet'!D908,VALUE(TRIM(LEFT('Blind Scoring Sheet'!D908,FIND("|",'Blind Scoring Sheet'!D908)-1))))</f>
        <v/>
      </c>
      <c r="E908" s="81">
        <f>IF(ISNUMBER('Blind Scoring Sheet'!F908),'Blind Scoring Sheet'!F908,VALUE(TRIM(LEFT('Blind Scoring Sheet'!F908,FIND("|",'Blind Scoring Sheet'!F908)-1))))</f>
        <v/>
      </c>
      <c r="F908" s="81">
        <f>IF(ISNUMBER('Blind Scoring Sheet'!H908),'Blind Scoring Sheet'!H908,VALUE(TRIM(LEFT('Blind Scoring Sheet'!H908,FIND("|",'Blind Scoring Sheet'!H908)-1))))</f>
        <v/>
      </c>
      <c r="G908" s="81">
        <f>IF(ISNUMBER('Blind Scoring Sheet'!J908),'Blind Scoring Sheet'!J908,VALUE(TRIM(LEFT('Blind Scoring Sheet'!J908,FIND("|",'Blind Scoring Sheet'!J908)-1))))</f>
        <v/>
      </c>
      <c r="H908" s="80">
        <f>IF(ISNUMBER(SEARCH("|",'Blind Scoring Sheet'!K908)),TRIM(LEFT('Blind Scoring Sheet'!K908,FIND("|",'Blind Scoring Sheet'!K908)-1)),TRIM('Blind Scoring Sheet'!K908))</f>
        <v/>
      </c>
    </row>
    <row r="909" ht="15" customHeight="1" s="38">
      <c r="A909" s="80">
        <f>'Blind Scoring Sheet'!A909</f>
        <v/>
      </c>
      <c r="B909" s="80">
        <f>MID(INDEX('Anonymization Key'!$B$4:$B$1003,MATCH(A909,'Anonymization Key'!$A$4:$A$1003,0)),3,2)</f>
        <v/>
      </c>
      <c r="C909" s="81">
        <f>IF(ISNUMBER('Blind Scoring Sheet'!B909),'Blind Scoring Sheet'!B909,VALUE(TRIM(LEFT('Blind Scoring Sheet'!B909,FIND("|",'Blind Scoring Sheet'!B909)-1))))</f>
        <v/>
      </c>
      <c r="D909" s="81">
        <f>IF(ISNUMBER('Blind Scoring Sheet'!D909),'Blind Scoring Sheet'!D909,VALUE(TRIM(LEFT('Blind Scoring Sheet'!D909,FIND("|",'Blind Scoring Sheet'!D909)-1))))</f>
        <v/>
      </c>
      <c r="E909" s="81">
        <f>IF(ISNUMBER('Blind Scoring Sheet'!F909),'Blind Scoring Sheet'!F909,VALUE(TRIM(LEFT('Blind Scoring Sheet'!F909,FIND("|",'Blind Scoring Sheet'!F909)-1))))</f>
        <v/>
      </c>
      <c r="F909" s="81">
        <f>IF(ISNUMBER('Blind Scoring Sheet'!H909),'Blind Scoring Sheet'!H909,VALUE(TRIM(LEFT('Blind Scoring Sheet'!H909,FIND("|",'Blind Scoring Sheet'!H909)-1))))</f>
        <v/>
      </c>
      <c r="G909" s="81">
        <f>IF(ISNUMBER('Blind Scoring Sheet'!J909),'Blind Scoring Sheet'!J909,VALUE(TRIM(LEFT('Blind Scoring Sheet'!J909,FIND("|",'Blind Scoring Sheet'!J909)-1))))</f>
        <v/>
      </c>
      <c r="H909" s="80">
        <f>IF(ISNUMBER(SEARCH("|",'Blind Scoring Sheet'!K909)),TRIM(LEFT('Blind Scoring Sheet'!K909,FIND("|",'Blind Scoring Sheet'!K909)-1)),TRIM('Blind Scoring Sheet'!K909))</f>
        <v/>
      </c>
    </row>
    <row r="910" ht="15" customHeight="1" s="38">
      <c r="A910" s="80">
        <f>'Blind Scoring Sheet'!A910</f>
        <v/>
      </c>
      <c r="B910" s="80">
        <f>MID(INDEX('Anonymization Key'!$B$4:$B$1003,MATCH(A910,'Anonymization Key'!$A$4:$A$1003,0)),3,2)</f>
        <v/>
      </c>
      <c r="C910" s="81">
        <f>IF(ISNUMBER('Blind Scoring Sheet'!B910),'Blind Scoring Sheet'!B910,VALUE(TRIM(LEFT('Blind Scoring Sheet'!B910,FIND("|",'Blind Scoring Sheet'!B910)-1))))</f>
        <v/>
      </c>
      <c r="D910" s="81">
        <f>IF(ISNUMBER('Blind Scoring Sheet'!D910),'Blind Scoring Sheet'!D910,VALUE(TRIM(LEFT('Blind Scoring Sheet'!D910,FIND("|",'Blind Scoring Sheet'!D910)-1))))</f>
        <v/>
      </c>
      <c r="E910" s="81">
        <f>IF(ISNUMBER('Blind Scoring Sheet'!F910),'Blind Scoring Sheet'!F910,VALUE(TRIM(LEFT('Blind Scoring Sheet'!F910,FIND("|",'Blind Scoring Sheet'!F910)-1))))</f>
        <v/>
      </c>
      <c r="F910" s="81">
        <f>IF(ISNUMBER('Blind Scoring Sheet'!H910),'Blind Scoring Sheet'!H910,VALUE(TRIM(LEFT('Blind Scoring Sheet'!H910,FIND("|",'Blind Scoring Sheet'!H910)-1))))</f>
        <v/>
      </c>
      <c r="G910" s="81">
        <f>IF(ISNUMBER('Blind Scoring Sheet'!J910),'Blind Scoring Sheet'!J910,VALUE(TRIM(LEFT('Blind Scoring Sheet'!J910,FIND("|",'Blind Scoring Sheet'!J910)-1))))</f>
        <v/>
      </c>
      <c r="H910" s="80">
        <f>IF(ISNUMBER(SEARCH("|",'Blind Scoring Sheet'!K910)),TRIM(LEFT('Blind Scoring Sheet'!K910,FIND("|",'Blind Scoring Sheet'!K910)-1)),TRIM('Blind Scoring Sheet'!K910))</f>
        <v/>
      </c>
    </row>
    <row r="911" ht="15" customHeight="1" s="38">
      <c r="A911" s="80">
        <f>'Blind Scoring Sheet'!A911</f>
        <v/>
      </c>
      <c r="B911" s="80">
        <f>MID(INDEX('Anonymization Key'!$B$4:$B$1003,MATCH(A911,'Anonymization Key'!$A$4:$A$1003,0)),3,2)</f>
        <v/>
      </c>
      <c r="C911" s="81">
        <f>IF(ISNUMBER('Blind Scoring Sheet'!B911),'Blind Scoring Sheet'!B911,VALUE(TRIM(LEFT('Blind Scoring Sheet'!B911,FIND("|",'Blind Scoring Sheet'!B911)-1))))</f>
        <v/>
      </c>
      <c r="D911" s="81">
        <f>IF(ISNUMBER('Blind Scoring Sheet'!D911),'Blind Scoring Sheet'!D911,VALUE(TRIM(LEFT('Blind Scoring Sheet'!D911,FIND("|",'Blind Scoring Sheet'!D911)-1))))</f>
        <v/>
      </c>
      <c r="E911" s="81">
        <f>IF(ISNUMBER('Blind Scoring Sheet'!F911),'Blind Scoring Sheet'!F911,VALUE(TRIM(LEFT('Blind Scoring Sheet'!F911,FIND("|",'Blind Scoring Sheet'!F911)-1))))</f>
        <v/>
      </c>
      <c r="F911" s="81">
        <f>IF(ISNUMBER('Blind Scoring Sheet'!H911),'Blind Scoring Sheet'!H911,VALUE(TRIM(LEFT('Blind Scoring Sheet'!H911,FIND("|",'Blind Scoring Sheet'!H911)-1))))</f>
        <v/>
      </c>
      <c r="G911" s="81">
        <f>IF(ISNUMBER('Blind Scoring Sheet'!J911),'Blind Scoring Sheet'!J911,VALUE(TRIM(LEFT('Blind Scoring Sheet'!J911,FIND("|",'Blind Scoring Sheet'!J911)-1))))</f>
        <v/>
      </c>
      <c r="H911" s="80">
        <f>IF(ISNUMBER(SEARCH("|",'Blind Scoring Sheet'!K911)),TRIM(LEFT('Blind Scoring Sheet'!K911,FIND("|",'Blind Scoring Sheet'!K911)-1)),TRIM('Blind Scoring Sheet'!K911))</f>
        <v/>
      </c>
    </row>
    <row r="912" ht="15" customHeight="1" s="38">
      <c r="A912" s="80">
        <f>'Blind Scoring Sheet'!A912</f>
        <v/>
      </c>
      <c r="B912" s="80">
        <f>MID(INDEX('Anonymization Key'!$B$4:$B$1003,MATCH(A912,'Anonymization Key'!$A$4:$A$1003,0)),3,2)</f>
        <v/>
      </c>
      <c r="C912" s="81">
        <f>IF(ISNUMBER('Blind Scoring Sheet'!B912),'Blind Scoring Sheet'!B912,VALUE(TRIM(LEFT('Blind Scoring Sheet'!B912,FIND("|",'Blind Scoring Sheet'!B912)-1))))</f>
        <v/>
      </c>
      <c r="D912" s="81">
        <f>IF(ISNUMBER('Blind Scoring Sheet'!D912),'Blind Scoring Sheet'!D912,VALUE(TRIM(LEFT('Blind Scoring Sheet'!D912,FIND("|",'Blind Scoring Sheet'!D912)-1))))</f>
        <v/>
      </c>
      <c r="E912" s="81">
        <f>IF(ISNUMBER('Blind Scoring Sheet'!F912),'Blind Scoring Sheet'!F912,VALUE(TRIM(LEFT('Blind Scoring Sheet'!F912,FIND("|",'Blind Scoring Sheet'!F912)-1))))</f>
        <v/>
      </c>
      <c r="F912" s="81">
        <f>IF(ISNUMBER('Blind Scoring Sheet'!H912),'Blind Scoring Sheet'!H912,VALUE(TRIM(LEFT('Blind Scoring Sheet'!H912,FIND("|",'Blind Scoring Sheet'!H912)-1))))</f>
        <v/>
      </c>
      <c r="G912" s="81">
        <f>IF(ISNUMBER('Blind Scoring Sheet'!J912),'Blind Scoring Sheet'!J912,VALUE(TRIM(LEFT('Blind Scoring Sheet'!J912,FIND("|",'Blind Scoring Sheet'!J912)-1))))</f>
        <v/>
      </c>
      <c r="H912" s="80">
        <f>IF(ISNUMBER(SEARCH("|",'Blind Scoring Sheet'!K912)),TRIM(LEFT('Blind Scoring Sheet'!K912,FIND("|",'Blind Scoring Sheet'!K912)-1)),TRIM('Blind Scoring Sheet'!K912))</f>
        <v/>
      </c>
    </row>
    <row r="913" ht="15" customHeight="1" s="38">
      <c r="A913" s="80">
        <f>'Blind Scoring Sheet'!A913</f>
        <v/>
      </c>
      <c r="B913" s="80">
        <f>MID(INDEX('Anonymization Key'!$B$4:$B$1003,MATCH(A913,'Anonymization Key'!$A$4:$A$1003,0)),3,2)</f>
        <v/>
      </c>
      <c r="C913" s="81">
        <f>IF(ISNUMBER('Blind Scoring Sheet'!B913),'Blind Scoring Sheet'!B913,VALUE(TRIM(LEFT('Blind Scoring Sheet'!B913,FIND("|",'Blind Scoring Sheet'!B913)-1))))</f>
        <v/>
      </c>
      <c r="D913" s="81">
        <f>IF(ISNUMBER('Blind Scoring Sheet'!D913),'Blind Scoring Sheet'!D913,VALUE(TRIM(LEFT('Blind Scoring Sheet'!D913,FIND("|",'Blind Scoring Sheet'!D913)-1))))</f>
        <v/>
      </c>
      <c r="E913" s="81">
        <f>IF(ISNUMBER('Blind Scoring Sheet'!F913),'Blind Scoring Sheet'!F913,VALUE(TRIM(LEFT('Blind Scoring Sheet'!F913,FIND("|",'Blind Scoring Sheet'!F913)-1))))</f>
        <v/>
      </c>
      <c r="F913" s="81">
        <f>IF(ISNUMBER('Blind Scoring Sheet'!H913),'Blind Scoring Sheet'!H913,VALUE(TRIM(LEFT('Blind Scoring Sheet'!H913,FIND("|",'Blind Scoring Sheet'!H913)-1))))</f>
        <v/>
      </c>
      <c r="G913" s="81">
        <f>IF(ISNUMBER('Blind Scoring Sheet'!J913),'Blind Scoring Sheet'!J913,VALUE(TRIM(LEFT('Blind Scoring Sheet'!J913,FIND("|",'Blind Scoring Sheet'!J913)-1))))</f>
        <v/>
      </c>
      <c r="H913" s="80">
        <f>IF(ISNUMBER(SEARCH("|",'Blind Scoring Sheet'!K913)),TRIM(LEFT('Blind Scoring Sheet'!K913,FIND("|",'Blind Scoring Sheet'!K913)-1)),TRIM('Blind Scoring Sheet'!K913))</f>
        <v/>
      </c>
    </row>
    <row r="914" ht="15" customHeight="1" s="38">
      <c r="A914" s="80">
        <f>'Blind Scoring Sheet'!A914</f>
        <v/>
      </c>
      <c r="B914" s="80">
        <f>MID(INDEX('Anonymization Key'!$B$4:$B$1003,MATCH(A914,'Anonymization Key'!$A$4:$A$1003,0)),3,2)</f>
        <v/>
      </c>
      <c r="C914" s="81">
        <f>IF(ISNUMBER('Blind Scoring Sheet'!B914),'Blind Scoring Sheet'!B914,VALUE(TRIM(LEFT('Blind Scoring Sheet'!B914,FIND("|",'Blind Scoring Sheet'!B914)-1))))</f>
        <v/>
      </c>
      <c r="D914" s="81">
        <f>IF(ISNUMBER('Blind Scoring Sheet'!D914),'Blind Scoring Sheet'!D914,VALUE(TRIM(LEFT('Blind Scoring Sheet'!D914,FIND("|",'Blind Scoring Sheet'!D914)-1))))</f>
        <v/>
      </c>
      <c r="E914" s="81">
        <f>IF(ISNUMBER('Blind Scoring Sheet'!F914),'Blind Scoring Sheet'!F914,VALUE(TRIM(LEFT('Blind Scoring Sheet'!F914,FIND("|",'Blind Scoring Sheet'!F914)-1))))</f>
        <v/>
      </c>
      <c r="F914" s="81">
        <f>IF(ISNUMBER('Blind Scoring Sheet'!H914),'Blind Scoring Sheet'!H914,VALUE(TRIM(LEFT('Blind Scoring Sheet'!H914,FIND("|",'Blind Scoring Sheet'!H914)-1))))</f>
        <v/>
      </c>
      <c r="G914" s="81">
        <f>IF(ISNUMBER('Blind Scoring Sheet'!J914),'Blind Scoring Sheet'!J914,VALUE(TRIM(LEFT('Blind Scoring Sheet'!J914,FIND("|",'Blind Scoring Sheet'!J914)-1))))</f>
        <v/>
      </c>
      <c r="H914" s="80">
        <f>IF(ISNUMBER(SEARCH("|",'Blind Scoring Sheet'!K914)),TRIM(LEFT('Blind Scoring Sheet'!K914,FIND("|",'Blind Scoring Sheet'!K914)-1)),TRIM('Blind Scoring Sheet'!K914))</f>
        <v/>
      </c>
    </row>
    <row r="915" ht="15" customHeight="1" s="38">
      <c r="A915" s="80">
        <f>'Blind Scoring Sheet'!A915</f>
        <v/>
      </c>
      <c r="B915" s="80">
        <f>MID(INDEX('Anonymization Key'!$B$4:$B$1003,MATCH(A915,'Anonymization Key'!$A$4:$A$1003,0)),3,2)</f>
        <v/>
      </c>
      <c r="C915" s="81">
        <f>IF(ISNUMBER('Blind Scoring Sheet'!B915),'Blind Scoring Sheet'!B915,VALUE(TRIM(LEFT('Blind Scoring Sheet'!B915,FIND("|",'Blind Scoring Sheet'!B915)-1))))</f>
        <v/>
      </c>
      <c r="D915" s="81">
        <f>IF(ISNUMBER('Blind Scoring Sheet'!D915),'Blind Scoring Sheet'!D915,VALUE(TRIM(LEFT('Blind Scoring Sheet'!D915,FIND("|",'Blind Scoring Sheet'!D915)-1))))</f>
        <v/>
      </c>
      <c r="E915" s="81">
        <f>IF(ISNUMBER('Blind Scoring Sheet'!F915),'Blind Scoring Sheet'!F915,VALUE(TRIM(LEFT('Blind Scoring Sheet'!F915,FIND("|",'Blind Scoring Sheet'!F915)-1))))</f>
        <v/>
      </c>
      <c r="F915" s="81">
        <f>IF(ISNUMBER('Blind Scoring Sheet'!H915),'Blind Scoring Sheet'!H915,VALUE(TRIM(LEFT('Blind Scoring Sheet'!H915,FIND("|",'Blind Scoring Sheet'!H915)-1))))</f>
        <v/>
      </c>
      <c r="G915" s="81">
        <f>IF(ISNUMBER('Blind Scoring Sheet'!J915),'Blind Scoring Sheet'!J915,VALUE(TRIM(LEFT('Blind Scoring Sheet'!J915,FIND("|",'Blind Scoring Sheet'!J915)-1))))</f>
        <v/>
      </c>
      <c r="H915" s="80">
        <f>IF(ISNUMBER(SEARCH("|",'Blind Scoring Sheet'!K915)),TRIM(LEFT('Blind Scoring Sheet'!K915,FIND("|",'Blind Scoring Sheet'!K915)-1)),TRIM('Blind Scoring Sheet'!K915))</f>
        <v/>
      </c>
    </row>
    <row r="916" ht="15" customHeight="1" s="38">
      <c r="A916" s="80">
        <f>'Blind Scoring Sheet'!A916</f>
        <v/>
      </c>
      <c r="B916" s="80">
        <f>MID(INDEX('Anonymization Key'!$B$4:$B$1003,MATCH(A916,'Anonymization Key'!$A$4:$A$1003,0)),3,2)</f>
        <v/>
      </c>
      <c r="C916" s="81">
        <f>IF(ISNUMBER('Blind Scoring Sheet'!B916),'Blind Scoring Sheet'!B916,VALUE(TRIM(LEFT('Blind Scoring Sheet'!B916,FIND("|",'Blind Scoring Sheet'!B916)-1))))</f>
        <v/>
      </c>
      <c r="D916" s="81">
        <f>IF(ISNUMBER('Blind Scoring Sheet'!D916),'Blind Scoring Sheet'!D916,VALUE(TRIM(LEFT('Blind Scoring Sheet'!D916,FIND("|",'Blind Scoring Sheet'!D916)-1))))</f>
        <v/>
      </c>
      <c r="E916" s="81">
        <f>IF(ISNUMBER('Blind Scoring Sheet'!F916),'Blind Scoring Sheet'!F916,VALUE(TRIM(LEFT('Blind Scoring Sheet'!F916,FIND("|",'Blind Scoring Sheet'!F916)-1))))</f>
        <v/>
      </c>
      <c r="F916" s="81">
        <f>IF(ISNUMBER('Blind Scoring Sheet'!H916),'Blind Scoring Sheet'!H916,VALUE(TRIM(LEFT('Blind Scoring Sheet'!H916,FIND("|",'Blind Scoring Sheet'!H916)-1))))</f>
        <v/>
      </c>
      <c r="G916" s="81">
        <f>IF(ISNUMBER('Blind Scoring Sheet'!J916),'Blind Scoring Sheet'!J916,VALUE(TRIM(LEFT('Blind Scoring Sheet'!J916,FIND("|",'Blind Scoring Sheet'!J916)-1))))</f>
        <v/>
      </c>
      <c r="H916" s="80">
        <f>IF(ISNUMBER(SEARCH("|",'Blind Scoring Sheet'!K916)),TRIM(LEFT('Blind Scoring Sheet'!K916,FIND("|",'Blind Scoring Sheet'!K916)-1)),TRIM('Blind Scoring Sheet'!K916))</f>
        <v/>
      </c>
    </row>
    <row r="917" ht="15" customHeight="1" s="38">
      <c r="A917" s="80">
        <f>'Blind Scoring Sheet'!A917</f>
        <v/>
      </c>
      <c r="B917" s="80">
        <f>MID(INDEX('Anonymization Key'!$B$4:$B$1003,MATCH(A917,'Anonymization Key'!$A$4:$A$1003,0)),3,2)</f>
        <v/>
      </c>
      <c r="C917" s="81">
        <f>IF(ISNUMBER('Blind Scoring Sheet'!B917),'Blind Scoring Sheet'!B917,VALUE(TRIM(LEFT('Blind Scoring Sheet'!B917,FIND("|",'Blind Scoring Sheet'!B917)-1))))</f>
        <v/>
      </c>
      <c r="D917" s="81">
        <f>IF(ISNUMBER('Blind Scoring Sheet'!D917),'Blind Scoring Sheet'!D917,VALUE(TRIM(LEFT('Blind Scoring Sheet'!D917,FIND("|",'Blind Scoring Sheet'!D917)-1))))</f>
        <v/>
      </c>
      <c r="E917" s="81">
        <f>IF(ISNUMBER('Blind Scoring Sheet'!F917),'Blind Scoring Sheet'!F917,VALUE(TRIM(LEFT('Blind Scoring Sheet'!F917,FIND("|",'Blind Scoring Sheet'!F917)-1))))</f>
        <v/>
      </c>
      <c r="F917" s="81">
        <f>IF(ISNUMBER('Blind Scoring Sheet'!H917),'Blind Scoring Sheet'!H917,VALUE(TRIM(LEFT('Blind Scoring Sheet'!H917,FIND("|",'Blind Scoring Sheet'!H917)-1))))</f>
        <v/>
      </c>
      <c r="G917" s="81">
        <f>IF(ISNUMBER('Blind Scoring Sheet'!J917),'Blind Scoring Sheet'!J917,VALUE(TRIM(LEFT('Blind Scoring Sheet'!J917,FIND("|",'Blind Scoring Sheet'!J917)-1))))</f>
        <v/>
      </c>
      <c r="H917" s="80">
        <f>IF(ISNUMBER(SEARCH("|",'Blind Scoring Sheet'!K917)),TRIM(LEFT('Blind Scoring Sheet'!K917,FIND("|",'Blind Scoring Sheet'!K917)-1)),TRIM('Blind Scoring Sheet'!K917))</f>
        <v/>
      </c>
    </row>
    <row r="918" ht="15" customHeight="1" s="38">
      <c r="A918" s="80">
        <f>'Blind Scoring Sheet'!A918</f>
        <v/>
      </c>
      <c r="B918" s="80">
        <f>MID(INDEX('Anonymization Key'!$B$4:$B$1003,MATCH(A918,'Anonymization Key'!$A$4:$A$1003,0)),3,2)</f>
        <v/>
      </c>
      <c r="C918" s="81">
        <f>IF(ISNUMBER('Blind Scoring Sheet'!B918),'Blind Scoring Sheet'!B918,VALUE(TRIM(LEFT('Blind Scoring Sheet'!B918,FIND("|",'Blind Scoring Sheet'!B918)-1))))</f>
        <v/>
      </c>
      <c r="D918" s="81">
        <f>IF(ISNUMBER('Blind Scoring Sheet'!D918),'Blind Scoring Sheet'!D918,VALUE(TRIM(LEFT('Blind Scoring Sheet'!D918,FIND("|",'Blind Scoring Sheet'!D918)-1))))</f>
        <v/>
      </c>
      <c r="E918" s="81">
        <f>IF(ISNUMBER('Blind Scoring Sheet'!F918),'Blind Scoring Sheet'!F918,VALUE(TRIM(LEFT('Blind Scoring Sheet'!F918,FIND("|",'Blind Scoring Sheet'!F918)-1))))</f>
        <v/>
      </c>
      <c r="F918" s="81">
        <f>IF(ISNUMBER('Blind Scoring Sheet'!H918),'Blind Scoring Sheet'!H918,VALUE(TRIM(LEFT('Blind Scoring Sheet'!H918,FIND("|",'Blind Scoring Sheet'!H918)-1))))</f>
        <v/>
      </c>
      <c r="G918" s="81">
        <f>IF(ISNUMBER('Blind Scoring Sheet'!J918),'Blind Scoring Sheet'!J918,VALUE(TRIM(LEFT('Blind Scoring Sheet'!J918,FIND("|",'Blind Scoring Sheet'!J918)-1))))</f>
        <v/>
      </c>
      <c r="H918" s="80">
        <f>IF(ISNUMBER(SEARCH("|",'Blind Scoring Sheet'!K918)),TRIM(LEFT('Blind Scoring Sheet'!K918,FIND("|",'Blind Scoring Sheet'!K918)-1)),TRIM('Blind Scoring Sheet'!K918))</f>
        <v/>
      </c>
    </row>
    <row r="919" ht="15" customHeight="1" s="38">
      <c r="A919" s="80">
        <f>'Blind Scoring Sheet'!A919</f>
        <v/>
      </c>
      <c r="B919" s="80">
        <f>MID(INDEX('Anonymization Key'!$B$4:$B$1003,MATCH(A919,'Anonymization Key'!$A$4:$A$1003,0)),3,2)</f>
        <v/>
      </c>
      <c r="C919" s="81">
        <f>IF(ISNUMBER('Blind Scoring Sheet'!B919),'Blind Scoring Sheet'!B919,VALUE(TRIM(LEFT('Blind Scoring Sheet'!B919,FIND("|",'Blind Scoring Sheet'!B919)-1))))</f>
        <v/>
      </c>
      <c r="D919" s="81">
        <f>IF(ISNUMBER('Blind Scoring Sheet'!D919),'Blind Scoring Sheet'!D919,VALUE(TRIM(LEFT('Blind Scoring Sheet'!D919,FIND("|",'Blind Scoring Sheet'!D919)-1))))</f>
        <v/>
      </c>
      <c r="E919" s="81">
        <f>IF(ISNUMBER('Blind Scoring Sheet'!F919),'Blind Scoring Sheet'!F919,VALUE(TRIM(LEFT('Blind Scoring Sheet'!F919,FIND("|",'Blind Scoring Sheet'!F919)-1))))</f>
        <v/>
      </c>
      <c r="F919" s="81">
        <f>IF(ISNUMBER('Blind Scoring Sheet'!H919),'Blind Scoring Sheet'!H919,VALUE(TRIM(LEFT('Blind Scoring Sheet'!H919,FIND("|",'Blind Scoring Sheet'!H919)-1))))</f>
        <v/>
      </c>
      <c r="G919" s="81">
        <f>IF(ISNUMBER('Blind Scoring Sheet'!J919),'Blind Scoring Sheet'!J919,VALUE(TRIM(LEFT('Blind Scoring Sheet'!J919,FIND("|",'Blind Scoring Sheet'!J919)-1))))</f>
        <v/>
      </c>
      <c r="H919" s="80">
        <f>IF(ISNUMBER(SEARCH("|",'Blind Scoring Sheet'!K919)),TRIM(LEFT('Blind Scoring Sheet'!K919,FIND("|",'Blind Scoring Sheet'!K919)-1)),TRIM('Blind Scoring Sheet'!K919))</f>
        <v/>
      </c>
    </row>
    <row r="920" ht="15" customHeight="1" s="38">
      <c r="A920" s="80">
        <f>'Blind Scoring Sheet'!A920</f>
        <v/>
      </c>
      <c r="B920" s="80">
        <f>MID(INDEX('Anonymization Key'!$B$4:$B$1003,MATCH(A920,'Anonymization Key'!$A$4:$A$1003,0)),3,2)</f>
        <v/>
      </c>
      <c r="C920" s="81">
        <f>IF(ISNUMBER('Blind Scoring Sheet'!B920),'Blind Scoring Sheet'!B920,VALUE(TRIM(LEFT('Blind Scoring Sheet'!B920,FIND("|",'Blind Scoring Sheet'!B920)-1))))</f>
        <v/>
      </c>
      <c r="D920" s="81">
        <f>IF(ISNUMBER('Blind Scoring Sheet'!D920),'Blind Scoring Sheet'!D920,VALUE(TRIM(LEFT('Blind Scoring Sheet'!D920,FIND("|",'Blind Scoring Sheet'!D920)-1))))</f>
        <v/>
      </c>
      <c r="E920" s="81">
        <f>IF(ISNUMBER('Blind Scoring Sheet'!F920),'Blind Scoring Sheet'!F920,VALUE(TRIM(LEFT('Blind Scoring Sheet'!F920,FIND("|",'Blind Scoring Sheet'!F920)-1))))</f>
        <v/>
      </c>
      <c r="F920" s="81">
        <f>IF(ISNUMBER('Blind Scoring Sheet'!H920),'Blind Scoring Sheet'!H920,VALUE(TRIM(LEFT('Blind Scoring Sheet'!H920,FIND("|",'Blind Scoring Sheet'!H920)-1))))</f>
        <v/>
      </c>
      <c r="G920" s="81">
        <f>IF(ISNUMBER('Blind Scoring Sheet'!J920),'Blind Scoring Sheet'!J920,VALUE(TRIM(LEFT('Blind Scoring Sheet'!J920,FIND("|",'Blind Scoring Sheet'!J920)-1))))</f>
        <v/>
      </c>
      <c r="H920" s="80">
        <f>IF(ISNUMBER(SEARCH("|",'Blind Scoring Sheet'!K920)),TRIM(LEFT('Blind Scoring Sheet'!K920,FIND("|",'Blind Scoring Sheet'!K920)-1)),TRIM('Blind Scoring Sheet'!K920))</f>
        <v/>
      </c>
    </row>
    <row r="921" ht="15" customHeight="1" s="38">
      <c r="A921" s="80">
        <f>'Blind Scoring Sheet'!A921</f>
        <v/>
      </c>
      <c r="B921" s="80">
        <f>MID(INDEX('Anonymization Key'!$B$4:$B$1003,MATCH(A921,'Anonymization Key'!$A$4:$A$1003,0)),3,2)</f>
        <v/>
      </c>
      <c r="C921" s="81">
        <f>IF(ISNUMBER('Blind Scoring Sheet'!B921),'Blind Scoring Sheet'!B921,VALUE(TRIM(LEFT('Blind Scoring Sheet'!B921,FIND("|",'Blind Scoring Sheet'!B921)-1))))</f>
        <v/>
      </c>
      <c r="D921" s="81">
        <f>IF(ISNUMBER('Blind Scoring Sheet'!D921),'Blind Scoring Sheet'!D921,VALUE(TRIM(LEFT('Blind Scoring Sheet'!D921,FIND("|",'Blind Scoring Sheet'!D921)-1))))</f>
        <v/>
      </c>
      <c r="E921" s="81">
        <f>IF(ISNUMBER('Blind Scoring Sheet'!F921),'Blind Scoring Sheet'!F921,VALUE(TRIM(LEFT('Blind Scoring Sheet'!F921,FIND("|",'Blind Scoring Sheet'!F921)-1))))</f>
        <v/>
      </c>
      <c r="F921" s="81">
        <f>IF(ISNUMBER('Blind Scoring Sheet'!H921),'Blind Scoring Sheet'!H921,VALUE(TRIM(LEFT('Blind Scoring Sheet'!H921,FIND("|",'Blind Scoring Sheet'!H921)-1))))</f>
        <v/>
      </c>
      <c r="G921" s="81">
        <f>IF(ISNUMBER('Blind Scoring Sheet'!J921),'Blind Scoring Sheet'!J921,VALUE(TRIM(LEFT('Blind Scoring Sheet'!J921,FIND("|",'Blind Scoring Sheet'!J921)-1))))</f>
        <v/>
      </c>
      <c r="H921" s="80">
        <f>IF(ISNUMBER(SEARCH("|",'Blind Scoring Sheet'!K921)),TRIM(LEFT('Blind Scoring Sheet'!K921,FIND("|",'Blind Scoring Sheet'!K921)-1)),TRIM('Blind Scoring Sheet'!K921))</f>
        <v/>
      </c>
    </row>
    <row r="922" ht="15" customHeight="1" s="38">
      <c r="A922" s="80">
        <f>'Blind Scoring Sheet'!A922</f>
        <v/>
      </c>
      <c r="B922" s="80">
        <f>MID(INDEX('Anonymization Key'!$B$4:$B$1003,MATCH(A922,'Anonymization Key'!$A$4:$A$1003,0)),3,2)</f>
        <v/>
      </c>
      <c r="C922" s="81">
        <f>IF(ISNUMBER('Blind Scoring Sheet'!B922),'Blind Scoring Sheet'!B922,VALUE(TRIM(LEFT('Blind Scoring Sheet'!B922,FIND("|",'Blind Scoring Sheet'!B922)-1))))</f>
        <v/>
      </c>
      <c r="D922" s="81">
        <f>IF(ISNUMBER('Blind Scoring Sheet'!D922),'Blind Scoring Sheet'!D922,VALUE(TRIM(LEFT('Blind Scoring Sheet'!D922,FIND("|",'Blind Scoring Sheet'!D922)-1))))</f>
        <v/>
      </c>
      <c r="E922" s="81">
        <f>IF(ISNUMBER('Blind Scoring Sheet'!F922),'Blind Scoring Sheet'!F922,VALUE(TRIM(LEFT('Blind Scoring Sheet'!F922,FIND("|",'Blind Scoring Sheet'!F922)-1))))</f>
        <v/>
      </c>
      <c r="F922" s="81">
        <f>IF(ISNUMBER('Blind Scoring Sheet'!H922),'Blind Scoring Sheet'!H922,VALUE(TRIM(LEFT('Blind Scoring Sheet'!H922,FIND("|",'Blind Scoring Sheet'!H922)-1))))</f>
        <v/>
      </c>
      <c r="G922" s="81">
        <f>IF(ISNUMBER('Blind Scoring Sheet'!J922),'Blind Scoring Sheet'!J922,VALUE(TRIM(LEFT('Blind Scoring Sheet'!J922,FIND("|",'Blind Scoring Sheet'!J922)-1))))</f>
        <v/>
      </c>
      <c r="H922" s="80">
        <f>IF(ISNUMBER(SEARCH("|",'Blind Scoring Sheet'!K922)),TRIM(LEFT('Blind Scoring Sheet'!K922,FIND("|",'Blind Scoring Sheet'!K922)-1)),TRIM('Blind Scoring Sheet'!K922))</f>
        <v/>
      </c>
    </row>
    <row r="923" ht="15" customHeight="1" s="38">
      <c r="A923" s="80">
        <f>'Blind Scoring Sheet'!A923</f>
        <v/>
      </c>
      <c r="B923" s="80">
        <f>MID(INDEX('Anonymization Key'!$B$4:$B$1003,MATCH(A923,'Anonymization Key'!$A$4:$A$1003,0)),3,2)</f>
        <v/>
      </c>
      <c r="C923" s="81">
        <f>IF(ISNUMBER('Blind Scoring Sheet'!B923),'Blind Scoring Sheet'!B923,VALUE(TRIM(LEFT('Blind Scoring Sheet'!B923,FIND("|",'Blind Scoring Sheet'!B923)-1))))</f>
        <v/>
      </c>
      <c r="D923" s="81">
        <f>IF(ISNUMBER('Blind Scoring Sheet'!D923),'Blind Scoring Sheet'!D923,VALUE(TRIM(LEFT('Blind Scoring Sheet'!D923,FIND("|",'Blind Scoring Sheet'!D923)-1))))</f>
        <v/>
      </c>
      <c r="E923" s="81">
        <f>IF(ISNUMBER('Blind Scoring Sheet'!F923),'Blind Scoring Sheet'!F923,VALUE(TRIM(LEFT('Blind Scoring Sheet'!F923,FIND("|",'Blind Scoring Sheet'!F923)-1))))</f>
        <v/>
      </c>
      <c r="F923" s="81">
        <f>IF(ISNUMBER('Blind Scoring Sheet'!H923),'Blind Scoring Sheet'!H923,VALUE(TRIM(LEFT('Blind Scoring Sheet'!H923,FIND("|",'Blind Scoring Sheet'!H923)-1))))</f>
        <v/>
      </c>
      <c r="G923" s="81">
        <f>IF(ISNUMBER('Blind Scoring Sheet'!J923),'Blind Scoring Sheet'!J923,VALUE(TRIM(LEFT('Blind Scoring Sheet'!J923,FIND("|",'Blind Scoring Sheet'!J923)-1))))</f>
        <v/>
      </c>
      <c r="H923" s="80">
        <f>IF(ISNUMBER(SEARCH("|",'Blind Scoring Sheet'!K923)),TRIM(LEFT('Blind Scoring Sheet'!K923,FIND("|",'Blind Scoring Sheet'!K923)-1)),TRIM('Blind Scoring Sheet'!K923))</f>
        <v/>
      </c>
    </row>
    <row r="924" ht="15" customHeight="1" s="38">
      <c r="A924" s="80">
        <f>'Blind Scoring Sheet'!A924</f>
        <v/>
      </c>
      <c r="B924" s="80">
        <f>MID(INDEX('Anonymization Key'!$B$4:$B$1003,MATCH(A924,'Anonymization Key'!$A$4:$A$1003,0)),3,2)</f>
        <v/>
      </c>
      <c r="C924" s="81">
        <f>IF(ISNUMBER('Blind Scoring Sheet'!B924),'Blind Scoring Sheet'!B924,VALUE(TRIM(LEFT('Blind Scoring Sheet'!B924,FIND("|",'Blind Scoring Sheet'!B924)-1))))</f>
        <v/>
      </c>
      <c r="D924" s="81">
        <f>IF(ISNUMBER('Blind Scoring Sheet'!D924),'Blind Scoring Sheet'!D924,VALUE(TRIM(LEFT('Blind Scoring Sheet'!D924,FIND("|",'Blind Scoring Sheet'!D924)-1))))</f>
        <v/>
      </c>
      <c r="E924" s="81">
        <f>IF(ISNUMBER('Blind Scoring Sheet'!F924),'Blind Scoring Sheet'!F924,VALUE(TRIM(LEFT('Blind Scoring Sheet'!F924,FIND("|",'Blind Scoring Sheet'!F924)-1))))</f>
        <v/>
      </c>
      <c r="F924" s="81">
        <f>IF(ISNUMBER('Blind Scoring Sheet'!H924),'Blind Scoring Sheet'!H924,VALUE(TRIM(LEFT('Blind Scoring Sheet'!H924,FIND("|",'Blind Scoring Sheet'!H924)-1))))</f>
        <v/>
      </c>
      <c r="G924" s="81">
        <f>IF(ISNUMBER('Blind Scoring Sheet'!J924),'Blind Scoring Sheet'!J924,VALUE(TRIM(LEFT('Blind Scoring Sheet'!J924,FIND("|",'Blind Scoring Sheet'!J924)-1))))</f>
        <v/>
      </c>
      <c r="H924" s="80">
        <f>IF(ISNUMBER(SEARCH("|",'Blind Scoring Sheet'!K924)),TRIM(LEFT('Blind Scoring Sheet'!K924,FIND("|",'Blind Scoring Sheet'!K924)-1)),TRIM('Blind Scoring Sheet'!K924))</f>
        <v/>
      </c>
    </row>
    <row r="925" ht="15" customHeight="1" s="38">
      <c r="A925" s="80">
        <f>'Blind Scoring Sheet'!A925</f>
        <v/>
      </c>
      <c r="B925" s="80">
        <f>MID(INDEX('Anonymization Key'!$B$4:$B$1003,MATCH(A925,'Anonymization Key'!$A$4:$A$1003,0)),3,2)</f>
        <v/>
      </c>
      <c r="C925" s="81">
        <f>IF(ISNUMBER('Blind Scoring Sheet'!B925),'Blind Scoring Sheet'!B925,VALUE(TRIM(LEFT('Blind Scoring Sheet'!B925,FIND("|",'Blind Scoring Sheet'!B925)-1))))</f>
        <v/>
      </c>
      <c r="D925" s="81">
        <f>IF(ISNUMBER('Blind Scoring Sheet'!D925),'Blind Scoring Sheet'!D925,VALUE(TRIM(LEFT('Blind Scoring Sheet'!D925,FIND("|",'Blind Scoring Sheet'!D925)-1))))</f>
        <v/>
      </c>
      <c r="E925" s="81">
        <f>IF(ISNUMBER('Blind Scoring Sheet'!F925),'Blind Scoring Sheet'!F925,VALUE(TRIM(LEFT('Blind Scoring Sheet'!F925,FIND("|",'Blind Scoring Sheet'!F925)-1))))</f>
        <v/>
      </c>
      <c r="F925" s="81">
        <f>IF(ISNUMBER('Blind Scoring Sheet'!H925),'Blind Scoring Sheet'!H925,VALUE(TRIM(LEFT('Blind Scoring Sheet'!H925,FIND("|",'Blind Scoring Sheet'!H925)-1))))</f>
        <v/>
      </c>
      <c r="G925" s="81">
        <f>IF(ISNUMBER('Blind Scoring Sheet'!J925),'Blind Scoring Sheet'!J925,VALUE(TRIM(LEFT('Blind Scoring Sheet'!J925,FIND("|",'Blind Scoring Sheet'!J925)-1))))</f>
        <v/>
      </c>
      <c r="H925" s="80">
        <f>IF(ISNUMBER(SEARCH("|",'Blind Scoring Sheet'!K925)),TRIM(LEFT('Blind Scoring Sheet'!K925,FIND("|",'Blind Scoring Sheet'!K925)-1)),TRIM('Blind Scoring Sheet'!K925))</f>
        <v/>
      </c>
    </row>
    <row r="926" ht="15" customHeight="1" s="38">
      <c r="A926" s="80">
        <f>'Blind Scoring Sheet'!A926</f>
        <v/>
      </c>
      <c r="B926" s="80">
        <f>MID(INDEX('Anonymization Key'!$B$4:$B$1003,MATCH(A926,'Anonymization Key'!$A$4:$A$1003,0)),3,2)</f>
        <v/>
      </c>
      <c r="C926" s="81">
        <f>IF(ISNUMBER('Blind Scoring Sheet'!B926),'Blind Scoring Sheet'!B926,VALUE(TRIM(LEFT('Blind Scoring Sheet'!B926,FIND("|",'Blind Scoring Sheet'!B926)-1))))</f>
        <v/>
      </c>
      <c r="D926" s="81">
        <f>IF(ISNUMBER('Blind Scoring Sheet'!D926),'Blind Scoring Sheet'!D926,VALUE(TRIM(LEFT('Blind Scoring Sheet'!D926,FIND("|",'Blind Scoring Sheet'!D926)-1))))</f>
        <v/>
      </c>
      <c r="E926" s="81">
        <f>IF(ISNUMBER('Blind Scoring Sheet'!F926),'Blind Scoring Sheet'!F926,VALUE(TRIM(LEFT('Blind Scoring Sheet'!F926,FIND("|",'Blind Scoring Sheet'!F926)-1))))</f>
        <v/>
      </c>
      <c r="F926" s="81">
        <f>IF(ISNUMBER('Blind Scoring Sheet'!H926),'Blind Scoring Sheet'!H926,VALUE(TRIM(LEFT('Blind Scoring Sheet'!H926,FIND("|",'Blind Scoring Sheet'!H926)-1))))</f>
        <v/>
      </c>
      <c r="G926" s="81">
        <f>IF(ISNUMBER('Blind Scoring Sheet'!J926),'Blind Scoring Sheet'!J926,VALUE(TRIM(LEFT('Blind Scoring Sheet'!J926,FIND("|",'Blind Scoring Sheet'!J926)-1))))</f>
        <v/>
      </c>
      <c r="H926" s="80">
        <f>IF(ISNUMBER(SEARCH("|",'Blind Scoring Sheet'!K926)),TRIM(LEFT('Blind Scoring Sheet'!K926,FIND("|",'Blind Scoring Sheet'!K926)-1)),TRIM('Blind Scoring Sheet'!K926))</f>
        <v/>
      </c>
    </row>
    <row r="927" ht="15" customHeight="1" s="38">
      <c r="A927" s="80">
        <f>'Blind Scoring Sheet'!A927</f>
        <v/>
      </c>
      <c r="B927" s="80">
        <f>MID(INDEX('Anonymization Key'!$B$4:$B$1003,MATCH(A927,'Anonymization Key'!$A$4:$A$1003,0)),3,2)</f>
        <v/>
      </c>
      <c r="C927" s="81">
        <f>IF(ISNUMBER('Blind Scoring Sheet'!B927),'Blind Scoring Sheet'!B927,VALUE(TRIM(LEFT('Blind Scoring Sheet'!B927,FIND("|",'Blind Scoring Sheet'!B927)-1))))</f>
        <v/>
      </c>
      <c r="D927" s="81">
        <f>IF(ISNUMBER('Blind Scoring Sheet'!D927),'Blind Scoring Sheet'!D927,VALUE(TRIM(LEFT('Blind Scoring Sheet'!D927,FIND("|",'Blind Scoring Sheet'!D927)-1))))</f>
        <v/>
      </c>
      <c r="E927" s="81">
        <f>IF(ISNUMBER('Blind Scoring Sheet'!F927),'Blind Scoring Sheet'!F927,VALUE(TRIM(LEFT('Blind Scoring Sheet'!F927,FIND("|",'Blind Scoring Sheet'!F927)-1))))</f>
        <v/>
      </c>
      <c r="F927" s="81">
        <f>IF(ISNUMBER('Blind Scoring Sheet'!H927),'Blind Scoring Sheet'!H927,VALUE(TRIM(LEFT('Blind Scoring Sheet'!H927,FIND("|",'Blind Scoring Sheet'!H927)-1))))</f>
        <v/>
      </c>
      <c r="G927" s="81">
        <f>IF(ISNUMBER('Blind Scoring Sheet'!J927),'Blind Scoring Sheet'!J927,VALUE(TRIM(LEFT('Blind Scoring Sheet'!J927,FIND("|",'Blind Scoring Sheet'!J927)-1))))</f>
        <v/>
      </c>
      <c r="H927" s="80">
        <f>IF(ISNUMBER(SEARCH("|",'Blind Scoring Sheet'!K927)),TRIM(LEFT('Blind Scoring Sheet'!K927,FIND("|",'Blind Scoring Sheet'!K927)-1)),TRIM('Blind Scoring Sheet'!K927))</f>
        <v/>
      </c>
    </row>
    <row r="928" ht="15" customHeight="1" s="38">
      <c r="A928" s="80">
        <f>'Blind Scoring Sheet'!A928</f>
        <v/>
      </c>
      <c r="B928" s="80">
        <f>MID(INDEX('Anonymization Key'!$B$4:$B$1003,MATCH(A928,'Anonymization Key'!$A$4:$A$1003,0)),3,2)</f>
        <v/>
      </c>
      <c r="C928" s="81">
        <f>IF(ISNUMBER('Blind Scoring Sheet'!B928),'Blind Scoring Sheet'!B928,VALUE(TRIM(LEFT('Blind Scoring Sheet'!B928,FIND("|",'Blind Scoring Sheet'!B928)-1))))</f>
        <v/>
      </c>
      <c r="D928" s="81">
        <f>IF(ISNUMBER('Blind Scoring Sheet'!D928),'Blind Scoring Sheet'!D928,VALUE(TRIM(LEFT('Blind Scoring Sheet'!D928,FIND("|",'Blind Scoring Sheet'!D928)-1))))</f>
        <v/>
      </c>
      <c r="E928" s="81">
        <f>IF(ISNUMBER('Blind Scoring Sheet'!F928),'Blind Scoring Sheet'!F928,VALUE(TRIM(LEFT('Blind Scoring Sheet'!F928,FIND("|",'Blind Scoring Sheet'!F928)-1))))</f>
        <v/>
      </c>
      <c r="F928" s="81">
        <f>IF(ISNUMBER('Blind Scoring Sheet'!H928),'Blind Scoring Sheet'!H928,VALUE(TRIM(LEFT('Blind Scoring Sheet'!H928,FIND("|",'Blind Scoring Sheet'!H928)-1))))</f>
        <v/>
      </c>
      <c r="G928" s="81">
        <f>IF(ISNUMBER('Blind Scoring Sheet'!J928),'Blind Scoring Sheet'!J928,VALUE(TRIM(LEFT('Blind Scoring Sheet'!J928,FIND("|",'Blind Scoring Sheet'!J928)-1))))</f>
        <v/>
      </c>
      <c r="H928" s="80">
        <f>IF(ISNUMBER(SEARCH("|",'Blind Scoring Sheet'!K928)),TRIM(LEFT('Blind Scoring Sheet'!K928,FIND("|",'Blind Scoring Sheet'!K928)-1)),TRIM('Blind Scoring Sheet'!K928))</f>
        <v/>
      </c>
    </row>
    <row r="929" ht="15" customHeight="1" s="38">
      <c r="A929" s="80">
        <f>'Blind Scoring Sheet'!A929</f>
        <v/>
      </c>
      <c r="B929" s="80">
        <f>MID(INDEX('Anonymization Key'!$B$4:$B$1003,MATCH(A929,'Anonymization Key'!$A$4:$A$1003,0)),3,2)</f>
        <v/>
      </c>
      <c r="C929" s="81">
        <f>IF(ISNUMBER('Blind Scoring Sheet'!B929),'Blind Scoring Sheet'!B929,VALUE(TRIM(LEFT('Blind Scoring Sheet'!B929,FIND("|",'Blind Scoring Sheet'!B929)-1))))</f>
        <v/>
      </c>
      <c r="D929" s="81">
        <f>IF(ISNUMBER('Blind Scoring Sheet'!D929),'Blind Scoring Sheet'!D929,VALUE(TRIM(LEFT('Blind Scoring Sheet'!D929,FIND("|",'Blind Scoring Sheet'!D929)-1))))</f>
        <v/>
      </c>
      <c r="E929" s="81">
        <f>IF(ISNUMBER('Blind Scoring Sheet'!F929),'Blind Scoring Sheet'!F929,VALUE(TRIM(LEFT('Blind Scoring Sheet'!F929,FIND("|",'Blind Scoring Sheet'!F929)-1))))</f>
        <v/>
      </c>
      <c r="F929" s="81">
        <f>IF(ISNUMBER('Blind Scoring Sheet'!H929),'Blind Scoring Sheet'!H929,VALUE(TRIM(LEFT('Blind Scoring Sheet'!H929,FIND("|",'Blind Scoring Sheet'!H929)-1))))</f>
        <v/>
      </c>
      <c r="G929" s="81">
        <f>IF(ISNUMBER('Blind Scoring Sheet'!J929),'Blind Scoring Sheet'!J929,VALUE(TRIM(LEFT('Blind Scoring Sheet'!J929,FIND("|",'Blind Scoring Sheet'!J929)-1))))</f>
        <v/>
      </c>
      <c r="H929" s="80">
        <f>IF(ISNUMBER(SEARCH("|",'Blind Scoring Sheet'!K929)),TRIM(LEFT('Blind Scoring Sheet'!K929,FIND("|",'Blind Scoring Sheet'!K929)-1)),TRIM('Blind Scoring Sheet'!K929))</f>
        <v/>
      </c>
    </row>
    <row r="930" ht="15" customHeight="1" s="38">
      <c r="A930" s="80">
        <f>'Blind Scoring Sheet'!A930</f>
        <v/>
      </c>
      <c r="B930" s="80">
        <f>MID(INDEX('Anonymization Key'!$B$4:$B$1003,MATCH(A930,'Anonymization Key'!$A$4:$A$1003,0)),3,2)</f>
        <v/>
      </c>
      <c r="C930" s="81">
        <f>IF(ISNUMBER('Blind Scoring Sheet'!B930),'Blind Scoring Sheet'!B930,VALUE(TRIM(LEFT('Blind Scoring Sheet'!B930,FIND("|",'Blind Scoring Sheet'!B930)-1))))</f>
        <v/>
      </c>
      <c r="D930" s="81">
        <f>IF(ISNUMBER('Blind Scoring Sheet'!D930),'Blind Scoring Sheet'!D930,VALUE(TRIM(LEFT('Blind Scoring Sheet'!D930,FIND("|",'Blind Scoring Sheet'!D930)-1))))</f>
        <v/>
      </c>
      <c r="E930" s="81">
        <f>IF(ISNUMBER('Blind Scoring Sheet'!F930),'Blind Scoring Sheet'!F930,VALUE(TRIM(LEFT('Blind Scoring Sheet'!F930,FIND("|",'Blind Scoring Sheet'!F930)-1))))</f>
        <v/>
      </c>
      <c r="F930" s="81">
        <f>IF(ISNUMBER('Blind Scoring Sheet'!H930),'Blind Scoring Sheet'!H930,VALUE(TRIM(LEFT('Blind Scoring Sheet'!H930,FIND("|",'Blind Scoring Sheet'!H930)-1))))</f>
        <v/>
      </c>
      <c r="G930" s="81">
        <f>IF(ISNUMBER('Blind Scoring Sheet'!J930),'Blind Scoring Sheet'!J930,VALUE(TRIM(LEFT('Blind Scoring Sheet'!J930,FIND("|",'Blind Scoring Sheet'!J930)-1))))</f>
        <v/>
      </c>
      <c r="H930" s="80">
        <f>IF(ISNUMBER(SEARCH("|",'Blind Scoring Sheet'!K930)),TRIM(LEFT('Blind Scoring Sheet'!K930,FIND("|",'Blind Scoring Sheet'!K930)-1)),TRIM('Blind Scoring Sheet'!K930))</f>
        <v/>
      </c>
    </row>
    <row r="931" ht="15" customHeight="1" s="38">
      <c r="A931" s="80">
        <f>'Blind Scoring Sheet'!A931</f>
        <v/>
      </c>
      <c r="B931" s="80">
        <f>MID(INDEX('Anonymization Key'!$B$4:$B$1003,MATCH(A931,'Anonymization Key'!$A$4:$A$1003,0)),3,2)</f>
        <v/>
      </c>
      <c r="C931" s="81">
        <f>IF(ISNUMBER('Blind Scoring Sheet'!B931),'Blind Scoring Sheet'!B931,VALUE(TRIM(LEFT('Blind Scoring Sheet'!B931,FIND("|",'Blind Scoring Sheet'!B931)-1))))</f>
        <v/>
      </c>
      <c r="D931" s="81">
        <f>IF(ISNUMBER('Blind Scoring Sheet'!D931),'Blind Scoring Sheet'!D931,VALUE(TRIM(LEFT('Blind Scoring Sheet'!D931,FIND("|",'Blind Scoring Sheet'!D931)-1))))</f>
        <v/>
      </c>
      <c r="E931" s="81">
        <f>IF(ISNUMBER('Blind Scoring Sheet'!F931),'Blind Scoring Sheet'!F931,VALUE(TRIM(LEFT('Blind Scoring Sheet'!F931,FIND("|",'Blind Scoring Sheet'!F931)-1))))</f>
        <v/>
      </c>
      <c r="F931" s="81">
        <f>IF(ISNUMBER('Blind Scoring Sheet'!H931),'Blind Scoring Sheet'!H931,VALUE(TRIM(LEFT('Blind Scoring Sheet'!H931,FIND("|",'Blind Scoring Sheet'!H931)-1))))</f>
        <v/>
      </c>
      <c r="G931" s="81">
        <f>IF(ISNUMBER('Blind Scoring Sheet'!J931),'Blind Scoring Sheet'!J931,VALUE(TRIM(LEFT('Blind Scoring Sheet'!J931,FIND("|",'Blind Scoring Sheet'!J931)-1))))</f>
        <v/>
      </c>
      <c r="H931" s="80">
        <f>IF(ISNUMBER(SEARCH("|",'Blind Scoring Sheet'!K931)),TRIM(LEFT('Blind Scoring Sheet'!K931,FIND("|",'Blind Scoring Sheet'!K931)-1)),TRIM('Blind Scoring Sheet'!K931))</f>
        <v/>
      </c>
    </row>
    <row r="932" ht="15" customHeight="1" s="38">
      <c r="A932" s="80">
        <f>'Blind Scoring Sheet'!A932</f>
        <v/>
      </c>
      <c r="B932" s="80">
        <f>MID(INDEX('Anonymization Key'!$B$4:$B$1003,MATCH(A932,'Anonymization Key'!$A$4:$A$1003,0)),3,2)</f>
        <v/>
      </c>
      <c r="C932" s="81">
        <f>IF(ISNUMBER('Blind Scoring Sheet'!B932),'Blind Scoring Sheet'!B932,VALUE(TRIM(LEFT('Blind Scoring Sheet'!B932,FIND("|",'Blind Scoring Sheet'!B932)-1))))</f>
        <v/>
      </c>
      <c r="D932" s="81">
        <f>IF(ISNUMBER('Blind Scoring Sheet'!D932),'Blind Scoring Sheet'!D932,VALUE(TRIM(LEFT('Blind Scoring Sheet'!D932,FIND("|",'Blind Scoring Sheet'!D932)-1))))</f>
        <v/>
      </c>
      <c r="E932" s="81">
        <f>IF(ISNUMBER('Blind Scoring Sheet'!F932),'Blind Scoring Sheet'!F932,VALUE(TRIM(LEFT('Blind Scoring Sheet'!F932,FIND("|",'Blind Scoring Sheet'!F932)-1))))</f>
        <v/>
      </c>
      <c r="F932" s="81">
        <f>IF(ISNUMBER('Blind Scoring Sheet'!H932),'Blind Scoring Sheet'!H932,VALUE(TRIM(LEFT('Blind Scoring Sheet'!H932,FIND("|",'Blind Scoring Sheet'!H932)-1))))</f>
        <v/>
      </c>
      <c r="G932" s="81">
        <f>IF(ISNUMBER('Blind Scoring Sheet'!J932),'Blind Scoring Sheet'!J932,VALUE(TRIM(LEFT('Blind Scoring Sheet'!J932,FIND("|",'Blind Scoring Sheet'!J932)-1))))</f>
        <v/>
      </c>
      <c r="H932" s="80">
        <f>IF(ISNUMBER(SEARCH("|",'Blind Scoring Sheet'!K932)),TRIM(LEFT('Blind Scoring Sheet'!K932,FIND("|",'Blind Scoring Sheet'!K932)-1)),TRIM('Blind Scoring Sheet'!K932))</f>
        <v/>
      </c>
    </row>
    <row r="933" ht="15" customHeight="1" s="38">
      <c r="A933" s="80">
        <f>'Blind Scoring Sheet'!A933</f>
        <v/>
      </c>
      <c r="B933" s="80">
        <f>MID(INDEX('Anonymization Key'!$B$4:$B$1003,MATCH(A933,'Anonymization Key'!$A$4:$A$1003,0)),3,2)</f>
        <v/>
      </c>
      <c r="C933" s="81">
        <f>IF(ISNUMBER('Blind Scoring Sheet'!B933),'Blind Scoring Sheet'!B933,VALUE(TRIM(LEFT('Blind Scoring Sheet'!B933,FIND("|",'Blind Scoring Sheet'!B933)-1))))</f>
        <v/>
      </c>
      <c r="D933" s="81">
        <f>IF(ISNUMBER('Blind Scoring Sheet'!D933),'Blind Scoring Sheet'!D933,VALUE(TRIM(LEFT('Blind Scoring Sheet'!D933,FIND("|",'Blind Scoring Sheet'!D933)-1))))</f>
        <v/>
      </c>
      <c r="E933" s="81">
        <f>IF(ISNUMBER('Blind Scoring Sheet'!F933),'Blind Scoring Sheet'!F933,VALUE(TRIM(LEFT('Blind Scoring Sheet'!F933,FIND("|",'Blind Scoring Sheet'!F933)-1))))</f>
        <v/>
      </c>
      <c r="F933" s="81">
        <f>IF(ISNUMBER('Blind Scoring Sheet'!H933),'Blind Scoring Sheet'!H933,VALUE(TRIM(LEFT('Blind Scoring Sheet'!H933,FIND("|",'Blind Scoring Sheet'!H933)-1))))</f>
        <v/>
      </c>
      <c r="G933" s="81">
        <f>IF(ISNUMBER('Blind Scoring Sheet'!J933),'Blind Scoring Sheet'!J933,VALUE(TRIM(LEFT('Blind Scoring Sheet'!J933,FIND("|",'Blind Scoring Sheet'!J933)-1))))</f>
        <v/>
      </c>
      <c r="H933" s="80">
        <f>IF(ISNUMBER(SEARCH("|",'Blind Scoring Sheet'!K933)),TRIM(LEFT('Blind Scoring Sheet'!K933,FIND("|",'Blind Scoring Sheet'!K933)-1)),TRIM('Blind Scoring Sheet'!K933))</f>
        <v/>
      </c>
    </row>
    <row r="934" ht="15" customHeight="1" s="38">
      <c r="A934" s="80">
        <f>'Blind Scoring Sheet'!A934</f>
        <v/>
      </c>
      <c r="B934" s="80">
        <f>MID(INDEX('Anonymization Key'!$B$4:$B$1003,MATCH(A934,'Anonymization Key'!$A$4:$A$1003,0)),3,2)</f>
        <v/>
      </c>
      <c r="C934" s="81">
        <f>IF(ISNUMBER('Blind Scoring Sheet'!B934),'Blind Scoring Sheet'!B934,VALUE(TRIM(LEFT('Blind Scoring Sheet'!B934,FIND("|",'Blind Scoring Sheet'!B934)-1))))</f>
        <v/>
      </c>
      <c r="D934" s="81">
        <f>IF(ISNUMBER('Blind Scoring Sheet'!D934),'Blind Scoring Sheet'!D934,VALUE(TRIM(LEFT('Blind Scoring Sheet'!D934,FIND("|",'Blind Scoring Sheet'!D934)-1))))</f>
        <v/>
      </c>
      <c r="E934" s="81">
        <f>IF(ISNUMBER('Blind Scoring Sheet'!F934),'Blind Scoring Sheet'!F934,VALUE(TRIM(LEFT('Blind Scoring Sheet'!F934,FIND("|",'Blind Scoring Sheet'!F934)-1))))</f>
        <v/>
      </c>
      <c r="F934" s="81">
        <f>IF(ISNUMBER('Blind Scoring Sheet'!H934),'Blind Scoring Sheet'!H934,VALUE(TRIM(LEFT('Blind Scoring Sheet'!H934,FIND("|",'Blind Scoring Sheet'!H934)-1))))</f>
        <v/>
      </c>
      <c r="G934" s="81">
        <f>IF(ISNUMBER('Blind Scoring Sheet'!J934),'Blind Scoring Sheet'!J934,VALUE(TRIM(LEFT('Blind Scoring Sheet'!J934,FIND("|",'Blind Scoring Sheet'!J934)-1))))</f>
        <v/>
      </c>
      <c r="H934" s="80">
        <f>IF(ISNUMBER(SEARCH("|",'Blind Scoring Sheet'!K934)),TRIM(LEFT('Blind Scoring Sheet'!K934,FIND("|",'Blind Scoring Sheet'!K934)-1)),TRIM('Blind Scoring Sheet'!K934))</f>
        <v/>
      </c>
    </row>
    <row r="935" ht="15" customHeight="1" s="38">
      <c r="A935" s="80">
        <f>'Blind Scoring Sheet'!A935</f>
        <v/>
      </c>
      <c r="B935" s="80">
        <f>MID(INDEX('Anonymization Key'!$B$4:$B$1003,MATCH(A935,'Anonymization Key'!$A$4:$A$1003,0)),3,2)</f>
        <v/>
      </c>
      <c r="C935" s="81">
        <f>IF(ISNUMBER('Blind Scoring Sheet'!B935),'Blind Scoring Sheet'!B935,VALUE(TRIM(LEFT('Blind Scoring Sheet'!B935,FIND("|",'Blind Scoring Sheet'!B935)-1))))</f>
        <v/>
      </c>
      <c r="D935" s="81">
        <f>IF(ISNUMBER('Blind Scoring Sheet'!D935),'Blind Scoring Sheet'!D935,VALUE(TRIM(LEFT('Blind Scoring Sheet'!D935,FIND("|",'Blind Scoring Sheet'!D935)-1))))</f>
        <v/>
      </c>
      <c r="E935" s="81">
        <f>IF(ISNUMBER('Blind Scoring Sheet'!F935),'Blind Scoring Sheet'!F935,VALUE(TRIM(LEFT('Blind Scoring Sheet'!F935,FIND("|",'Blind Scoring Sheet'!F935)-1))))</f>
        <v/>
      </c>
      <c r="F935" s="81">
        <f>IF(ISNUMBER('Blind Scoring Sheet'!H935),'Blind Scoring Sheet'!H935,VALUE(TRIM(LEFT('Blind Scoring Sheet'!H935,FIND("|",'Blind Scoring Sheet'!H935)-1))))</f>
        <v/>
      </c>
      <c r="G935" s="81">
        <f>IF(ISNUMBER('Blind Scoring Sheet'!J935),'Blind Scoring Sheet'!J935,VALUE(TRIM(LEFT('Blind Scoring Sheet'!J935,FIND("|",'Blind Scoring Sheet'!J935)-1))))</f>
        <v/>
      </c>
      <c r="H935" s="80">
        <f>IF(ISNUMBER(SEARCH("|",'Blind Scoring Sheet'!K935)),TRIM(LEFT('Blind Scoring Sheet'!K935,FIND("|",'Blind Scoring Sheet'!K935)-1)),TRIM('Blind Scoring Sheet'!K935))</f>
        <v/>
      </c>
    </row>
    <row r="936" ht="15" customHeight="1" s="38">
      <c r="A936" s="80">
        <f>'Blind Scoring Sheet'!A936</f>
        <v/>
      </c>
      <c r="B936" s="80">
        <f>MID(INDEX('Anonymization Key'!$B$4:$B$1003,MATCH(A936,'Anonymization Key'!$A$4:$A$1003,0)),3,2)</f>
        <v/>
      </c>
      <c r="C936" s="81">
        <f>IF(ISNUMBER('Blind Scoring Sheet'!B936),'Blind Scoring Sheet'!B936,VALUE(TRIM(LEFT('Blind Scoring Sheet'!B936,FIND("|",'Blind Scoring Sheet'!B936)-1))))</f>
        <v/>
      </c>
      <c r="D936" s="81">
        <f>IF(ISNUMBER('Blind Scoring Sheet'!D936),'Blind Scoring Sheet'!D936,VALUE(TRIM(LEFT('Blind Scoring Sheet'!D936,FIND("|",'Blind Scoring Sheet'!D936)-1))))</f>
        <v/>
      </c>
      <c r="E936" s="81">
        <f>IF(ISNUMBER('Blind Scoring Sheet'!F936),'Blind Scoring Sheet'!F936,VALUE(TRIM(LEFT('Blind Scoring Sheet'!F936,FIND("|",'Blind Scoring Sheet'!F936)-1))))</f>
        <v/>
      </c>
      <c r="F936" s="81">
        <f>IF(ISNUMBER('Blind Scoring Sheet'!H936),'Blind Scoring Sheet'!H936,VALUE(TRIM(LEFT('Blind Scoring Sheet'!H936,FIND("|",'Blind Scoring Sheet'!H936)-1))))</f>
        <v/>
      </c>
      <c r="G936" s="81">
        <f>IF(ISNUMBER('Blind Scoring Sheet'!J936),'Blind Scoring Sheet'!J936,VALUE(TRIM(LEFT('Blind Scoring Sheet'!J936,FIND("|",'Blind Scoring Sheet'!J936)-1))))</f>
        <v/>
      </c>
      <c r="H936" s="80">
        <f>IF(ISNUMBER(SEARCH("|",'Blind Scoring Sheet'!K936)),TRIM(LEFT('Blind Scoring Sheet'!K936,FIND("|",'Blind Scoring Sheet'!K936)-1)),TRIM('Blind Scoring Sheet'!K936))</f>
        <v/>
      </c>
    </row>
    <row r="937" ht="15" customHeight="1" s="38">
      <c r="A937" s="80">
        <f>'Blind Scoring Sheet'!A937</f>
        <v/>
      </c>
      <c r="B937" s="80">
        <f>MID(INDEX('Anonymization Key'!$B$4:$B$1003,MATCH(A937,'Anonymization Key'!$A$4:$A$1003,0)),3,2)</f>
        <v/>
      </c>
      <c r="C937" s="81">
        <f>IF(ISNUMBER('Blind Scoring Sheet'!B937),'Blind Scoring Sheet'!B937,VALUE(TRIM(LEFT('Blind Scoring Sheet'!B937,FIND("|",'Blind Scoring Sheet'!B937)-1))))</f>
        <v/>
      </c>
      <c r="D937" s="81">
        <f>IF(ISNUMBER('Blind Scoring Sheet'!D937),'Blind Scoring Sheet'!D937,VALUE(TRIM(LEFT('Blind Scoring Sheet'!D937,FIND("|",'Blind Scoring Sheet'!D937)-1))))</f>
        <v/>
      </c>
      <c r="E937" s="81">
        <f>IF(ISNUMBER('Blind Scoring Sheet'!F937),'Blind Scoring Sheet'!F937,VALUE(TRIM(LEFT('Blind Scoring Sheet'!F937,FIND("|",'Blind Scoring Sheet'!F937)-1))))</f>
        <v/>
      </c>
      <c r="F937" s="81">
        <f>IF(ISNUMBER('Blind Scoring Sheet'!H937),'Blind Scoring Sheet'!H937,VALUE(TRIM(LEFT('Blind Scoring Sheet'!H937,FIND("|",'Blind Scoring Sheet'!H937)-1))))</f>
        <v/>
      </c>
      <c r="G937" s="81">
        <f>IF(ISNUMBER('Blind Scoring Sheet'!J937),'Blind Scoring Sheet'!J937,VALUE(TRIM(LEFT('Blind Scoring Sheet'!J937,FIND("|",'Blind Scoring Sheet'!J937)-1))))</f>
        <v/>
      </c>
      <c r="H937" s="80">
        <f>IF(ISNUMBER(SEARCH("|",'Blind Scoring Sheet'!K937)),TRIM(LEFT('Blind Scoring Sheet'!K937,FIND("|",'Blind Scoring Sheet'!K937)-1)),TRIM('Blind Scoring Sheet'!K937))</f>
        <v/>
      </c>
    </row>
    <row r="938" ht="15" customHeight="1" s="38">
      <c r="A938" s="80">
        <f>'Blind Scoring Sheet'!A938</f>
        <v/>
      </c>
      <c r="B938" s="80">
        <f>MID(INDEX('Anonymization Key'!$B$4:$B$1003,MATCH(A938,'Anonymization Key'!$A$4:$A$1003,0)),3,2)</f>
        <v/>
      </c>
      <c r="C938" s="81">
        <f>IF(ISNUMBER('Blind Scoring Sheet'!B938),'Blind Scoring Sheet'!B938,VALUE(TRIM(LEFT('Blind Scoring Sheet'!B938,FIND("|",'Blind Scoring Sheet'!B938)-1))))</f>
        <v/>
      </c>
      <c r="D938" s="81">
        <f>IF(ISNUMBER('Blind Scoring Sheet'!D938),'Blind Scoring Sheet'!D938,VALUE(TRIM(LEFT('Blind Scoring Sheet'!D938,FIND("|",'Blind Scoring Sheet'!D938)-1))))</f>
        <v/>
      </c>
      <c r="E938" s="81">
        <f>IF(ISNUMBER('Blind Scoring Sheet'!F938),'Blind Scoring Sheet'!F938,VALUE(TRIM(LEFT('Blind Scoring Sheet'!F938,FIND("|",'Blind Scoring Sheet'!F938)-1))))</f>
        <v/>
      </c>
      <c r="F938" s="81">
        <f>IF(ISNUMBER('Blind Scoring Sheet'!H938),'Blind Scoring Sheet'!H938,VALUE(TRIM(LEFT('Blind Scoring Sheet'!H938,FIND("|",'Blind Scoring Sheet'!H938)-1))))</f>
        <v/>
      </c>
      <c r="G938" s="81">
        <f>IF(ISNUMBER('Blind Scoring Sheet'!J938),'Blind Scoring Sheet'!J938,VALUE(TRIM(LEFT('Blind Scoring Sheet'!J938,FIND("|",'Blind Scoring Sheet'!J938)-1))))</f>
        <v/>
      </c>
      <c r="H938" s="80">
        <f>IF(ISNUMBER(SEARCH("|",'Blind Scoring Sheet'!K938)),TRIM(LEFT('Blind Scoring Sheet'!K938,FIND("|",'Blind Scoring Sheet'!K938)-1)),TRIM('Blind Scoring Sheet'!K938))</f>
        <v/>
      </c>
    </row>
    <row r="939" ht="15" customHeight="1" s="38">
      <c r="A939" s="80">
        <f>'Blind Scoring Sheet'!A939</f>
        <v/>
      </c>
      <c r="B939" s="80">
        <f>MID(INDEX('Anonymization Key'!$B$4:$B$1003,MATCH(A939,'Anonymization Key'!$A$4:$A$1003,0)),3,2)</f>
        <v/>
      </c>
      <c r="C939" s="81">
        <f>IF(ISNUMBER('Blind Scoring Sheet'!B939),'Blind Scoring Sheet'!B939,VALUE(TRIM(LEFT('Blind Scoring Sheet'!B939,FIND("|",'Blind Scoring Sheet'!B939)-1))))</f>
        <v/>
      </c>
      <c r="D939" s="81">
        <f>IF(ISNUMBER('Blind Scoring Sheet'!D939),'Blind Scoring Sheet'!D939,VALUE(TRIM(LEFT('Blind Scoring Sheet'!D939,FIND("|",'Blind Scoring Sheet'!D939)-1))))</f>
        <v/>
      </c>
      <c r="E939" s="81">
        <f>IF(ISNUMBER('Blind Scoring Sheet'!F939),'Blind Scoring Sheet'!F939,VALUE(TRIM(LEFT('Blind Scoring Sheet'!F939,FIND("|",'Blind Scoring Sheet'!F939)-1))))</f>
        <v/>
      </c>
      <c r="F939" s="81">
        <f>IF(ISNUMBER('Blind Scoring Sheet'!H939),'Blind Scoring Sheet'!H939,VALUE(TRIM(LEFT('Blind Scoring Sheet'!H939,FIND("|",'Blind Scoring Sheet'!H939)-1))))</f>
        <v/>
      </c>
      <c r="G939" s="81">
        <f>IF(ISNUMBER('Blind Scoring Sheet'!J939),'Blind Scoring Sheet'!J939,VALUE(TRIM(LEFT('Blind Scoring Sheet'!J939,FIND("|",'Blind Scoring Sheet'!J939)-1))))</f>
        <v/>
      </c>
      <c r="H939" s="80">
        <f>IF(ISNUMBER(SEARCH("|",'Blind Scoring Sheet'!K939)),TRIM(LEFT('Blind Scoring Sheet'!K939,FIND("|",'Blind Scoring Sheet'!K939)-1)),TRIM('Blind Scoring Sheet'!K939))</f>
        <v/>
      </c>
    </row>
    <row r="940" ht="15" customHeight="1" s="38">
      <c r="A940" s="80">
        <f>'Blind Scoring Sheet'!A940</f>
        <v/>
      </c>
      <c r="B940" s="80">
        <f>MID(INDEX('Anonymization Key'!$B$4:$B$1003,MATCH(A940,'Anonymization Key'!$A$4:$A$1003,0)),3,2)</f>
        <v/>
      </c>
      <c r="C940" s="81">
        <f>IF(ISNUMBER('Blind Scoring Sheet'!B940),'Blind Scoring Sheet'!B940,VALUE(TRIM(LEFT('Blind Scoring Sheet'!B940,FIND("|",'Blind Scoring Sheet'!B940)-1))))</f>
        <v/>
      </c>
      <c r="D940" s="81">
        <f>IF(ISNUMBER('Blind Scoring Sheet'!D940),'Blind Scoring Sheet'!D940,VALUE(TRIM(LEFT('Blind Scoring Sheet'!D940,FIND("|",'Blind Scoring Sheet'!D940)-1))))</f>
        <v/>
      </c>
      <c r="E940" s="81">
        <f>IF(ISNUMBER('Blind Scoring Sheet'!F940),'Blind Scoring Sheet'!F940,VALUE(TRIM(LEFT('Blind Scoring Sheet'!F940,FIND("|",'Blind Scoring Sheet'!F940)-1))))</f>
        <v/>
      </c>
      <c r="F940" s="81">
        <f>IF(ISNUMBER('Blind Scoring Sheet'!H940),'Blind Scoring Sheet'!H940,VALUE(TRIM(LEFT('Blind Scoring Sheet'!H940,FIND("|",'Blind Scoring Sheet'!H940)-1))))</f>
        <v/>
      </c>
      <c r="G940" s="81">
        <f>IF(ISNUMBER('Blind Scoring Sheet'!J940),'Blind Scoring Sheet'!J940,VALUE(TRIM(LEFT('Blind Scoring Sheet'!J940,FIND("|",'Blind Scoring Sheet'!J940)-1))))</f>
        <v/>
      </c>
      <c r="H940" s="80">
        <f>IF(ISNUMBER(SEARCH("|",'Blind Scoring Sheet'!K940)),TRIM(LEFT('Blind Scoring Sheet'!K940,FIND("|",'Blind Scoring Sheet'!K940)-1)),TRIM('Blind Scoring Sheet'!K940))</f>
        <v/>
      </c>
    </row>
    <row r="941" ht="15" customHeight="1" s="38">
      <c r="A941" s="80">
        <f>'Blind Scoring Sheet'!A941</f>
        <v/>
      </c>
      <c r="B941" s="80">
        <f>MID(INDEX('Anonymization Key'!$B$4:$B$1003,MATCH(A941,'Anonymization Key'!$A$4:$A$1003,0)),3,2)</f>
        <v/>
      </c>
      <c r="C941" s="81">
        <f>IF(ISNUMBER('Blind Scoring Sheet'!B941),'Blind Scoring Sheet'!B941,VALUE(TRIM(LEFT('Blind Scoring Sheet'!B941,FIND("|",'Blind Scoring Sheet'!B941)-1))))</f>
        <v/>
      </c>
      <c r="D941" s="81">
        <f>IF(ISNUMBER('Blind Scoring Sheet'!D941),'Blind Scoring Sheet'!D941,VALUE(TRIM(LEFT('Blind Scoring Sheet'!D941,FIND("|",'Blind Scoring Sheet'!D941)-1))))</f>
        <v/>
      </c>
      <c r="E941" s="81">
        <f>IF(ISNUMBER('Blind Scoring Sheet'!F941),'Blind Scoring Sheet'!F941,VALUE(TRIM(LEFT('Blind Scoring Sheet'!F941,FIND("|",'Blind Scoring Sheet'!F941)-1))))</f>
        <v/>
      </c>
      <c r="F941" s="81">
        <f>IF(ISNUMBER('Blind Scoring Sheet'!H941),'Blind Scoring Sheet'!H941,VALUE(TRIM(LEFT('Blind Scoring Sheet'!H941,FIND("|",'Blind Scoring Sheet'!H941)-1))))</f>
        <v/>
      </c>
      <c r="G941" s="81">
        <f>IF(ISNUMBER('Blind Scoring Sheet'!J941),'Blind Scoring Sheet'!J941,VALUE(TRIM(LEFT('Blind Scoring Sheet'!J941,FIND("|",'Blind Scoring Sheet'!J941)-1))))</f>
        <v/>
      </c>
      <c r="H941" s="80">
        <f>IF(ISNUMBER(SEARCH("|",'Blind Scoring Sheet'!K941)),TRIM(LEFT('Blind Scoring Sheet'!K941,FIND("|",'Blind Scoring Sheet'!K941)-1)),TRIM('Blind Scoring Sheet'!K941))</f>
        <v/>
      </c>
    </row>
    <row r="942" ht="15" customHeight="1" s="38">
      <c r="A942" s="80">
        <f>'Blind Scoring Sheet'!A942</f>
        <v/>
      </c>
      <c r="B942" s="80">
        <f>MID(INDEX('Anonymization Key'!$B$4:$B$1003,MATCH(A942,'Anonymization Key'!$A$4:$A$1003,0)),3,2)</f>
        <v/>
      </c>
      <c r="C942" s="81">
        <f>IF(ISNUMBER('Blind Scoring Sheet'!B942),'Blind Scoring Sheet'!B942,VALUE(TRIM(LEFT('Blind Scoring Sheet'!B942,FIND("|",'Blind Scoring Sheet'!B942)-1))))</f>
        <v/>
      </c>
      <c r="D942" s="81">
        <f>IF(ISNUMBER('Blind Scoring Sheet'!D942),'Blind Scoring Sheet'!D942,VALUE(TRIM(LEFT('Blind Scoring Sheet'!D942,FIND("|",'Blind Scoring Sheet'!D942)-1))))</f>
        <v/>
      </c>
      <c r="E942" s="81">
        <f>IF(ISNUMBER('Blind Scoring Sheet'!F942),'Blind Scoring Sheet'!F942,VALUE(TRIM(LEFT('Blind Scoring Sheet'!F942,FIND("|",'Blind Scoring Sheet'!F942)-1))))</f>
        <v/>
      </c>
      <c r="F942" s="81">
        <f>IF(ISNUMBER('Blind Scoring Sheet'!H942),'Blind Scoring Sheet'!H942,VALUE(TRIM(LEFT('Blind Scoring Sheet'!H942,FIND("|",'Blind Scoring Sheet'!H942)-1))))</f>
        <v/>
      </c>
      <c r="G942" s="81">
        <f>IF(ISNUMBER('Blind Scoring Sheet'!J942),'Blind Scoring Sheet'!J942,VALUE(TRIM(LEFT('Blind Scoring Sheet'!J942,FIND("|",'Blind Scoring Sheet'!J942)-1))))</f>
        <v/>
      </c>
      <c r="H942" s="80">
        <f>IF(ISNUMBER(SEARCH("|",'Blind Scoring Sheet'!K942)),TRIM(LEFT('Blind Scoring Sheet'!K942,FIND("|",'Blind Scoring Sheet'!K942)-1)),TRIM('Blind Scoring Sheet'!K942))</f>
        <v/>
      </c>
    </row>
    <row r="943" ht="15" customHeight="1" s="38">
      <c r="A943" s="80">
        <f>'Blind Scoring Sheet'!A943</f>
        <v/>
      </c>
      <c r="B943" s="80">
        <f>MID(INDEX('Anonymization Key'!$B$4:$B$1003,MATCH(A943,'Anonymization Key'!$A$4:$A$1003,0)),3,2)</f>
        <v/>
      </c>
      <c r="C943" s="81">
        <f>IF(ISNUMBER('Blind Scoring Sheet'!B943),'Blind Scoring Sheet'!B943,VALUE(TRIM(LEFT('Blind Scoring Sheet'!B943,FIND("|",'Blind Scoring Sheet'!B943)-1))))</f>
        <v/>
      </c>
      <c r="D943" s="81">
        <f>IF(ISNUMBER('Blind Scoring Sheet'!D943),'Blind Scoring Sheet'!D943,VALUE(TRIM(LEFT('Blind Scoring Sheet'!D943,FIND("|",'Blind Scoring Sheet'!D943)-1))))</f>
        <v/>
      </c>
      <c r="E943" s="81">
        <f>IF(ISNUMBER('Blind Scoring Sheet'!F943),'Blind Scoring Sheet'!F943,VALUE(TRIM(LEFT('Blind Scoring Sheet'!F943,FIND("|",'Blind Scoring Sheet'!F943)-1))))</f>
        <v/>
      </c>
      <c r="F943" s="81">
        <f>IF(ISNUMBER('Blind Scoring Sheet'!H943),'Blind Scoring Sheet'!H943,VALUE(TRIM(LEFT('Blind Scoring Sheet'!H943,FIND("|",'Blind Scoring Sheet'!H943)-1))))</f>
        <v/>
      </c>
      <c r="G943" s="81">
        <f>IF(ISNUMBER('Blind Scoring Sheet'!J943),'Blind Scoring Sheet'!J943,VALUE(TRIM(LEFT('Blind Scoring Sheet'!J943,FIND("|",'Blind Scoring Sheet'!J943)-1))))</f>
        <v/>
      </c>
      <c r="H943" s="80">
        <f>IF(ISNUMBER(SEARCH("|",'Blind Scoring Sheet'!K943)),TRIM(LEFT('Blind Scoring Sheet'!K943,FIND("|",'Blind Scoring Sheet'!K943)-1)),TRIM('Blind Scoring Sheet'!K943))</f>
        <v/>
      </c>
    </row>
    <row r="944" ht="15" customHeight="1" s="38">
      <c r="A944" s="80">
        <f>'Blind Scoring Sheet'!A944</f>
        <v/>
      </c>
      <c r="B944" s="80">
        <f>MID(INDEX('Anonymization Key'!$B$4:$B$1003,MATCH(A944,'Anonymization Key'!$A$4:$A$1003,0)),3,2)</f>
        <v/>
      </c>
      <c r="C944" s="81">
        <f>IF(ISNUMBER('Blind Scoring Sheet'!B944),'Blind Scoring Sheet'!B944,VALUE(TRIM(LEFT('Blind Scoring Sheet'!B944,FIND("|",'Blind Scoring Sheet'!B944)-1))))</f>
        <v/>
      </c>
      <c r="D944" s="81">
        <f>IF(ISNUMBER('Blind Scoring Sheet'!D944),'Blind Scoring Sheet'!D944,VALUE(TRIM(LEFT('Blind Scoring Sheet'!D944,FIND("|",'Blind Scoring Sheet'!D944)-1))))</f>
        <v/>
      </c>
      <c r="E944" s="81">
        <f>IF(ISNUMBER('Blind Scoring Sheet'!F944),'Blind Scoring Sheet'!F944,VALUE(TRIM(LEFT('Blind Scoring Sheet'!F944,FIND("|",'Blind Scoring Sheet'!F944)-1))))</f>
        <v/>
      </c>
      <c r="F944" s="81">
        <f>IF(ISNUMBER('Blind Scoring Sheet'!H944),'Blind Scoring Sheet'!H944,VALUE(TRIM(LEFT('Blind Scoring Sheet'!H944,FIND("|",'Blind Scoring Sheet'!H944)-1))))</f>
        <v/>
      </c>
      <c r="G944" s="81">
        <f>IF(ISNUMBER('Blind Scoring Sheet'!J944),'Blind Scoring Sheet'!J944,VALUE(TRIM(LEFT('Blind Scoring Sheet'!J944,FIND("|",'Blind Scoring Sheet'!J944)-1))))</f>
        <v/>
      </c>
      <c r="H944" s="80">
        <f>IF(ISNUMBER(SEARCH("|",'Blind Scoring Sheet'!K944)),TRIM(LEFT('Blind Scoring Sheet'!K944,FIND("|",'Blind Scoring Sheet'!K944)-1)),TRIM('Blind Scoring Sheet'!K944))</f>
        <v/>
      </c>
    </row>
    <row r="945" ht="15" customHeight="1" s="38">
      <c r="A945" s="80">
        <f>'Blind Scoring Sheet'!A945</f>
        <v/>
      </c>
      <c r="B945" s="80">
        <f>MID(INDEX('Anonymization Key'!$B$4:$B$1003,MATCH(A945,'Anonymization Key'!$A$4:$A$1003,0)),3,2)</f>
        <v/>
      </c>
      <c r="C945" s="81">
        <f>IF(ISNUMBER('Blind Scoring Sheet'!B945),'Blind Scoring Sheet'!B945,VALUE(TRIM(LEFT('Blind Scoring Sheet'!B945,FIND("|",'Blind Scoring Sheet'!B945)-1))))</f>
        <v/>
      </c>
      <c r="D945" s="81">
        <f>IF(ISNUMBER('Blind Scoring Sheet'!D945),'Blind Scoring Sheet'!D945,VALUE(TRIM(LEFT('Blind Scoring Sheet'!D945,FIND("|",'Blind Scoring Sheet'!D945)-1))))</f>
        <v/>
      </c>
      <c r="E945" s="81">
        <f>IF(ISNUMBER('Blind Scoring Sheet'!F945),'Blind Scoring Sheet'!F945,VALUE(TRIM(LEFT('Blind Scoring Sheet'!F945,FIND("|",'Blind Scoring Sheet'!F945)-1))))</f>
        <v/>
      </c>
      <c r="F945" s="81">
        <f>IF(ISNUMBER('Blind Scoring Sheet'!H945),'Blind Scoring Sheet'!H945,VALUE(TRIM(LEFT('Blind Scoring Sheet'!H945,FIND("|",'Blind Scoring Sheet'!H945)-1))))</f>
        <v/>
      </c>
      <c r="G945" s="81">
        <f>IF(ISNUMBER('Blind Scoring Sheet'!J945),'Blind Scoring Sheet'!J945,VALUE(TRIM(LEFT('Blind Scoring Sheet'!J945,FIND("|",'Blind Scoring Sheet'!J945)-1))))</f>
        <v/>
      </c>
      <c r="H945" s="80">
        <f>IF(ISNUMBER(SEARCH("|",'Blind Scoring Sheet'!K945)),TRIM(LEFT('Blind Scoring Sheet'!K945,FIND("|",'Blind Scoring Sheet'!K945)-1)),TRIM('Blind Scoring Sheet'!K945))</f>
        <v/>
      </c>
    </row>
    <row r="946" ht="15" customHeight="1" s="38">
      <c r="A946" s="80">
        <f>'Blind Scoring Sheet'!A946</f>
        <v/>
      </c>
      <c r="B946" s="80">
        <f>MID(INDEX('Anonymization Key'!$B$4:$B$1003,MATCH(A946,'Anonymization Key'!$A$4:$A$1003,0)),3,2)</f>
        <v/>
      </c>
      <c r="C946" s="81">
        <f>IF(ISNUMBER('Blind Scoring Sheet'!B946),'Blind Scoring Sheet'!B946,VALUE(TRIM(LEFT('Blind Scoring Sheet'!B946,FIND("|",'Blind Scoring Sheet'!B946)-1))))</f>
        <v/>
      </c>
      <c r="D946" s="81">
        <f>IF(ISNUMBER('Blind Scoring Sheet'!D946),'Blind Scoring Sheet'!D946,VALUE(TRIM(LEFT('Blind Scoring Sheet'!D946,FIND("|",'Blind Scoring Sheet'!D946)-1))))</f>
        <v/>
      </c>
      <c r="E946" s="81">
        <f>IF(ISNUMBER('Blind Scoring Sheet'!F946),'Blind Scoring Sheet'!F946,VALUE(TRIM(LEFT('Blind Scoring Sheet'!F946,FIND("|",'Blind Scoring Sheet'!F946)-1))))</f>
        <v/>
      </c>
      <c r="F946" s="81">
        <f>IF(ISNUMBER('Blind Scoring Sheet'!H946),'Blind Scoring Sheet'!H946,VALUE(TRIM(LEFT('Blind Scoring Sheet'!H946,FIND("|",'Blind Scoring Sheet'!H946)-1))))</f>
        <v/>
      </c>
      <c r="G946" s="81">
        <f>IF(ISNUMBER('Blind Scoring Sheet'!J946),'Blind Scoring Sheet'!J946,VALUE(TRIM(LEFT('Blind Scoring Sheet'!J946,FIND("|",'Blind Scoring Sheet'!J946)-1))))</f>
        <v/>
      </c>
      <c r="H946" s="80">
        <f>IF(ISNUMBER(SEARCH("|",'Blind Scoring Sheet'!K946)),TRIM(LEFT('Blind Scoring Sheet'!K946,FIND("|",'Blind Scoring Sheet'!K946)-1)),TRIM('Blind Scoring Sheet'!K946))</f>
        <v/>
      </c>
    </row>
    <row r="947" ht="15" customHeight="1" s="38">
      <c r="A947" s="80">
        <f>'Blind Scoring Sheet'!A947</f>
        <v/>
      </c>
      <c r="B947" s="80">
        <f>MID(INDEX('Anonymization Key'!$B$4:$B$1003,MATCH(A947,'Anonymization Key'!$A$4:$A$1003,0)),3,2)</f>
        <v/>
      </c>
      <c r="C947" s="81">
        <f>IF(ISNUMBER('Blind Scoring Sheet'!B947),'Blind Scoring Sheet'!B947,VALUE(TRIM(LEFT('Blind Scoring Sheet'!B947,FIND("|",'Blind Scoring Sheet'!B947)-1))))</f>
        <v/>
      </c>
      <c r="D947" s="81">
        <f>IF(ISNUMBER('Blind Scoring Sheet'!D947),'Blind Scoring Sheet'!D947,VALUE(TRIM(LEFT('Blind Scoring Sheet'!D947,FIND("|",'Blind Scoring Sheet'!D947)-1))))</f>
        <v/>
      </c>
      <c r="E947" s="81">
        <f>IF(ISNUMBER('Blind Scoring Sheet'!F947),'Blind Scoring Sheet'!F947,VALUE(TRIM(LEFT('Blind Scoring Sheet'!F947,FIND("|",'Blind Scoring Sheet'!F947)-1))))</f>
        <v/>
      </c>
      <c r="F947" s="81">
        <f>IF(ISNUMBER('Blind Scoring Sheet'!H947),'Blind Scoring Sheet'!H947,VALUE(TRIM(LEFT('Blind Scoring Sheet'!H947,FIND("|",'Blind Scoring Sheet'!H947)-1))))</f>
        <v/>
      </c>
      <c r="G947" s="81">
        <f>IF(ISNUMBER('Blind Scoring Sheet'!J947),'Blind Scoring Sheet'!J947,VALUE(TRIM(LEFT('Blind Scoring Sheet'!J947,FIND("|",'Blind Scoring Sheet'!J947)-1))))</f>
        <v/>
      </c>
      <c r="H947" s="80">
        <f>IF(ISNUMBER(SEARCH("|",'Blind Scoring Sheet'!K947)),TRIM(LEFT('Blind Scoring Sheet'!K947,FIND("|",'Blind Scoring Sheet'!K947)-1)),TRIM('Blind Scoring Sheet'!K947))</f>
        <v/>
      </c>
    </row>
    <row r="948" ht="15" customHeight="1" s="38">
      <c r="A948" s="80">
        <f>'Blind Scoring Sheet'!A948</f>
        <v/>
      </c>
      <c r="B948" s="80">
        <f>MID(INDEX('Anonymization Key'!$B$4:$B$1003,MATCH(A948,'Anonymization Key'!$A$4:$A$1003,0)),3,2)</f>
        <v/>
      </c>
      <c r="C948" s="81">
        <f>IF(ISNUMBER('Blind Scoring Sheet'!B948),'Blind Scoring Sheet'!B948,VALUE(TRIM(LEFT('Blind Scoring Sheet'!B948,FIND("|",'Blind Scoring Sheet'!B948)-1))))</f>
        <v/>
      </c>
      <c r="D948" s="81">
        <f>IF(ISNUMBER('Blind Scoring Sheet'!D948),'Blind Scoring Sheet'!D948,VALUE(TRIM(LEFT('Blind Scoring Sheet'!D948,FIND("|",'Blind Scoring Sheet'!D948)-1))))</f>
        <v/>
      </c>
      <c r="E948" s="81">
        <f>IF(ISNUMBER('Blind Scoring Sheet'!F948),'Blind Scoring Sheet'!F948,VALUE(TRIM(LEFT('Blind Scoring Sheet'!F948,FIND("|",'Blind Scoring Sheet'!F948)-1))))</f>
        <v/>
      </c>
      <c r="F948" s="81">
        <f>IF(ISNUMBER('Blind Scoring Sheet'!H948),'Blind Scoring Sheet'!H948,VALUE(TRIM(LEFT('Blind Scoring Sheet'!H948,FIND("|",'Blind Scoring Sheet'!H948)-1))))</f>
        <v/>
      </c>
      <c r="G948" s="81">
        <f>IF(ISNUMBER('Blind Scoring Sheet'!J948),'Blind Scoring Sheet'!J948,VALUE(TRIM(LEFT('Blind Scoring Sheet'!J948,FIND("|",'Blind Scoring Sheet'!J948)-1))))</f>
        <v/>
      </c>
      <c r="H948" s="80">
        <f>IF(ISNUMBER(SEARCH("|",'Blind Scoring Sheet'!K948)),TRIM(LEFT('Blind Scoring Sheet'!K948,FIND("|",'Blind Scoring Sheet'!K948)-1)),TRIM('Blind Scoring Sheet'!K948))</f>
        <v/>
      </c>
    </row>
    <row r="949" ht="15" customHeight="1" s="38">
      <c r="A949" s="80">
        <f>'Blind Scoring Sheet'!A949</f>
        <v/>
      </c>
      <c r="B949" s="80">
        <f>MID(INDEX('Anonymization Key'!$B$4:$B$1003,MATCH(A949,'Anonymization Key'!$A$4:$A$1003,0)),3,2)</f>
        <v/>
      </c>
      <c r="C949" s="81">
        <f>IF(ISNUMBER('Blind Scoring Sheet'!B949),'Blind Scoring Sheet'!B949,VALUE(TRIM(LEFT('Blind Scoring Sheet'!B949,FIND("|",'Blind Scoring Sheet'!B949)-1))))</f>
        <v/>
      </c>
      <c r="D949" s="81">
        <f>IF(ISNUMBER('Blind Scoring Sheet'!D949),'Blind Scoring Sheet'!D949,VALUE(TRIM(LEFT('Blind Scoring Sheet'!D949,FIND("|",'Blind Scoring Sheet'!D949)-1))))</f>
        <v/>
      </c>
      <c r="E949" s="81">
        <f>IF(ISNUMBER('Blind Scoring Sheet'!F949),'Blind Scoring Sheet'!F949,VALUE(TRIM(LEFT('Blind Scoring Sheet'!F949,FIND("|",'Blind Scoring Sheet'!F949)-1))))</f>
        <v/>
      </c>
      <c r="F949" s="81">
        <f>IF(ISNUMBER('Blind Scoring Sheet'!H949),'Blind Scoring Sheet'!H949,VALUE(TRIM(LEFT('Blind Scoring Sheet'!H949,FIND("|",'Blind Scoring Sheet'!H949)-1))))</f>
        <v/>
      </c>
      <c r="G949" s="81">
        <f>IF(ISNUMBER('Blind Scoring Sheet'!J949),'Blind Scoring Sheet'!J949,VALUE(TRIM(LEFT('Blind Scoring Sheet'!J949,FIND("|",'Blind Scoring Sheet'!J949)-1))))</f>
        <v/>
      </c>
      <c r="H949" s="80">
        <f>IF(ISNUMBER(SEARCH("|",'Blind Scoring Sheet'!K949)),TRIM(LEFT('Blind Scoring Sheet'!K949,FIND("|",'Blind Scoring Sheet'!K949)-1)),TRIM('Blind Scoring Sheet'!K949))</f>
        <v/>
      </c>
    </row>
    <row r="950" ht="15" customHeight="1" s="38">
      <c r="A950" s="80">
        <f>'Blind Scoring Sheet'!A950</f>
        <v/>
      </c>
      <c r="B950" s="80">
        <f>MID(INDEX('Anonymization Key'!$B$4:$B$1003,MATCH(A950,'Anonymization Key'!$A$4:$A$1003,0)),3,2)</f>
        <v/>
      </c>
      <c r="C950" s="81">
        <f>IF(ISNUMBER('Blind Scoring Sheet'!B950),'Blind Scoring Sheet'!B950,VALUE(TRIM(LEFT('Blind Scoring Sheet'!B950,FIND("|",'Blind Scoring Sheet'!B950)-1))))</f>
        <v/>
      </c>
      <c r="D950" s="81">
        <f>IF(ISNUMBER('Blind Scoring Sheet'!D950),'Blind Scoring Sheet'!D950,VALUE(TRIM(LEFT('Blind Scoring Sheet'!D950,FIND("|",'Blind Scoring Sheet'!D950)-1))))</f>
        <v/>
      </c>
      <c r="E950" s="81">
        <f>IF(ISNUMBER('Blind Scoring Sheet'!F950),'Blind Scoring Sheet'!F950,VALUE(TRIM(LEFT('Blind Scoring Sheet'!F950,FIND("|",'Blind Scoring Sheet'!F950)-1))))</f>
        <v/>
      </c>
      <c r="F950" s="81">
        <f>IF(ISNUMBER('Blind Scoring Sheet'!H950),'Blind Scoring Sheet'!H950,VALUE(TRIM(LEFT('Blind Scoring Sheet'!H950,FIND("|",'Blind Scoring Sheet'!H950)-1))))</f>
        <v/>
      </c>
      <c r="G950" s="81">
        <f>IF(ISNUMBER('Blind Scoring Sheet'!J950),'Blind Scoring Sheet'!J950,VALUE(TRIM(LEFT('Blind Scoring Sheet'!J950,FIND("|",'Blind Scoring Sheet'!J950)-1))))</f>
        <v/>
      </c>
      <c r="H950" s="80">
        <f>IF(ISNUMBER(SEARCH("|",'Blind Scoring Sheet'!K950)),TRIM(LEFT('Blind Scoring Sheet'!K950,FIND("|",'Blind Scoring Sheet'!K950)-1)),TRIM('Blind Scoring Sheet'!K950))</f>
        <v/>
      </c>
    </row>
    <row r="951" ht="15" customHeight="1" s="38">
      <c r="A951" s="80">
        <f>'Blind Scoring Sheet'!A951</f>
        <v/>
      </c>
      <c r="B951" s="80">
        <f>MID(INDEX('Anonymization Key'!$B$4:$B$1003,MATCH(A951,'Anonymization Key'!$A$4:$A$1003,0)),3,2)</f>
        <v/>
      </c>
      <c r="C951" s="81">
        <f>IF(ISNUMBER('Blind Scoring Sheet'!B951),'Blind Scoring Sheet'!B951,VALUE(TRIM(LEFT('Blind Scoring Sheet'!B951,FIND("|",'Blind Scoring Sheet'!B951)-1))))</f>
        <v/>
      </c>
      <c r="D951" s="81">
        <f>IF(ISNUMBER('Blind Scoring Sheet'!D951),'Blind Scoring Sheet'!D951,VALUE(TRIM(LEFT('Blind Scoring Sheet'!D951,FIND("|",'Blind Scoring Sheet'!D951)-1))))</f>
        <v/>
      </c>
      <c r="E951" s="81">
        <f>IF(ISNUMBER('Blind Scoring Sheet'!F951),'Blind Scoring Sheet'!F951,VALUE(TRIM(LEFT('Blind Scoring Sheet'!F951,FIND("|",'Blind Scoring Sheet'!F951)-1))))</f>
        <v/>
      </c>
      <c r="F951" s="81">
        <f>IF(ISNUMBER('Blind Scoring Sheet'!H951),'Blind Scoring Sheet'!H951,VALUE(TRIM(LEFT('Blind Scoring Sheet'!H951,FIND("|",'Blind Scoring Sheet'!H951)-1))))</f>
        <v/>
      </c>
      <c r="G951" s="81">
        <f>IF(ISNUMBER('Blind Scoring Sheet'!J951),'Blind Scoring Sheet'!J951,VALUE(TRIM(LEFT('Blind Scoring Sheet'!J951,FIND("|",'Blind Scoring Sheet'!J951)-1))))</f>
        <v/>
      </c>
      <c r="H951" s="80">
        <f>IF(ISNUMBER(SEARCH("|",'Blind Scoring Sheet'!K951)),TRIM(LEFT('Blind Scoring Sheet'!K951,FIND("|",'Blind Scoring Sheet'!K951)-1)),TRIM('Blind Scoring Sheet'!K951))</f>
        <v/>
      </c>
    </row>
    <row r="952" ht="15" customHeight="1" s="38">
      <c r="A952" s="80">
        <f>'Blind Scoring Sheet'!A952</f>
        <v/>
      </c>
      <c r="B952" s="80">
        <f>MID(INDEX('Anonymization Key'!$B$4:$B$1003,MATCH(A952,'Anonymization Key'!$A$4:$A$1003,0)),3,2)</f>
        <v/>
      </c>
      <c r="C952" s="81">
        <f>IF(ISNUMBER('Blind Scoring Sheet'!B952),'Blind Scoring Sheet'!B952,VALUE(TRIM(LEFT('Blind Scoring Sheet'!B952,FIND("|",'Blind Scoring Sheet'!B952)-1))))</f>
        <v/>
      </c>
      <c r="D952" s="81">
        <f>IF(ISNUMBER('Blind Scoring Sheet'!D952),'Blind Scoring Sheet'!D952,VALUE(TRIM(LEFT('Blind Scoring Sheet'!D952,FIND("|",'Blind Scoring Sheet'!D952)-1))))</f>
        <v/>
      </c>
      <c r="E952" s="81">
        <f>IF(ISNUMBER('Blind Scoring Sheet'!F952),'Blind Scoring Sheet'!F952,VALUE(TRIM(LEFT('Blind Scoring Sheet'!F952,FIND("|",'Blind Scoring Sheet'!F952)-1))))</f>
        <v/>
      </c>
      <c r="F952" s="81">
        <f>IF(ISNUMBER('Blind Scoring Sheet'!H952),'Blind Scoring Sheet'!H952,VALUE(TRIM(LEFT('Blind Scoring Sheet'!H952,FIND("|",'Blind Scoring Sheet'!H952)-1))))</f>
        <v/>
      </c>
      <c r="G952" s="81">
        <f>IF(ISNUMBER('Blind Scoring Sheet'!J952),'Blind Scoring Sheet'!J952,VALUE(TRIM(LEFT('Blind Scoring Sheet'!J952,FIND("|",'Blind Scoring Sheet'!J952)-1))))</f>
        <v/>
      </c>
      <c r="H952" s="80">
        <f>IF(ISNUMBER(SEARCH("|",'Blind Scoring Sheet'!K952)),TRIM(LEFT('Blind Scoring Sheet'!K952,FIND("|",'Blind Scoring Sheet'!K952)-1)),TRIM('Blind Scoring Sheet'!K952))</f>
        <v/>
      </c>
    </row>
    <row r="953" ht="15" customHeight="1" s="38">
      <c r="A953" s="80">
        <f>'Blind Scoring Sheet'!A953</f>
        <v/>
      </c>
      <c r="B953" s="80">
        <f>MID(INDEX('Anonymization Key'!$B$4:$B$1003,MATCH(A953,'Anonymization Key'!$A$4:$A$1003,0)),3,2)</f>
        <v/>
      </c>
      <c r="C953" s="81">
        <f>IF(ISNUMBER('Blind Scoring Sheet'!B953),'Blind Scoring Sheet'!B953,VALUE(TRIM(LEFT('Blind Scoring Sheet'!B953,FIND("|",'Blind Scoring Sheet'!B953)-1))))</f>
        <v/>
      </c>
      <c r="D953" s="81">
        <f>IF(ISNUMBER('Blind Scoring Sheet'!D953),'Blind Scoring Sheet'!D953,VALUE(TRIM(LEFT('Blind Scoring Sheet'!D953,FIND("|",'Blind Scoring Sheet'!D953)-1))))</f>
        <v/>
      </c>
      <c r="E953" s="81">
        <f>IF(ISNUMBER('Blind Scoring Sheet'!F953),'Blind Scoring Sheet'!F953,VALUE(TRIM(LEFT('Blind Scoring Sheet'!F953,FIND("|",'Blind Scoring Sheet'!F953)-1))))</f>
        <v/>
      </c>
      <c r="F953" s="81">
        <f>IF(ISNUMBER('Blind Scoring Sheet'!H953),'Blind Scoring Sheet'!H953,VALUE(TRIM(LEFT('Blind Scoring Sheet'!H953,FIND("|",'Blind Scoring Sheet'!H953)-1))))</f>
        <v/>
      </c>
      <c r="G953" s="81">
        <f>IF(ISNUMBER('Blind Scoring Sheet'!J953),'Blind Scoring Sheet'!J953,VALUE(TRIM(LEFT('Blind Scoring Sheet'!J953,FIND("|",'Blind Scoring Sheet'!J953)-1))))</f>
        <v/>
      </c>
      <c r="H953" s="80">
        <f>IF(ISNUMBER(SEARCH("|",'Blind Scoring Sheet'!K953)),TRIM(LEFT('Blind Scoring Sheet'!K953,FIND("|",'Blind Scoring Sheet'!K953)-1)),TRIM('Blind Scoring Sheet'!K953))</f>
        <v/>
      </c>
    </row>
    <row r="954" ht="15" customHeight="1" s="38">
      <c r="A954" s="80">
        <f>'Blind Scoring Sheet'!A954</f>
        <v/>
      </c>
      <c r="B954" s="80">
        <f>MID(INDEX('Anonymization Key'!$B$4:$B$1003,MATCH(A954,'Anonymization Key'!$A$4:$A$1003,0)),3,2)</f>
        <v/>
      </c>
      <c r="C954" s="81">
        <f>IF(ISNUMBER('Blind Scoring Sheet'!B954),'Blind Scoring Sheet'!B954,VALUE(TRIM(LEFT('Blind Scoring Sheet'!B954,FIND("|",'Blind Scoring Sheet'!B954)-1))))</f>
        <v/>
      </c>
      <c r="D954" s="81">
        <f>IF(ISNUMBER('Blind Scoring Sheet'!D954),'Blind Scoring Sheet'!D954,VALUE(TRIM(LEFT('Blind Scoring Sheet'!D954,FIND("|",'Blind Scoring Sheet'!D954)-1))))</f>
        <v/>
      </c>
      <c r="E954" s="81">
        <f>IF(ISNUMBER('Blind Scoring Sheet'!F954),'Blind Scoring Sheet'!F954,VALUE(TRIM(LEFT('Blind Scoring Sheet'!F954,FIND("|",'Blind Scoring Sheet'!F954)-1))))</f>
        <v/>
      </c>
      <c r="F954" s="81">
        <f>IF(ISNUMBER('Blind Scoring Sheet'!H954),'Blind Scoring Sheet'!H954,VALUE(TRIM(LEFT('Blind Scoring Sheet'!H954,FIND("|",'Blind Scoring Sheet'!H954)-1))))</f>
        <v/>
      </c>
      <c r="G954" s="81">
        <f>IF(ISNUMBER('Blind Scoring Sheet'!J954),'Blind Scoring Sheet'!J954,VALUE(TRIM(LEFT('Blind Scoring Sheet'!J954,FIND("|",'Blind Scoring Sheet'!J954)-1))))</f>
        <v/>
      </c>
      <c r="H954" s="80">
        <f>IF(ISNUMBER(SEARCH("|",'Blind Scoring Sheet'!K954)),TRIM(LEFT('Blind Scoring Sheet'!K954,FIND("|",'Blind Scoring Sheet'!K954)-1)),TRIM('Blind Scoring Sheet'!K954))</f>
        <v/>
      </c>
    </row>
    <row r="955" ht="15" customHeight="1" s="38">
      <c r="A955" s="80">
        <f>'Blind Scoring Sheet'!A955</f>
        <v/>
      </c>
      <c r="B955" s="80">
        <f>MID(INDEX('Anonymization Key'!$B$4:$B$1003,MATCH(A955,'Anonymization Key'!$A$4:$A$1003,0)),3,2)</f>
        <v/>
      </c>
      <c r="C955" s="81">
        <f>IF(ISNUMBER('Blind Scoring Sheet'!B955),'Blind Scoring Sheet'!B955,VALUE(TRIM(LEFT('Blind Scoring Sheet'!B955,FIND("|",'Blind Scoring Sheet'!B955)-1))))</f>
        <v/>
      </c>
      <c r="D955" s="81">
        <f>IF(ISNUMBER('Blind Scoring Sheet'!D955),'Blind Scoring Sheet'!D955,VALUE(TRIM(LEFT('Blind Scoring Sheet'!D955,FIND("|",'Blind Scoring Sheet'!D955)-1))))</f>
        <v/>
      </c>
      <c r="E955" s="81">
        <f>IF(ISNUMBER('Blind Scoring Sheet'!F955),'Blind Scoring Sheet'!F955,VALUE(TRIM(LEFT('Blind Scoring Sheet'!F955,FIND("|",'Blind Scoring Sheet'!F955)-1))))</f>
        <v/>
      </c>
      <c r="F955" s="81">
        <f>IF(ISNUMBER('Blind Scoring Sheet'!H955),'Blind Scoring Sheet'!H955,VALUE(TRIM(LEFT('Blind Scoring Sheet'!H955,FIND("|",'Blind Scoring Sheet'!H955)-1))))</f>
        <v/>
      </c>
      <c r="G955" s="81">
        <f>IF(ISNUMBER('Blind Scoring Sheet'!J955),'Blind Scoring Sheet'!J955,VALUE(TRIM(LEFT('Blind Scoring Sheet'!J955,FIND("|",'Blind Scoring Sheet'!J955)-1))))</f>
        <v/>
      </c>
      <c r="H955" s="80">
        <f>IF(ISNUMBER(SEARCH("|",'Blind Scoring Sheet'!K955)),TRIM(LEFT('Blind Scoring Sheet'!K955,FIND("|",'Blind Scoring Sheet'!K955)-1)),TRIM('Blind Scoring Sheet'!K955))</f>
        <v/>
      </c>
    </row>
    <row r="956" ht="15" customHeight="1" s="38">
      <c r="A956" s="80">
        <f>'Blind Scoring Sheet'!A956</f>
        <v/>
      </c>
      <c r="B956" s="80">
        <f>MID(INDEX('Anonymization Key'!$B$4:$B$1003,MATCH(A956,'Anonymization Key'!$A$4:$A$1003,0)),3,2)</f>
        <v/>
      </c>
      <c r="C956" s="81">
        <f>IF(ISNUMBER('Blind Scoring Sheet'!B956),'Blind Scoring Sheet'!B956,VALUE(TRIM(LEFT('Blind Scoring Sheet'!B956,FIND("|",'Blind Scoring Sheet'!B956)-1))))</f>
        <v/>
      </c>
      <c r="D956" s="81">
        <f>IF(ISNUMBER('Blind Scoring Sheet'!D956),'Blind Scoring Sheet'!D956,VALUE(TRIM(LEFT('Blind Scoring Sheet'!D956,FIND("|",'Blind Scoring Sheet'!D956)-1))))</f>
        <v/>
      </c>
      <c r="E956" s="81">
        <f>IF(ISNUMBER('Blind Scoring Sheet'!F956),'Blind Scoring Sheet'!F956,VALUE(TRIM(LEFT('Blind Scoring Sheet'!F956,FIND("|",'Blind Scoring Sheet'!F956)-1))))</f>
        <v/>
      </c>
      <c r="F956" s="81">
        <f>IF(ISNUMBER('Blind Scoring Sheet'!H956),'Blind Scoring Sheet'!H956,VALUE(TRIM(LEFT('Blind Scoring Sheet'!H956,FIND("|",'Blind Scoring Sheet'!H956)-1))))</f>
        <v/>
      </c>
      <c r="G956" s="81">
        <f>IF(ISNUMBER('Blind Scoring Sheet'!J956),'Blind Scoring Sheet'!J956,VALUE(TRIM(LEFT('Blind Scoring Sheet'!J956,FIND("|",'Blind Scoring Sheet'!J956)-1))))</f>
        <v/>
      </c>
      <c r="H956" s="80">
        <f>IF(ISNUMBER(SEARCH("|",'Blind Scoring Sheet'!K956)),TRIM(LEFT('Blind Scoring Sheet'!K956,FIND("|",'Blind Scoring Sheet'!K956)-1)),TRIM('Blind Scoring Sheet'!K956))</f>
        <v/>
      </c>
    </row>
    <row r="957" ht="15" customHeight="1" s="38">
      <c r="A957" s="80">
        <f>'Blind Scoring Sheet'!A957</f>
        <v/>
      </c>
      <c r="B957" s="80">
        <f>MID(INDEX('Anonymization Key'!$B$4:$B$1003,MATCH(A957,'Anonymization Key'!$A$4:$A$1003,0)),3,2)</f>
        <v/>
      </c>
      <c r="C957" s="81">
        <f>IF(ISNUMBER('Blind Scoring Sheet'!B957),'Blind Scoring Sheet'!B957,VALUE(TRIM(LEFT('Blind Scoring Sheet'!B957,FIND("|",'Blind Scoring Sheet'!B957)-1))))</f>
        <v/>
      </c>
      <c r="D957" s="81">
        <f>IF(ISNUMBER('Blind Scoring Sheet'!D957),'Blind Scoring Sheet'!D957,VALUE(TRIM(LEFT('Blind Scoring Sheet'!D957,FIND("|",'Blind Scoring Sheet'!D957)-1))))</f>
        <v/>
      </c>
      <c r="E957" s="81">
        <f>IF(ISNUMBER('Blind Scoring Sheet'!F957),'Blind Scoring Sheet'!F957,VALUE(TRIM(LEFT('Blind Scoring Sheet'!F957,FIND("|",'Blind Scoring Sheet'!F957)-1))))</f>
        <v/>
      </c>
      <c r="F957" s="81">
        <f>IF(ISNUMBER('Blind Scoring Sheet'!H957),'Blind Scoring Sheet'!H957,VALUE(TRIM(LEFT('Blind Scoring Sheet'!H957,FIND("|",'Blind Scoring Sheet'!H957)-1))))</f>
        <v/>
      </c>
      <c r="G957" s="81">
        <f>IF(ISNUMBER('Blind Scoring Sheet'!J957),'Blind Scoring Sheet'!J957,VALUE(TRIM(LEFT('Blind Scoring Sheet'!J957,FIND("|",'Blind Scoring Sheet'!J957)-1))))</f>
        <v/>
      </c>
      <c r="H957" s="80">
        <f>IF(ISNUMBER(SEARCH("|",'Blind Scoring Sheet'!K957)),TRIM(LEFT('Blind Scoring Sheet'!K957,FIND("|",'Blind Scoring Sheet'!K957)-1)),TRIM('Blind Scoring Sheet'!K957))</f>
        <v/>
      </c>
    </row>
    <row r="958" ht="15" customHeight="1" s="38">
      <c r="A958" s="80">
        <f>'Blind Scoring Sheet'!A958</f>
        <v/>
      </c>
      <c r="B958" s="80">
        <f>MID(INDEX('Anonymization Key'!$B$4:$B$1003,MATCH(A958,'Anonymization Key'!$A$4:$A$1003,0)),3,2)</f>
        <v/>
      </c>
      <c r="C958" s="81">
        <f>IF(ISNUMBER('Blind Scoring Sheet'!B958),'Blind Scoring Sheet'!B958,VALUE(TRIM(LEFT('Blind Scoring Sheet'!B958,FIND("|",'Blind Scoring Sheet'!B958)-1))))</f>
        <v/>
      </c>
      <c r="D958" s="81">
        <f>IF(ISNUMBER('Blind Scoring Sheet'!D958),'Blind Scoring Sheet'!D958,VALUE(TRIM(LEFT('Blind Scoring Sheet'!D958,FIND("|",'Blind Scoring Sheet'!D958)-1))))</f>
        <v/>
      </c>
      <c r="E958" s="81">
        <f>IF(ISNUMBER('Blind Scoring Sheet'!F958),'Blind Scoring Sheet'!F958,VALUE(TRIM(LEFT('Blind Scoring Sheet'!F958,FIND("|",'Blind Scoring Sheet'!F958)-1))))</f>
        <v/>
      </c>
      <c r="F958" s="81">
        <f>IF(ISNUMBER('Blind Scoring Sheet'!H958),'Blind Scoring Sheet'!H958,VALUE(TRIM(LEFT('Blind Scoring Sheet'!H958,FIND("|",'Blind Scoring Sheet'!H958)-1))))</f>
        <v/>
      </c>
      <c r="G958" s="81">
        <f>IF(ISNUMBER('Blind Scoring Sheet'!J958),'Blind Scoring Sheet'!J958,VALUE(TRIM(LEFT('Blind Scoring Sheet'!J958,FIND("|",'Blind Scoring Sheet'!J958)-1))))</f>
        <v/>
      </c>
      <c r="H958" s="80">
        <f>IF(ISNUMBER(SEARCH("|",'Blind Scoring Sheet'!K958)),TRIM(LEFT('Blind Scoring Sheet'!K958,FIND("|",'Blind Scoring Sheet'!K958)-1)),TRIM('Blind Scoring Sheet'!K958))</f>
        <v/>
      </c>
    </row>
    <row r="959" ht="15" customHeight="1" s="38">
      <c r="A959" s="80">
        <f>'Blind Scoring Sheet'!A959</f>
        <v/>
      </c>
      <c r="B959" s="80">
        <f>MID(INDEX('Anonymization Key'!$B$4:$B$1003,MATCH(A959,'Anonymization Key'!$A$4:$A$1003,0)),3,2)</f>
        <v/>
      </c>
      <c r="C959" s="81">
        <f>IF(ISNUMBER('Blind Scoring Sheet'!B959),'Blind Scoring Sheet'!B959,VALUE(TRIM(LEFT('Blind Scoring Sheet'!B959,FIND("|",'Blind Scoring Sheet'!B959)-1))))</f>
        <v/>
      </c>
      <c r="D959" s="81">
        <f>IF(ISNUMBER('Blind Scoring Sheet'!D959),'Blind Scoring Sheet'!D959,VALUE(TRIM(LEFT('Blind Scoring Sheet'!D959,FIND("|",'Blind Scoring Sheet'!D959)-1))))</f>
        <v/>
      </c>
      <c r="E959" s="81">
        <f>IF(ISNUMBER('Blind Scoring Sheet'!F959),'Blind Scoring Sheet'!F959,VALUE(TRIM(LEFT('Blind Scoring Sheet'!F959,FIND("|",'Blind Scoring Sheet'!F959)-1))))</f>
        <v/>
      </c>
      <c r="F959" s="81">
        <f>IF(ISNUMBER('Blind Scoring Sheet'!H959),'Blind Scoring Sheet'!H959,VALUE(TRIM(LEFT('Blind Scoring Sheet'!H959,FIND("|",'Blind Scoring Sheet'!H959)-1))))</f>
        <v/>
      </c>
      <c r="G959" s="81">
        <f>IF(ISNUMBER('Blind Scoring Sheet'!J959),'Blind Scoring Sheet'!J959,VALUE(TRIM(LEFT('Blind Scoring Sheet'!J959,FIND("|",'Blind Scoring Sheet'!J959)-1))))</f>
        <v/>
      </c>
      <c r="H959" s="80">
        <f>IF(ISNUMBER(SEARCH("|",'Blind Scoring Sheet'!K959)),TRIM(LEFT('Blind Scoring Sheet'!K959,FIND("|",'Blind Scoring Sheet'!K959)-1)),TRIM('Blind Scoring Sheet'!K959))</f>
        <v/>
      </c>
    </row>
    <row r="960" ht="15" customHeight="1" s="38">
      <c r="A960" s="80">
        <f>'Blind Scoring Sheet'!A960</f>
        <v/>
      </c>
      <c r="B960" s="80">
        <f>MID(INDEX('Anonymization Key'!$B$4:$B$1003,MATCH(A960,'Anonymization Key'!$A$4:$A$1003,0)),3,2)</f>
        <v/>
      </c>
      <c r="C960" s="81">
        <f>IF(ISNUMBER('Blind Scoring Sheet'!B960),'Blind Scoring Sheet'!B960,VALUE(TRIM(LEFT('Blind Scoring Sheet'!B960,FIND("|",'Blind Scoring Sheet'!B960)-1))))</f>
        <v/>
      </c>
      <c r="D960" s="81">
        <f>IF(ISNUMBER('Blind Scoring Sheet'!D960),'Blind Scoring Sheet'!D960,VALUE(TRIM(LEFT('Blind Scoring Sheet'!D960,FIND("|",'Blind Scoring Sheet'!D960)-1))))</f>
        <v/>
      </c>
      <c r="E960" s="81">
        <f>IF(ISNUMBER('Blind Scoring Sheet'!F960),'Blind Scoring Sheet'!F960,VALUE(TRIM(LEFT('Blind Scoring Sheet'!F960,FIND("|",'Blind Scoring Sheet'!F960)-1))))</f>
        <v/>
      </c>
      <c r="F960" s="81">
        <f>IF(ISNUMBER('Blind Scoring Sheet'!H960),'Blind Scoring Sheet'!H960,VALUE(TRIM(LEFT('Blind Scoring Sheet'!H960,FIND("|",'Blind Scoring Sheet'!H960)-1))))</f>
        <v/>
      </c>
      <c r="G960" s="81">
        <f>IF(ISNUMBER('Blind Scoring Sheet'!J960),'Blind Scoring Sheet'!J960,VALUE(TRIM(LEFT('Blind Scoring Sheet'!J960,FIND("|",'Blind Scoring Sheet'!J960)-1))))</f>
        <v/>
      </c>
      <c r="H960" s="80">
        <f>IF(ISNUMBER(SEARCH("|",'Blind Scoring Sheet'!K960)),TRIM(LEFT('Blind Scoring Sheet'!K960,FIND("|",'Blind Scoring Sheet'!K960)-1)),TRIM('Blind Scoring Sheet'!K960))</f>
        <v/>
      </c>
    </row>
    <row r="961" ht="15" customHeight="1" s="38">
      <c r="A961" s="80">
        <f>'Blind Scoring Sheet'!A961</f>
        <v/>
      </c>
      <c r="B961" s="80">
        <f>MID(INDEX('Anonymization Key'!$B$4:$B$1003,MATCH(A961,'Anonymization Key'!$A$4:$A$1003,0)),3,2)</f>
        <v/>
      </c>
      <c r="C961" s="81">
        <f>IF(ISNUMBER('Blind Scoring Sheet'!B961),'Blind Scoring Sheet'!B961,VALUE(TRIM(LEFT('Blind Scoring Sheet'!B961,FIND("|",'Blind Scoring Sheet'!B961)-1))))</f>
        <v/>
      </c>
      <c r="D961" s="81">
        <f>IF(ISNUMBER('Blind Scoring Sheet'!D961),'Blind Scoring Sheet'!D961,VALUE(TRIM(LEFT('Blind Scoring Sheet'!D961,FIND("|",'Blind Scoring Sheet'!D961)-1))))</f>
        <v/>
      </c>
      <c r="E961" s="81">
        <f>IF(ISNUMBER('Blind Scoring Sheet'!F961),'Blind Scoring Sheet'!F961,VALUE(TRIM(LEFT('Blind Scoring Sheet'!F961,FIND("|",'Blind Scoring Sheet'!F961)-1))))</f>
        <v/>
      </c>
      <c r="F961" s="81">
        <f>IF(ISNUMBER('Blind Scoring Sheet'!H961),'Blind Scoring Sheet'!H961,VALUE(TRIM(LEFT('Blind Scoring Sheet'!H961,FIND("|",'Blind Scoring Sheet'!H961)-1))))</f>
        <v/>
      </c>
      <c r="G961" s="81">
        <f>IF(ISNUMBER('Blind Scoring Sheet'!J961),'Blind Scoring Sheet'!J961,VALUE(TRIM(LEFT('Blind Scoring Sheet'!J961,FIND("|",'Blind Scoring Sheet'!J961)-1))))</f>
        <v/>
      </c>
      <c r="H961" s="80">
        <f>IF(ISNUMBER(SEARCH("|",'Blind Scoring Sheet'!K961)),TRIM(LEFT('Blind Scoring Sheet'!K961,FIND("|",'Blind Scoring Sheet'!K961)-1)),TRIM('Blind Scoring Sheet'!K961))</f>
        <v/>
      </c>
    </row>
    <row r="962" ht="15" customHeight="1" s="38">
      <c r="A962" s="80">
        <f>'Blind Scoring Sheet'!A962</f>
        <v/>
      </c>
      <c r="B962" s="80">
        <f>MID(INDEX('Anonymization Key'!$B$4:$B$1003,MATCH(A962,'Anonymization Key'!$A$4:$A$1003,0)),3,2)</f>
        <v/>
      </c>
      <c r="C962" s="81">
        <f>IF(ISNUMBER('Blind Scoring Sheet'!B962),'Blind Scoring Sheet'!B962,VALUE(TRIM(LEFT('Blind Scoring Sheet'!B962,FIND("|",'Blind Scoring Sheet'!B962)-1))))</f>
        <v/>
      </c>
      <c r="D962" s="81">
        <f>IF(ISNUMBER('Blind Scoring Sheet'!D962),'Blind Scoring Sheet'!D962,VALUE(TRIM(LEFT('Blind Scoring Sheet'!D962,FIND("|",'Blind Scoring Sheet'!D962)-1))))</f>
        <v/>
      </c>
      <c r="E962" s="81">
        <f>IF(ISNUMBER('Blind Scoring Sheet'!F962),'Blind Scoring Sheet'!F962,VALUE(TRIM(LEFT('Blind Scoring Sheet'!F962,FIND("|",'Blind Scoring Sheet'!F962)-1))))</f>
        <v/>
      </c>
      <c r="F962" s="81">
        <f>IF(ISNUMBER('Blind Scoring Sheet'!H962),'Blind Scoring Sheet'!H962,VALUE(TRIM(LEFT('Blind Scoring Sheet'!H962,FIND("|",'Blind Scoring Sheet'!H962)-1))))</f>
        <v/>
      </c>
      <c r="G962" s="81">
        <f>IF(ISNUMBER('Blind Scoring Sheet'!J962),'Blind Scoring Sheet'!J962,VALUE(TRIM(LEFT('Blind Scoring Sheet'!J962,FIND("|",'Blind Scoring Sheet'!J962)-1))))</f>
        <v/>
      </c>
      <c r="H962" s="80">
        <f>IF(ISNUMBER(SEARCH("|",'Blind Scoring Sheet'!K962)),TRIM(LEFT('Blind Scoring Sheet'!K962,FIND("|",'Blind Scoring Sheet'!K962)-1)),TRIM('Blind Scoring Sheet'!K962))</f>
        <v/>
      </c>
    </row>
    <row r="963" ht="15" customHeight="1" s="38">
      <c r="A963" s="80">
        <f>'Blind Scoring Sheet'!A963</f>
        <v/>
      </c>
      <c r="B963" s="80">
        <f>MID(INDEX('Anonymization Key'!$B$4:$B$1003,MATCH(A963,'Anonymization Key'!$A$4:$A$1003,0)),3,2)</f>
        <v/>
      </c>
      <c r="C963" s="81">
        <f>IF(ISNUMBER('Blind Scoring Sheet'!B963),'Blind Scoring Sheet'!B963,VALUE(TRIM(LEFT('Blind Scoring Sheet'!B963,FIND("|",'Blind Scoring Sheet'!B963)-1))))</f>
        <v/>
      </c>
      <c r="D963" s="81">
        <f>IF(ISNUMBER('Blind Scoring Sheet'!D963),'Blind Scoring Sheet'!D963,VALUE(TRIM(LEFT('Blind Scoring Sheet'!D963,FIND("|",'Blind Scoring Sheet'!D963)-1))))</f>
        <v/>
      </c>
      <c r="E963" s="81">
        <f>IF(ISNUMBER('Blind Scoring Sheet'!F963),'Blind Scoring Sheet'!F963,VALUE(TRIM(LEFT('Blind Scoring Sheet'!F963,FIND("|",'Blind Scoring Sheet'!F963)-1))))</f>
        <v/>
      </c>
      <c r="F963" s="81">
        <f>IF(ISNUMBER('Blind Scoring Sheet'!H963),'Blind Scoring Sheet'!H963,VALUE(TRIM(LEFT('Blind Scoring Sheet'!H963,FIND("|",'Blind Scoring Sheet'!H963)-1))))</f>
        <v/>
      </c>
      <c r="G963" s="81">
        <f>IF(ISNUMBER('Blind Scoring Sheet'!J963),'Blind Scoring Sheet'!J963,VALUE(TRIM(LEFT('Blind Scoring Sheet'!J963,FIND("|",'Blind Scoring Sheet'!J963)-1))))</f>
        <v/>
      </c>
      <c r="H963" s="80">
        <f>IF(ISNUMBER(SEARCH("|",'Blind Scoring Sheet'!K963)),TRIM(LEFT('Blind Scoring Sheet'!K963,FIND("|",'Blind Scoring Sheet'!K963)-1)),TRIM('Blind Scoring Sheet'!K963))</f>
        <v/>
      </c>
    </row>
    <row r="964" ht="15" customHeight="1" s="38">
      <c r="A964" s="80">
        <f>'Blind Scoring Sheet'!A964</f>
        <v/>
      </c>
      <c r="B964" s="80">
        <f>MID(INDEX('Anonymization Key'!$B$4:$B$1003,MATCH(A964,'Anonymization Key'!$A$4:$A$1003,0)),3,2)</f>
        <v/>
      </c>
      <c r="C964" s="81">
        <f>IF(ISNUMBER('Blind Scoring Sheet'!B964),'Blind Scoring Sheet'!B964,VALUE(TRIM(LEFT('Blind Scoring Sheet'!B964,FIND("|",'Blind Scoring Sheet'!B964)-1))))</f>
        <v/>
      </c>
      <c r="D964" s="81">
        <f>IF(ISNUMBER('Blind Scoring Sheet'!D964),'Blind Scoring Sheet'!D964,VALUE(TRIM(LEFT('Blind Scoring Sheet'!D964,FIND("|",'Blind Scoring Sheet'!D964)-1))))</f>
        <v/>
      </c>
      <c r="E964" s="81">
        <f>IF(ISNUMBER('Blind Scoring Sheet'!F964),'Blind Scoring Sheet'!F964,VALUE(TRIM(LEFT('Blind Scoring Sheet'!F964,FIND("|",'Blind Scoring Sheet'!F964)-1))))</f>
        <v/>
      </c>
      <c r="F964" s="81">
        <f>IF(ISNUMBER('Blind Scoring Sheet'!H964),'Blind Scoring Sheet'!H964,VALUE(TRIM(LEFT('Blind Scoring Sheet'!H964,FIND("|",'Blind Scoring Sheet'!H964)-1))))</f>
        <v/>
      </c>
      <c r="G964" s="81">
        <f>IF(ISNUMBER('Blind Scoring Sheet'!J964),'Blind Scoring Sheet'!J964,VALUE(TRIM(LEFT('Blind Scoring Sheet'!J964,FIND("|",'Blind Scoring Sheet'!J964)-1))))</f>
        <v/>
      </c>
      <c r="H964" s="80">
        <f>IF(ISNUMBER(SEARCH("|",'Blind Scoring Sheet'!K964)),TRIM(LEFT('Blind Scoring Sheet'!K964,FIND("|",'Blind Scoring Sheet'!K964)-1)),TRIM('Blind Scoring Sheet'!K964))</f>
        <v/>
      </c>
    </row>
    <row r="965" ht="15" customHeight="1" s="38">
      <c r="A965" s="80">
        <f>'Blind Scoring Sheet'!A965</f>
        <v/>
      </c>
      <c r="B965" s="80">
        <f>MID(INDEX('Anonymization Key'!$B$4:$B$1003,MATCH(A965,'Anonymization Key'!$A$4:$A$1003,0)),3,2)</f>
        <v/>
      </c>
      <c r="C965" s="81">
        <f>IF(ISNUMBER('Blind Scoring Sheet'!B965),'Blind Scoring Sheet'!B965,VALUE(TRIM(LEFT('Blind Scoring Sheet'!B965,FIND("|",'Blind Scoring Sheet'!B965)-1))))</f>
        <v/>
      </c>
      <c r="D965" s="81">
        <f>IF(ISNUMBER('Blind Scoring Sheet'!D965),'Blind Scoring Sheet'!D965,VALUE(TRIM(LEFT('Blind Scoring Sheet'!D965,FIND("|",'Blind Scoring Sheet'!D965)-1))))</f>
        <v/>
      </c>
      <c r="E965" s="81">
        <f>IF(ISNUMBER('Blind Scoring Sheet'!F965),'Blind Scoring Sheet'!F965,VALUE(TRIM(LEFT('Blind Scoring Sheet'!F965,FIND("|",'Blind Scoring Sheet'!F965)-1))))</f>
        <v/>
      </c>
      <c r="F965" s="81">
        <f>IF(ISNUMBER('Blind Scoring Sheet'!H965),'Blind Scoring Sheet'!H965,VALUE(TRIM(LEFT('Blind Scoring Sheet'!H965,FIND("|",'Blind Scoring Sheet'!H965)-1))))</f>
        <v/>
      </c>
      <c r="G965" s="81">
        <f>IF(ISNUMBER('Blind Scoring Sheet'!J965),'Blind Scoring Sheet'!J965,VALUE(TRIM(LEFT('Blind Scoring Sheet'!J965,FIND("|",'Blind Scoring Sheet'!J965)-1))))</f>
        <v/>
      </c>
      <c r="H965" s="80">
        <f>IF(ISNUMBER(SEARCH("|",'Blind Scoring Sheet'!K965)),TRIM(LEFT('Blind Scoring Sheet'!K965,FIND("|",'Blind Scoring Sheet'!K965)-1)),TRIM('Blind Scoring Sheet'!K965))</f>
        <v/>
      </c>
    </row>
    <row r="966" ht="15" customHeight="1" s="38">
      <c r="A966" s="80">
        <f>'Blind Scoring Sheet'!A966</f>
        <v/>
      </c>
      <c r="B966" s="80">
        <f>MID(INDEX('Anonymization Key'!$B$4:$B$1003,MATCH(A966,'Anonymization Key'!$A$4:$A$1003,0)),3,2)</f>
        <v/>
      </c>
      <c r="C966" s="81">
        <f>IF(ISNUMBER('Blind Scoring Sheet'!B966),'Blind Scoring Sheet'!B966,VALUE(TRIM(LEFT('Blind Scoring Sheet'!B966,FIND("|",'Blind Scoring Sheet'!B966)-1))))</f>
        <v/>
      </c>
      <c r="D966" s="81">
        <f>IF(ISNUMBER('Blind Scoring Sheet'!D966),'Blind Scoring Sheet'!D966,VALUE(TRIM(LEFT('Blind Scoring Sheet'!D966,FIND("|",'Blind Scoring Sheet'!D966)-1))))</f>
        <v/>
      </c>
      <c r="E966" s="81">
        <f>IF(ISNUMBER('Blind Scoring Sheet'!F966),'Blind Scoring Sheet'!F966,VALUE(TRIM(LEFT('Blind Scoring Sheet'!F966,FIND("|",'Blind Scoring Sheet'!F966)-1))))</f>
        <v/>
      </c>
      <c r="F966" s="81">
        <f>IF(ISNUMBER('Blind Scoring Sheet'!H966),'Blind Scoring Sheet'!H966,VALUE(TRIM(LEFT('Blind Scoring Sheet'!H966,FIND("|",'Blind Scoring Sheet'!H966)-1))))</f>
        <v/>
      </c>
      <c r="G966" s="81">
        <f>IF(ISNUMBER('Blind Scoring Sheet'!J966),'Blind Scoring Sheet'!J966,VALUE(TRIM(LEFT('Blind Scoring Sheet'!J966,FIND("|",'Blind Scoring Sheet'!J966)-1))))</f>
        <v/>
      </c>
      <c r="H966" s="80">
        <f>IF(ISNUMBER(SEARCH("|",'Blind Scoring Sheet'!K966)),TRIM(LEFT('Blind Scoring Sheet'!K966,FIND("|",'Blind Scoring Sheet'!K966)-1)),TRIM('Blind Scoring Sheet'!K966))</f>
        <v/>
      </c>
    </row>
    <row r="967" ht="15" customHeight="1" s="38">
      <c r="A967" s="80">
        <f>'Blind Scoring Sheet'!A967</f>
        <v/>
      </c>
      <c r="B967" s="80">
        <f>MID(INDEX('Anonymization Key'!$B$4:$B$1003,MATCH(A967,'Anonymization Key'!$A$4:$A$1003,0)),3,2)</f>
        <v/>
      </c>
      <c r="C967" s="81">
        <f>IF(ISNUMBER('Blind Scoring Sheet'!B967),'Blind Scoring Sheet'!B967,VALUE(TRIM(LEFT('Blind Scoring Sheet'!B967,FIND("|",'Blind Scoring Sheet'!B967)-1))))</f>
        <v/>
      </c>
      <c r="D967" s="81">
        <f>IF(ISNUMBER('Blind Scoring Sheet'!D967),'Blind Scoring Sheet'!D967,VALUE(TRIM(LEFT('Blind Scoring Sheet'!D967,FIND("|",'Blind Scoring Sheet'!D967)-1))))</f>
        <v/>
      </c>
      <c r="E967" s="81">
        <f>IF(ISNUMBER('Blind Scoring Sheet'!F967),'Blind Scoring Sheet'!F967,VALUE(TRIM(LEFT('Blind Scoring Sheet'!F967,FIND("|",'Blind Scoring Sheet'!F967)-1))))</f>
        <v/>
      </c>
      <c r="F967" s="81">
        <f>IF(ISNUMBER('Blind Scoring Sheet'!H967),'Blind Scoring Sheet'!H967,VALUE(TRIM(LEFT('Blind Scoring Sheet'!H967,FIND("|",'Blind Scoring Sheet'!H967)-1))))</f>
        <v/>
      </c>
      <c r="G967" s="81">
        <f>IF(ISNUMBER('Blind Scoring Sheet'!J967),'Blind Scoring Sheet'!J967,VALUE(TRIM(LEFT('Blind Scoring Sheet'!J967,FIND("|",'Blind Scoring Sheet'!J967)-1))))</f>
        <v/>
      </c>
      <c r="H967" s="80">
        <f>IF(ISNUMBER(SEARCH("|",'Blind Scoring Sheet'!K967)),TRIM(LEFT('Blind Scoring Sheet'!K967,FIND("|",'Blind Scoring Sheet'!K967)-1)),TRIM('Blind Scoring Sheet'!K967))</f>
        <v/>
      </c>
    </row>
    <row r="968" ht="15" customHeight="1" s="38">
      <c r="A968" s="80">
        <f>'Blind Scoring Sheet'!A968</f>
        <v/>
      </c>
      <c r="B968" s="80">
        <f>MID(INDEX('Anonymization Key'!$B$4:$B$1003,MATCH(A968,'Anonymization Key'!$A$4:$A$1003,0)),3,2)</f>
        <v/>
      </c>
      <c r="C968" s="81">
        <f>IF(ISNUMBER('Blind Scoring Sheet'!B968),'Blind Scoring Sheet'!B968,VALUE(TRIM(LEFT('Blind Scoring Sheet'!B968,FIND("|",'Blind Scoring Sheet'!B968)-1))))</f>
        <v/>
      </c>
      <c r="D968" s="81">
        <f>IF(ISNUMBER('Blind Scoring Sheet'!D968),'Blind Scoring Sheet'!D968,VALUE(TRIM(LEFT('Blind Scoring Sheet'!D968,FIND("|",'Blind Scoring Sheet'!D968)-1))))</f>
        <v/>
      </c>
      <c r="E968" s="81">
        <f>IF(ISNUMBER('Blind Scoring Sheet'!F968),'Blind Scoring Sheet'!F968,VALUE(TRIM(LEFT('Blind Scoring Sheet'!F968,FIND("|",'Blind Scoring Sheet'!F968)-1))))</f>
        <v/>
      </c>
      <c r="F968" s="81">
        <f>IF(ISNUMBER('Blind Scoring Sheet'!H968),'Blind Scoring Sheet'!H968,VALUE(TRIM(LEFT('Blind Scoring Sheet'!H968,FIND("|",'Blind Scoring Sheet'!H968)-1))))</f>
        <v/>
      </c>
      <c r="G968" s="81">
        <f>IF(ISNUMBER('Blind Scoring Sheet'!J968),'Blind Scoring Sheet'!J968,VALUE(TRIM(LEFT('Blind Scoring Sheet'!J968,FIND("|",'Blind Scoring Sheet'!J968)-1))))</f>
        <v/>
      </c>
      <c r="H968" s="80">
        <f>IF(ISNUMBER(SEARCH("|",'Blind Scoring Sheet'!K968)),TRIM(LEFT('Blind Scoring Sheet'!K968,FIND("|",'Blind Scoring Sheet'!K968)-1)),TRIM('Blind Scoring Sheet'!K968))</f>
        <v/>
      </c>
    </row>
    <row r="969" ht="15" customHeight="1" s="38">
      <c r="A969" s="80">
        <f>'Blind Scoring Sheet'!A969</f>
        <v/>
      </c>
      <c r="B969" s="80">
        <f>MID(INDEX('Anonymization Key'!$B$4:$B$1003,MATCH(A969,'Anonymization Key'!$A$4:$A$1003,0)),3,2)</f>
        <v/>
      </c>
      <c r="C969" s="81">
        <f>IF(ISNUMBER('Blind Scoring Sheet'!B969),'Blind Scoring Sheet'!B969,VALUE(TRIM(LEFT('Blind Scoring Sheet'!B969,FIND("|",'Blind Scoring Sheet'!B969)-1))))</f>
        <v/>
      </c>
      <c r="D969" s="81">
        <f>IF(ISNUMBER('Blind Scoring Sheet'!D969),'Blind Scoring Sheet'!D969,VALUE(TRIM(LEFT('Blind Scoring Sheet'!D969,FIND("|",'Blind Scoring Sheet'!D969)-1))))</f>
        <v/>
      </c>
      <c r="E969" s="81">
        <f>IF(ISNUMBER('Blind Scoring Sheet'!F969),'Blind Scoring Sheet'!F969,VALUE(TRIM(LEFT('Blind Scoring Sheet'!F969,FIND("|",'Blind Scoring Sheet'!F969)-1))))</f>
        <v/>
      </c>
      <c r="F969" s="81">
        <f>IF(ISNUMBER('Blind Scoring Sheet'!H969),'Blind Scoring Sheet'!H969,VALUE(TRIM(LEFT('Blind Scoring Sheet'!H969,FIND("|",'Blind Scoring Sheet'!H969)-1))))</f>
        <v/>
      </c>
      <c r="G969" s="81">
        <f>IF(ISNUMBER('Blind Scoring Sheet'!J969),'Blind Scoring Sheet'!J969,VALUE(TRIM(LEFT('Blind Scoring Sheet'!J969,FIND("|",'Blind Scoring Sheet'!J969)-1))))</f>
        <v/>
      </c>
      <c r="H969" s="80">
        <f>IF(ISNUMBER(SEARCH("|",'Blind Scoring Sheet'!K969)),TRIM(LEFT('Blind Scoring Sheet'!K969,FIND("|",'Blind Scoring Sheet'!K969)-1)),TRIM('Blind Scoring Sheet'!K969))</f>
        <v/>
      </c>
    </row>
    <row r="970" ht="15" customHeight="1" s="38">
      <c r="A970" s="80">
        <f>'Blind Scoring Sheet'!A970</f>
        <v/>
      </c>
      <c r="B970" s="80">
        <f>MID(INDEX('Anonymization Key'!$B$4:$B$1003,MATCH(A970,'Anonymization Key'!$A$4:$A$1003,0)),3,2)</f>
        <v/>
      </c>
      <c r="C970" s="81">
        <f>IF(ISNUMBER('Blind Scoring Sheet'!B970),'Blind Scoring Sheet'!B970,VALUE(TRIM(LEFT('Blind Scoring Sheet'!B970,FIND("|",'Blind Scoring Sheet'!B970)-1))))</f>
        <v/>
      </c>
      <c r="D970" s="81">
        <f>IF(ISNUMBER('Blind Scoring Sheet'!D970),'Blind Scoring Sheet'!D970,VALUE(TRIM(LEFT('Blind Scoring Sheet'!D970,FIND("|",'Blind Scoring Sheet'!D970)-1))))</f>
        <v/>
      </c>
      <c r="E970" s="81">
        <f>IF(ISNUMBER('Blind Scoring Sheet'!F970),'Blind Scoring Sheet'!F970,VALUE(TRIM(LEFT('Blind Scoring Sheet'!F970,FIND("|",'Blind Scoring Sheet'!F970)-1))))</f>
        <v/>
      </c>
      <c r="F970" s="81">
        <f>IF(ISNUMBER('Blind Scoring Sheet'!H970),'Blind Scoring Sheet'!H970,VALUE(TRIM(LEFT('Blind Scoring Sheet'!H970,FIND("|",'Blind Scoring Sheet'!H970)-1))))</f>
        <v/>
      </c>
      <c r="G970" s="81">
        <f>IF(ISNUMBER('Blind Scoring Sheet'!J970),'Blind Scoring Sheet'!J970,VALUE(TRIM(LEFT('Blind Scoring Sheet'!J970,FIND("|",'Blind Scoring Sheet'!J970)-1))))</f>
        <v/>
      </c>
      <c r="H970" s="80">
        <f>IF(ISNUMBER(SEARCH("|",'Blind Scoring Sheet'!K970)),TRIM(LEFT('Blind Scoring Sheet'!K970,FIND("|",'Blind Scoring Sheet'!K970)-1)),TRIM('Blind Scoring Sheet'!K970))</f>
        <v/>
      </c>
    </row>
    <row r="971" ht="15" customHeight="1" s="38">
      <c r="A971" s="80">
        <f>'Blind Scoring Sheet'!A971</f>
        <v/>
      </c>
      <c r="B971" s="80">
        <f>MID(INDEX('Anonymization Key'!$B$4:$B$1003,MATCH(A971,'Anonymization Key'!$A$4:$A$1003,0)),3,2)</f>
        <v/>
      </c>
      <c r="C971" s="81">
        <f>IF(ISNUMBER('Blind Scoring Sheet'!B971),'Blind Scoring Sheet'!B971,VALUE(TRIM(LEFT('Blind Scoring Sheet'!B971,FIND("|",'Blind Scoring Sheet'!B971)-1))))</f>
        <v/>
      </c>
      <c r="D971" s="81">
        <f>IF(ISNUMBER('Blind Scoring Sheet'!D971),'Blind Scoring Sheet'!D971,VALUE(TRIM(LEFT('Blind Scoring Sheet'!D971,FIND("|",'Blind Scoring Sheet'!D971)-1))))</f>
        <v/>
      </c>
      <c r="E971" s="81">
        <f>IF(ISNUMBER('Blind Scoring Sheet'!F971),'Blind Scoring Sheet'!F971,VALUE(TRIM(LEFT('Blind Scoring Sheet'!F971,FIND("|",'Blind Scoring Sheet'!F971)-1))))</f>
        <v/>
      </c>
      <c r="F971" s="81">
        <f>IF(ISNUMBER('Blind Scoring Sheet'!H971),'Blind Scoring Sheet'!H971,VALUE(TRIM(LEFT('Blind Scoring Sheet'!H971,FIND("|",'Blind Scoring Sheet'!H971)-1))))</f>
        <v/>
      </c>
      <c r="G971" s="81">
        <f>IF(ISNUMBER('Blind Scoring Sheet'!J971),'Blind Scoring Sheet'!J971,VALUE(TRIM(LEFT('Blind Scoring Sheet'!J971,FIND("|",'Blind Scoring Sheet'!J971)-1))))</f>
        <v/>
      </c>
      <c r="H971" s="80">
        <f>IF(ISNUMBER(SEARCH("|",'Blind Scoring Sheet'!K971)),TRIM(LEFT('Blind Scoring Sheet'!K971,FIND("|",'Blind Scoring Sheet'!K971)-1)),TRIM('Blind Scoring Sheet'!K971))</f>
        <v/>
      </c>
    </row>
    <row r="972" ht="15" customHeight="1" s="38">
      <c r="A972" s="80">
        <f>'Blind Scoring Sheet'!A972</f>
        <v/>
      </c>
      <c r="B972" s="80">
        <f>MID(INDEX('Anonymization Key'!$B$4:$B$1003,MATCH(A972,'Anonymization Key'!$A$4:$A$1003,0)),3,2)</f>
        <v/>
      </c>
      <c r="C972" s="81">
        <f>IF(ISNUMBER('Blind Scoring Sheet'!B972),'Blind Scoring Sheet'!B972,VALUE(TRIM(LEFT('Blind Scoring Sheet'!B972,FIND("|",'Blind Scoring Sheet'!B972)-1))))</f>
        <v/>
      </c>
      <c r="D972" s="81">
        <f>IF(ISNUMBER('Blind Scoring Sheet'!D972),'Blind Scoring Sheet'!D972,VALUE(TRIM(LEFT('Blind Scoring Sheet'!D972,FIND("|",'Blind Scoring Sheet'!D972)-1))))</f>
        <v/>
      </c>
      <c r="E972" s="81">
        <f>IF(ISNUMBER('Blind Scoring Sheet'!F972),'Blind Scoring Sheet'!F972,VALUE(TRIM(LEFT('Blind Scoring Sheet'!F972,FIND("|",'Blind Scoring Sheet'!F972)-1))))</f>
        <v/>
      </c>
      <c r="F972" s="81">
        <f>IF(ISNUMBER('Blind Scoring Sheet'!H972),'Blind Scoring Sheet'!H972,VALUE(TRIM(LEFT('Blind Scoring Sheet'!H972,FIND("|",'Blind Scoring Sheet'!H972)-1))))</f>
        <v/>
      </c>
      <c r="G972" s="81">
        <f>IF(ISNUMBER('Blind Scoring Sheet'!J972),'Blind Scoring Sheet'!J972,VALUE(TRIM(LEFT('Blind Scoring Sheet'!J972,FIND("|",'Blind Scoring Sheet'!J972)-1))))</f>
        <v/>
      </c>
      <c r="H972" s="80">
        <f>IF(ISNUMBER(SEARCH("|",'Blind Scoring Sheet'!K972)),TRIM(LEFT('Blind Scoring Sheet'!K972,FIND("|",'Blind Scoring Sheet'!K972)-1)),TRIM('Blind Scoring Sheet'!K972))</f>
        <v/>
      </c>
    </row>
    <row r="973" ht="15" customHeight="1" s="38">
      <c r="A973" s="80">
        <f>'Blind Scoring Sheet'!A973</f>
        <v/>
      </c>
      <c r="B973" s="80">
        <f>MID(INDEX('Anonymization Key'!$B$4:$B$1003,MATCH(A973,'Anonymization Key'!$A$4:$A$1003,0)),3,2)</f>
        <v/>
      </c>
      <c r="C973" s="81">
        <f>IF(ISNUMBER('Blind Scoring Sheet'!B973),'Blind Scoring Sheet'!B973,VALUE(TRIM(LEFT('Blind Scoring Sheet'!B973,FIND("|",'Blind Scoring Sheet'!B973)-1))))</f>
        <v/>
      </c>
      <c r="D973" s="81">
        <f>IF(ISNUMBER('Blind Scoring Sheet'!D973),'Blind Scoring Sheet'!D973,VALUE(TRIM(LEFT('Blind Scoring Sheet'!D973,FIND("|",'Blind Scoring Sheet'!D973)-1))))</f>
        <v/>
      </c>
      <c r="E973" s="81">
        <f>IF(ISNUMBER('Blind Scoring Sheet'!F973),'Blind Scoring Sheet'!F973,VALUE(TRIM(LEFT('Blind Scoring Sheet'!F973,FIND("|",'Blind Scoring Sheet'!F973)-1))))</f>
        <v/>
      </c>
      <c r="F973" s="81">
        <f>IF(ISNUMBER('Blind Scoring Sheet'!H973),'Blind Scoring Sheet'!H973,VALUE(TRIM(LEFT('Blind Scoring Sheet'!H973,FIND("|",'Blind Scoring Sheet'!H973)-1))))</f>
        <v/>
      </c>
      <c r="G973" s="81">
        <f>IF(ISNUMBER('Blind Scoring Sheet'!J973),'Blind Scoring Sheet'!J973,VALUE(TRIM(LEFT('Blind Scoring Sheet'!J973,FIND("|",'Blind Scoring Sheet'!J973)-1))))</f>
        <v/>
      </c>
      <c r="H973" s="80">
        <f>IF(ISNUMBER(SEARCH("|",'Blind Scoring Sheet'!K973)),TRIM(LEFT('Blind Scoring Sheet'!K973,FIND("|",'Blind Scoring Sheet'!K973)-1)),TRIM('Blind Scoring Sheet'!K973))</f>
        <v/>
      </c>
    </row>
    <row r="974" ht="15" customHeight="1" s="38">
      <c r="A974" s="80">
        <f>'Blind Scoring Sheet'!A974</f>
        <v/>
      </c>
      <c r="B974" s="80">
        <f>MID(INDEX('Anonymization Key'!$B$4:$B$1003,MATCH(A974,'Anonymization Key'!$A$4:$A$1003,0)),3,2)</f>
        <v/>
      </c>
      <c r="C974" s="81">
        <f>IF(ISNUMBER('Blind Scoring Sheet'!B974),'Blind Scoring Sheet'!B974,VALUE(TRIM(LEFT('Blind Scoring Sheet'!B974,FIND("|",'Blind Scoring Sheet'!B974)-1))))</f>
        <v/>
      </c>
      <c r="D974" s="81">
        <f>IF(ISNUMBER('Blind Scoring Sheet'!D974),'Blind Scoring Sheet'!D974,VALUE(TRIM(LEFT('Blind Scoring Sheet'!D974,FIND("|",'Blind Scoring Sheet'!D974)-1))))</f>
        <v/>
      </c>
      <c r="E974" s="81">
        <f>IF(ISNUMBER('Blind Scoring Sheet'!F974),'Blind Scoring Sheet'!F974,VALUE(TRIM(LEFT('Blind Scoring Sheet'!F974,FIND("|",'Blind Scoring Sheet'!F974)-1))))</f>
        <v/>
      </c>
      <c r="F974" s="81">
        <f>IF(ISNUMBER('Blind Scoring Sheet'!H974),'Blind Scoring Sheet'!H974,VALUE(TRIM(LEFT('Blind Scoring Sheet'!H974,FIND("|",'Blind Scoring Sheet'!H974)-1))))</f>
        <v/>
      </c>
      <c r="G974" s="81">
        <f>IF(ISNUMBER('Blind Scoring Sheet'!J974),'Blind Scoring Sheet'!J974,VALUE(TRIM(LEFT('Blind Scoring Sheet'!J974,FIND("|",'Blind Scoring Sheet'!J974)-1))))</f>
        <v/>
      </c>
      <c r="H974" s="80">
        <f>IF(ISNUMBER(SEARCH("|",'Blind Scoring Sheet'!K974)),TRIM(LEFT('Blind Scoring Sheet'!K974,FIND("|",'Blind Scoring Sheet'!K974)-1)),TRIM('Blind Scoring Sheet'!K974))</f>
        <v/>
      </c>
    </row>
    <row r="975" ht="15" customHeight="1" s="38">
      <c r="A975" s="80">
        <f>'Blind Scoring Sheet'!A975</f>
        <v/>
      </c>
      <c r="B975" s="80">
        <f>MID(INDEX('Anonymization Key'!$B$4:$B$1003,MATCH(A975,'Anonymization Key'!$A$4:$A$1003,0)),3,2)</f>
        <v/>
      </c>
      <c r="C975" s="81">
        <f>IF(ISNUMBER('Blind Scoring Sheet'!B975),'Blind Scoring Sheet'!B975,VALUE(TRIM(LEFT('Blind Scoring Sheet'!B975,FIND("|",'Blind Scoring Sheet'!B975)-1))))</f>
        <v/>
      </c>
      <c r="D975" s="81">
        <f>IF(ISNUMBER('Blind Scoring Sheet'!D975),'Blind Scoring Sheet'!D975,VALUE(TRIM(LEFT('Blind Scoring Sheet'!D975,FIND("|",'Blind Scoring Sheet'!D975)-1))))</f>
        <v/>
      </c>
      <c r="E975" s="81">
        <f>IF(ISNUMBER('Blind Scoring Sheet'!F975),'Blind Scoring Sheet'!F975,VALUE(TRIM(LEFT('Blind Scoring Sheet'!F975,FIND("|",'Blind Scoring Sheet'!F975)-1))))</f>
        <v/>
      </c>
      <c r="F975" s="81">
        <f>IF(ISNUMBER('Blind Scoring Sheet'!H975),'Blind Scoring Sheet'!H975,VALUE(TRIM(LEFT('Blind Scoring Sheet'!H975,FIND("|",'Blind Scoring Sheet'!H975)-1))))</f>
        <v/>
      </c>
      <c r="G975" s="81">
        <f>IF(ISNUMBER('Blind Scoring Sheet'!J975),'Blind Scoring Sheet'!J975,VALUE(TRIM(LEFT('Blind Scoring Sheet'!J975,FIND("|",'Blind Scoring Sheet'!J975)-1))))</f>
        <v/>
      </c>
      <c r="H975" s="80">
        <f>IF(ISNUMBER(SEARCH("|",'Blind Scoring Sheet'!K975)),TRIM(LEFT('Blind Scoring Sheet'!K975,FIND("|",'Blind Scoring Sheet'!K975)-1)),TRIM('Blind Scoring Sheet'!K975))</f>
        <v/>
      </c>
    </row>
    <row r="976" ht="15" customHeight="1" s="38">
      <c r="A976" s="80">
        <f>'Blind Scoring Sheet'!A976</f>
        <v/>
      </c>
      <c r="B976" s="80">
        <f>MID(INDEX('Anonymization Key'!$B$4:$B$1003,MATCH(A976,'Anonymization Key'!$A$4:$A$1003,0)),3,2)</f>
        <v/>
      </c>
      <c r="C976" s="81">
        <f>IF(ISNUMBER('Blind Scoring Sheet'!B976),'Blind Scoring Sheet'!B976,VALUE(TRIM(LEFT('Blind Scoring Sheet'!B976,FIND("|",'Blind Scoring Sheet'!B976)-1))))</f>
        <v/>
      </c>
      <c r="D976" s="81">
        <f>IF(ISNUMBER('Blind Scoring Sheet'!D976),'Blind Scoring Sheet'!D976,VALUE(TRIM(LEFT('Blind Scoring Sheet'!D976,FIND("|",'Blind Scoring Sheet'!D976)-1))))</f>
        <v/>
      </c>
      <c r="E976" s="81">
        <f>IF(ISNUMBER('Blind Scoring Sheet'!F976),'Blind Scoring Sheet'!F976,VALUE(TRIM(LEFT('Blind Scoring Sheet'!F976,FIND("|",'Blind Scoring Sheet'!F976)-1))))</f>
        <v/>
      </c>
      <c r="F976" s="81">
        <f>IF(ISNUMBER('Blind Scoring Sheet'!H976),'Blind Scoring Sheet'!H976,VALUE(TRIM(LEFT('Blind Scoring Sheet'!H976,FIND("|",'Blind Scoring Sheet'!H976)-1))))</f>
        <v/>
      </c>
      <c r="G976" s="81">
        <f>IF(ISNUMBER('Blind Scoring Sheet'!J976),'Blind Scoring Sheet'!J976,VALUE(TRIM(LEFT('Blind Scoring Sheet'!J976,FIND("|",'Blind Scoring Sheet'!J976)-1))))</f>
        <v/>
      </c>
      <c r="H976" s="80">
        <f>IF(ISNUMBER(SEARCH("|",'Blind Scoring Sheet'!K976)),TRIM(LEFT('Blind Scoring Sheet'!K976,FIND("|",'Blind Scoring Sheet'!K976)-1)),TRIM('Blind Scoring Sheet'!K976))</f>
        <v/>
      </c>
    </row>
    <row r="977" ht="15" customHeight="1" s="38">
      <c r="A977" s="80">
        <f>'Blind Scoring Sheet'!A977</f>
        <v/>
      </c>
      <c r="B977" s="80">
        <f>MID(INDEX('Anonymization Key'!$B$4:$B$1003,MATCH(A977,'Anonymization Key'!$A$4:$A$1003,0)),3,2)</f>
        <v/>
      </c>
      <c r="C977" s="81">
        <f>IF(ISNUMBER('Blind Scoring Sheet'!B977),'Blind Scoring Sheet'!B977,VALUE(TRIM(LEFT('Blind Scoring Sheet'!B977,FIND("|",'Blind Scoring Sheet'!B977)-1))))</f>
        <v/>
      </c>
      <c r="D977" s="81">
        <f>IF(ISNUMBER('Blind Scoring Sheet'!D977),'Blind Scoring Sheet'!D977,VALUE(TRIM(LEFT('Blind Scoring Sheet'!D977,FIND("|",'Blind Scoring Sheet'!D977)-1))))</f>
        <v/>
      </c>
      <c r="E977" s="81">
        <f>IF(ISNUMBER('Blind Scoring Sheet'!F977),'Blind Scoring Sheet'!F977,VALUE(TRIM(LEFT('Blind Scoring Sheet'!F977,FIND("|",'Blind Scoring Sheet'!F977)-1))))</f>
        <v/>
      </c>
      <c r="F977" s="81">
        <f>IF(ISNUMBER('Blind Scoring Sheet'!H977),'Blind Scoring Sheet'!H977,VALUE(TRIM(LEFT('Blind Scoring Sheet'!H977,FIND("|",'Blind Scoring Sheet'!H977)-1))))</f>
        <v/>
      </c>
      <c r="G977" s="81">
        <f>IF(ISNUMBER('Blind Scoring Sheet'!J977),'Blind Scoring Sheet'!J977,VALUE(TRIM(LEFT('Blind Scoring Sheet'!J977,FIND("|",'Blind Scoring Sheet'!J977)-1))))</f>
        <v/>
      </c>
      <c r="H977" s="80">
        <f>IF(ISNUMBER(SEARCH("|",'Blind Scoring Sheet'!K977)),TRIM(LEFT('Blind Scoring Sheet'!K977,FIND("|",'Blind Scoring Sheet'!K977)-1)),TRIM('Blind Scoring Sheet'!K977))</f>
        <v/>
      </c>
    </row>
    <row r="978" ht="15" customHeight="1" s="38">
      <c r="A978" s="80">
        <f>'Blind Scoring Sheet'!A978</f>
        <v/>
      </c>
      <c r="B978" s="80">
        <f>MID(INDEX('Anonymization Key'!$B$4:$B$1003,MATCH(A978,'Anonymization Key'!$A$4:$A$1003,0)),3,2)</f>
        <v/>
      </c>
      <c r="C978" s="81">
        <f>IF(ISNUMBER('Blind Scoring Sheet'!B978),'Blind Scoring Sheet'!B978,VALUE(TRIM(LEFT('Blind Scoring Sheet'!B978,FIND("|",'Blind Scoring Sheet'!B978)-1))))</f>
        <v/>
      </c>
      <c r="D978" s="81">
        <f>IF(ISNUMBER('Blind Scoring Sheet'!D978),'Blind Scoring Sheet'!D978,VALUE(TRIM(LEFT('Blind Scoring Sheet'!D978,FIND("|",'Blind Scoring Sheet'!D978)-1))))</f>
        <v/>
      </c>
      <c r="E978" s="81">
        <f>IF(ISNUMBER('Blind Scoring Sheet'!F978),'Blind Scoring Sheet'!F978,VALUE(TRIM(LEFT('Blind Scoring Sheet'!F978,FIND("|",'Blind Scoring Sheet'!F978)-1))))</f>
        <v/>
      </c>
      <c r="F978" s="81">
        <f>IF(ISNUMBER('Blind Scoring Sheet'!H978),'Blind Scoring Sheet'!H978,VALUE(TRIM(LEFT('Blind Scoring Sheet'!H978,FIND("|",'Blind Scoring Sheet'!H978)-1))))</f>
        <v/>
      </c>
      <c r="G978" s="81">
        <f>IF(ISNUMBER('Blind Scoring Sheet'!J978),'Blind Scoring Sheet'!J978,VALUE(TRIM(LEFT('Blind Scoring Sheet'!J978,FIND("|",'Blind Scoring Sheet'!J978)-1))))</f>
        <v/>
      </c>
      <c r="H978" s="80">
        <f>IF(ISNUMBER(SEARCH("|",'Blind Scoring Sheet'!K978)),TRIM(LEFT('Blind Scoring Sheet'!K978,FIND("|",'Blind Scoring Sheet'!K978)-1)),TRIM('Blind Scoring Sheet'!K978))</f>
        <v/>
      </c>
    </row>
    <row r="979" ht="15" customHeight="1" s="38">
      <c r="A979" s="80">
        <f>'Blind Scoring Sheet'!A979</f>
        <v/>
      </c>
      <c r="B979" s="80">
        <f>MID(INDEX('Anonymization Key'!$B$4:$B$1003,MATCH(A979,'Anonymization Key'!$A$4:$A$1003,0)),3,2)</f>
        <v/>
      </c>
      <c r="C979" s="81">
        <f>IF(ISNUMBER('Blind Scoring Sheet'!B979),'Blind Scoring Sheet'!B979,VALUE(TRIM(LEFT('Blind Scoring Sheet'!B979,FIND("|",'Blind Scoring Sheet'!B979)-1))))</f>
        <v/>
      </c>
      <c r="D979" s="81">
        <f>IF(ISNUMBER('Blind Scoring Sheet'!D979),'Blind Scoring Sheet'!D979,VALUE(TRIM(LEFT('Blind Scoring Sheet'!D979,FIND("|",'Blind Scoring Sheet'!D979)-1))))</f>
        <v/>
      </c>
      <c r="E979" s="81">
        <f>IF(ISNUMBER('Blind Scoring Sheet'!F979),'Blind Scoring Sheet'!F979,VALUE(TRIM(LEFT('Blind Scoring Sheet'!F979,FIND("|",'Blind Scoring Sheet'!F979)-1))))</f>
        <v/>
      </c>
      <c r="F979" s="81">
        <f>IF(ISNUMBER('Blind Scoring Sheet'!H979),'Blind Scoring Sheet'!H979,VALUE(TRIM(LEFT('Blind Scoring Sheet'!H979,FIND("|",'Blind Scoring Sheet'!H979)-1))))</f>
        <v/>
      </c>
      <c r="G979" s="81">
        <f>IF(ISNUMBER('Blind Scoring Sheet'!J979),'Blind Scoring Sheet'!J979,VALUE(TRIM(LEFT('Blind Scoring Sheet'!J979,FIND("|",'Blind Scoring Sheet'!J979)-1))))</f>
        <v/>
      </c>
      <c r="H979" s="80">
        <f>IF(ISNUMBER(SEARCH("|",'Blind Scoring Sheet'!K979)),TRIM(LEFT('Blind Scoring Sheet'!K979,FIND("|",'Blind Scoring Sheet'!K979)-1)),TRIM('Blind Scoring Sheet'!K979))</f>
        <v/>
      </c>
    </row>
    <row r="980" ht="15" customHeight="1" s="38">
      <c r="A980" s="80">
        <f>'Blind Scoring Sheet'!A980</f>
        <v/>
      </c>
      <c r="B980" s="80">
        <f>MID(INDEX('Anonymization Key'!$B$4:$B$1003,MATCH(A980,'Anonymization Key'!$A$4:$A$1003,0)),3,2)</f>
        <v/>
      </c>
      <c r="C980" s="81">
        <f>IF(ISNUMBER('Blind Scoring Sheet'!B980),'Blind Scoring Sheet'!B980,VALUE(TRIM(LEFT('Blind Scoring Sheet'!B980,FIND("|",'Blind Scoring Sheet'!B980)-1))))</f>
        <v/>
      </c>
      <c r="D980" s="81">
        <f>IF(ISNUMBER('Blind Scoring Sheet'!D980),'Blind Scoring Sheet'!D980,VALUE(TRIM(LEFT('Blind Scoring Sheet'!D980,FIND("|",'Blind Scoring Sheet'!D980)-1))))</f>
        <v/>
      </c>
      <c r="E980" s="81">
        <f>IF(ISNUMBER('Blind Scoring Sheet'!F980),'Blind Scoring Sheet'!F980,VALUE(TRIM(LEFT('Blind Scoring Sheet'!F980,FIND("|",'Blind Scoring Sheet'!F980)-1))))</f>
        <v/>
      </c>
      <c r="F980" s="81">
        <f>IF(ISNUMBER('Blind Scoring Sheet'!H980),'Blind Scoring Sheet'!H980,VALUE(TRIM(LEFT('Blind Scoring Sheet'!H980,FIND("|",'Blind Scoring Sheet'!H980)-1))))</f>
        <v/>
      </c>
      <c r="G980" s="81">
        <f>IF(ISNUMBER('Blind Scoring Sheet'!J980),'Blind Scoring Sheet'!J980,VALUE(TRIM(LEFT('Blind Scoring Sheet'!J980,FIND("|",'Blind Scoring Sheet'!J980)-1))))</f>
        <v/>
      </c>
      <c r="H980" s="80">
        <f>IF(ISNUMBER(SEARCH("|",'Blind Scoring Sheet'!K980)),TRIM(LEFT('Blind Scoring Sheet'!K980,FIND("|",'Blind Scoring Sheet'!K980)-1)),TRIM('Blind Scoring Sheet'!K980))</f>
        <v/>
      </c>
    </row>
    <row r="981" ht="15" customHeight="1" s="38">
      <c r="A981" s="80">
        <f>'Blind Scoring Sheet'!A981</f>
        <v/>
      </c>
      <c r="B981" s="80">
        <f>MID(INDEX('Anonymization Key'!$B$4:$B$1003,MATCH(A981,'Anonymization Key'!$A$4:$A$1003,0)),3,2)</f>
        <v/>
      </c>
      <c r="C981" s="81">
        <f>IF(ISNUMBER('Blind Scoring Sheet'!B981),'Blind Scoring Sheet'!B981,VALUE(TRIM(LEFT('Blind Scoring Sheet'!B981,FIND("|",'Blind Scoring Sheet'!B981)-1))))</f>
        <v/>
      </c>
      <c r="D981" s="81">
        <f>IF(ISNUMBER('Blind Scoring Sheet'!D981),'Blind Scoring Sheet'!D981,VALUE(TRIM(LEFT('Blind Scoring Sheet'!D981,FIND("|",'Blind Scoring Sheet'!D981)-1))))</f>
        <v/>
      </c>
      <c r="E981" s="81">
        <f>IF(ISNUMBER('Blind Scoring Sheet'!F981),'Blind Scoring Sheet'!F981,VALUE(TRIM(LEFT('Blind Scoring Sheet'!F981,FIND("|",'Blind Scoring Sheet'!F981)-1))))</f>
        <v/>
      </c>
      <c r="F981" s="81">
        <f>IF(ISNUMBER('Blind Scoring Sheet'!H981),'Blind Scoring Sheet'!H981,VALUE(TRIM(LEFT('Blind Scoring Sheet'!H981,FIND("|",'Blind Scoring Sheet'!H981)-1))))</f>
        <v/>
      </c>
      <c r="G981" s="81">
        <f>IF(ISNUMBER('Blind Scoring Sheet'!J981),'Blind Scoring Sheet'!J981,VALUE(TRIM(LEFT('Blind Scoring Sheet'!J981,FIND("|",'Blind Scoring Sheet'!J981)-1))))</f>
        <v/>
      </c>
      <c r="H981" s="80">
        <f>IF(ISNUMBER(SEARCH("|",'Blind Scoring Sheet'!K981)),TRIM(LEFT('Blind Scoring Sheet'!K981,FIND("|",'Blind Scoring Sheet'!K981)-1)),TRIM('Blind Scoring Sheet'!K981))</f>
        <v/>
      </c>
    </row>
    <row r="982" ht="15" customHeight="1" s="38">
      <c r="A982" s="80">
        <f>'Blind Scoring Sheet'!A982</f>
        <v/>
      </c>
      <c r="B982" s="80">
        <f>MID(INDEX('Anonymization Key'!$B$4:$B$1003,MATCH(A982,'Anonymization Key'!$A$4:$A$1003,0)),3,2)</f>
        <v/>
      </c>
      <c r="C982" s="81">
        <f>IF(ISNUMBER('Blind Scoring Sheet'!B982),'Blind Scoring Sheet'!B982,VALUE(TRIM(LEFT('Blind Scoring Sheet'!B982,FIND("|",'Blind Scoring Sheet'!B982)-1))))</f>
        <v/>
      </c>
      <c r="D982" s="81">
        <f>IF(ISNUMBER('Blind Scoring Sheet'!D982),'Blind Scoring Sheet'!D982,VALUE(TRIM(LEFT('Blind Scoring Sheet'!D982,FIND("|",'Blind Scoring Sheet'!D982)-1))))</f>
        <v/>
      </c>
      <c r="E982" s="81">
        <f>IF(ISNUMBER('Blind Scoring Sheet'!F982),'Blind Scoring Sheet'!F982,VALUE(TRIM(LEFT('Blind Scoring Sheet'!F982,FIND("|",'Blind Scoring Sheet'!F982)-1))))</f>
        <v/>
      </c>
      <c r="F982" s="81">
        <f>IF(ISNUMBER('Blind Scoring Sheet'!H982),'Blind Scoring Sheet'!H982,VALUE(TRIM(LEFT('Blind Scoring Sheet'!H982,FIND("|",'Blind Scoring Sheet'!H982)-1))))</f>
        <v/>
      </c>
      <c r="G982" s="81">
        <f>IF(ISNUMBER('Blind Scoring Sheet'!J982),'Blind Scoring Sheet'!J982,VALUE(TRIM(LEFT('Blind Scoring Sheet'!J982,FIND("|",'Blind Scoring Sheet'!J982)-1))))</f>
        <v/>
      </c>
      <c r="H982" s="80">
        <f>IF(ISNUMBER(SEARCH("|",'Blind Scoring Sheet'!K982)),TRIM(LEFT('Blind Scoring Sheet'!K982,FIND("|",'Blind Scoring Sheet'!K982)-1)),TRIM('Blind Scoring Sheet'!K982))</f>
        <v/>
      </c>
    </row>
    <row r="983" ht="15" customHeight="1" s="38">
      <c r="A983" s="80">
        <f>'Blind Scoring Sheet'!A983</f>
        <v/>
      </c>
      <c r="B983" s="80">
        <f>MID(INDEX('Anonymization Key'!$B$4:$B$1003,MATCH(A983,'Anonymization Key'!$A$4:$A$1003,0)),3,2)</f>
        <v/>
      </c>
      <c r="C983" s="81">
        <f>IF(ISNUMBER('Blind Scoring Sheet'!B983),'Blind Scoring Sheet'!B983,VALUE(TRIM(LEFT('Blind Scoring Sheet'!B983,FIND("|",'Blind Scoring Sheet'!B983)-1))))</f>
        <v/>
      </c>
      <c r="D983" s="81">
        <f>IF(ISNUMBER('Blind Scoring Sheet'!D983),'Blind Scoring Sheet'!D983,VALUE(TRIM(LEFT('Blind Scoring Sheet'!D983,FIND("|",'Blind Scoring Sheet'!D983)-1))))</f>
        <v/>
      </c>
      <c r="E983" s="81">
        <f>IF(ISNUMBER('Blind Scoring Sheet'!F983),'Blind Scoring Sheet'!F983,VALUE(TRIM(LEFT('Blind Scoring Sheet'!F983,FIND("|",'Blind Scoring Sheet'!F983)-1))))</f>
        <v/>
      </c>
      <c r="F983" s="81">
        <f>IF(ISNUMBER('Blind Scoring Sheet'!H983),'Blind Scoring Sheet'!H983,VALUE(TRIM(LEFT('Blind Scoring Sheet'!H983,FIND("|",'Blind Scoring Sheet'!H983)-1))))</f>
        <v/>
      </c>
      <c r="G983" s="81">
        <f>IF(ISNUMBER('Blind Scoring Sheet'!J983),'Blind Scoring Sheet'!J983,VALUE(TRIM(LEFT('Blind Scoring Sheet'!J983,FIND("|",'Blind Scoring Sheet'!J983)-1))))</f>
        <v/>
      </c>
      <c r="H983" s="80">
        <f>IF(ISNUMBER(SEARCH("|",'Blind Scoring Sheet'!K983)),TRIM(LEFT('Blind Scoring Sheet'!K983,FIND("|",'Blind Scoring Sheet'!K983)-1)),TRIM('Blind Scoring Sheet'!K983))</f>
        <v/>
      </c>
    </row>
    <row r="984" ht="15" customHeight="1" s="38">
      <c r="A984" s="80">
        <f>'Blind Scoring Sheet'!A984</f>
        <v/>
      </c>
      <c r="B984" s="80">
        <f>MID(INDEX('Anonymization Key'!$B$4:$B$1003,MATCH(A984,'Anonymization Key'!$A$4:$A$1003,0)),3,2)</f>
        <v/>
      </c>
      <c r="C984" s="81">
        <f>IF(ISNUMBER('Blind Scoring Sheet'!B984),'Blind Scoring Sheet'!B984,VALUE(TRIM(LEFT('Blind Scoring Sheet'!B984,FIND("|",'Blind Scoring Sheet'!B984)-1))))</f>
        <v/>
      </c>
      <c r="D984" s="81">
        <f>IF(ISNUMBER('Blind Scoring Sheet'!D984),'Blind Scoring Sheet'!D984,VALUE(TRIM(LEFT('Blind Scoring Sheet'!D984,FIND("|",'Blind Scoring Sheet'!D984)-1))))</f>
        <v/>
      </c>
      <c r="E984" s="81">
        <f>IF(ISNUMBER('Blind Scoring Sheet'!F984),'Blind Scoring Sheet'!F984,VALUE(TRIM(LEFT('Blind Scoring Sheet'!F984,FIND("|",'Blind Scoring Sheet'!F984)-1))))</f>
        <v/>
      </c>
      <c r="F984" s="81">
        <f>IF(ISNUMBER('Blind Scoring Sheet'!H984),'Blind Scoring Sheet'!H984,VALUE(TRIM(LEFT('Blind Scoring Sheet'!H984,FIND("|",'Blind Scoring Sheet'!H984)-1))))</f>
        <v/>
      </c>
      <c r="G984" s="81">
        <f>IF(ISNUMBER('Blind Scoring Sheet'!J984),'Blind Scoring Sheet'!J984,VALUE(TRIM(LEFT('Blind Scoring Sheet'!J984,FIND("|",'Blind Scoring Sheet'!J984)-1))))</f>
        <v/>
      </c>
      <c r="H984" s="80">
        <f>IF(ISNUMBER(SEARCH("|",'Blind Scoring Sheet'!K984)),TRIM(LEFT('Blind Scoring Sheet'!K984,FIND("|",'Blind Scoring Sheet'!K984)-1)),TRIM('Blind Scoring Sheet'!K984))</f>
        <v/>
      </c>
    </row>
    <row r="985" ht="15" customHeight="1" s="38">
      <c r="A985" s="80">
        <f>'Blind Scoring Sheet'!A985</f>
        <v/>
      </c>
      <c r="B985" s="80">
        <f>MID(INDEX('Anonymization Key'!$B$4:$B$1003,MATCH(A985,'Anonymization Key'!$A$4:$A$1003,0)),3,2)</f>
        <v/>
      </c>
      <c r="C985" s="81">
        <f>IF(ISNUMBER('Blind Scoring Sheet'!B985),'Blind Scoring Sheet'!B985,VALUE(TRIM(LEFT('Blind Scoring Sheet'!B985,FIND("|",'Blind Scoring Sheet'!B985)-1))))</f>
        <v/>
      </c>
      <c r="D985" s="81">
        <f>IF(ISNUMBER('Blind Scoring Sheet'!D985),'Blind Scoring Sheet'!D985,VALUE(TRIM(LEFT('Blind Scoring Sheet'!D985,FIND("|",'Blind Scoring Sheet'!D985)-1))))</f>
        <v/>
      </c>
      <c r="E985" s="81">
        <f>IF(ISNUMBER('Blind Scoring Sheet'!F985),'Blind Scoring Sheet'!F985,VALUE(TRIM(LEFT('Blind Scoring Sheet'!F985,FIND("|",'Blind Scoring Sheet'!F985)-1))))</f>
        <v/>
      </c>
      <c r="F985" s="81">
        <f>IF(ISNUMBER('Blind Scoring Sheet'!H985),'Blind Scoring Sheet'!H985,VALUE(TRIM(LEFT('Blind Scoring Sheet'!H985,FIND("|",'Blind Scoring Sheet'!H985)-1))))</f>
        <v/>
      </c>
      <c r="G985" s="81">
        <f>IF(ISNUMBER('Blind Scoring Sheet'!J985),'Blind Scoring Sheet'!J985,VALUE(TRIM(LEFT('Blind Scoring Sheet'!J985,FIND("|",'Blind Scoring Sheet'!J985)-1))))</f>
        <v/>
      </c>
      <c r="H985" s="80">
        <f>IF(ISNUMBER(SEARCH("|",'Blind Scoring Sheet'!K985)),TRIM(LEFT('Blind Scoring Sheet'!K985,FIND("|",'Blind Scoring Sheet'!K985)-1)),TRIM('Blind Scoring Sheet'!K985))</f>
        <v/>
      </c>
    </row>
    <row r="986" ht="15" customHeight="1" s="38">
      <c r="A986" s="80">
        <f>'Blind Scoring Sheet'!A986</f>
        <v/>
      </c>
      <c r="B986" s="80">
        <f>MID(INDEX('Anonymization Key'!$B$4:$B$1003,MATCH(A986,'Anonymization Key'!$A$4:$A$1003,0)),3,2)</f>
        <v/>
      </c>
      <c r="C986" s="81">
        <f>IF(ISNUMBER('Blind Scoring Sheet'!B986),'Blind Scoring Sheet'!B986,VALUE(TRIM(LEFT('Blind Scoring Sheet'!B986,FIND("|",'Blind Scoring Sheet'!B986)-1))))</f>
        <v/>
      </c>
      <c r="D986" s="81">
        <f>IF(ISNUMBER('Blind Scoring Sheet'!D986),'Blind Scoring Sheet'!D986,VALUE(TRIM(LEFT('Blind Scoring Sheet'!D986,FIND("|",'Blind Scoring Sheet'!D986)-1))))</f>
        <v/>
      </c>
      <c r="E986" s="81">
        <f>IF(ISNUMBER('Blind Scoring Sheet'!F986),'Blind Scoring Sheet'!F986,VALUE(TRIM(LEFT('Blind Scoring Sheet'!F986,FIND("|",'Blind Scoring Sheet'!F986)-1))))</f>
        <v/>
      </c>
      <c r="F986" s="81">
        <f>IF(ISNUMBER('Blind Scoring Sheet'!H986),'Blind Scoring Sheet'!H986,VALUE(TRIM(LEFT('Blind Scoring Sheet'!H986,FIND("|",'Blind Scoring Sheet'!H986)-1))))</f>
        <v/>
      </c>
      <c r="G986" s="81">
        <f>IF(ISNUMBER('Blind Scoring Sheet'!J986),'Blind Scoring Sheet'!J986,VALUE(TRIM(LEFT('Blind Scoring Sheet'!J986,FIND("|",'Blind Scoring Sheet'!J986)-1))))</f>
        <v/>
      </c>
      <c r="H986" s="80">
        <f>IF(ISNUMBER(SEARCH("|",'Blind Scoring Sheet'!K986)),TRIM(LEFT('Blind Scoring Sheet'!K986,FIND("|",'Blind Scoring Sheet'!K986)-1)),TRIM('Blind Scoring Sheet'!K986))</f>
        <v/>
      </c>
    </row>
    <row r="987" ht="15" customHeight="1" s="38">
      <c r="A987" s="80">
        <f>'Blind Scoring Sheet'!A987</f>
        <v/>
      </c>
      <c r="B987" s="80">
        <f>MID(INDEX('Anonymization Key'!$B$4:$B$1003,MATCH(A987,'Anonymization Key'!$A$4:$A$1003,0)),3,2)</f>
        <v/>
      </c>
      <c r="C987" s="81">
        <f>IF(ISNUMBER('Blind Scoring Sheet'!B987),'Blind Scoring Sheet'!B987,VALUE(TRIM(LEFT('Blind Scoring Sheet'!B987,FIND("|",'Blind Scoring Sheet'!B987)-1))))</f>
        <v/>
      </c>
      <c r="D987" s="81">
        <f>IF(ISNUMBER('Blind Scoring Sheet'!D987),'Blind Scoring Sheet'!D987,VALUE(TRIM(LEFT('Blind Scoring Sheet'!D987,FIND("|",'Blind Scoring Sheet'!D987)-1))))</f>
        <v/>
      </c>
      <c r="E987" s="81">
        <f>IF(ISNUMBER('Blind Scoring Sheet'!F987),'Blind Scoring Sheet'!F987,VALUE(TRIM(LEFT('Blind Scoring Sheet'!F987,FIND("|",'Blind Scoring Sheet'!F987)-1))))</f>
        <v/>
      </c>
      <c r="F987" s="81">
        <f>IF(ISNUMBER('Blind Scoring Sheet'!H987),'Blind Scoring Sheet'!H987,VALUE(TRIM(LEFT('Blind Scoring Sheet'!H987,FIND("|",'Blind Scoring Sheet'!H987)-1))))</f>
        <v/>
      </c>
      <c r="G987" s="81">
        <f>IF(ISNUMBER('Blind Scoring Sheet'!J987),'Blind Scoring Sheet'!J987,VALUE(TRIM(LEFT('Blind Scoring Sheet'!J987,FIND("|",'Blind Scoring Sheet'!J987)-1))))</f>
        <v/>
      </c>
      <c r="H987" s="80">
        <f>IF(ISNUMBER(SEARCH("|",'Blind Scoring Sheet'!K987)),TRIM(LEFT('Blind Scoring Sheet'!K987,FIND("|",'Blind Scoring Sheet'!K987)-1)),TRIM('Blind Scoring Sheet'!K987))</f>
        <v/>
      </c>
    </row>
    <row r="988" ht="15" customHeight="1" s="38">
      <c r="A988" s="80">
        <f>'Blind Scoring Sheet'!A988</f>
        <v/>
      </c>
      <c r="B988" s="80">
        <f>MID(INDEX('Anonymization Key'!$B$4:$B$1003,MATCH(A988,'Anonymization Key'!$A$4:$A$1003,0)),3,2)</f>
        <v/>
      </c>
      <c r="C988" s="81">
        <f>IF(ISNUMBER('Blind Scoring Sheet'!B988),'Blind Scoring Sheet'!B988,VALUE(TRIM(LEFT('Blind Scoring Sheet'!B988,FIND("|",'Blind Scoring Sheet'!B988)-1))))</f>
        <v/>
      </c>
      <c r="D988" s="81">
        <f>IF(ISNUMBER('Blind Scoring Sheet'!D988),'Blind Scoring Sheet'!D988,VALUE(TRIM(LEFT('Blind Scoring Sheet'!D988,FIND("|",'Blind Scoring Sheet'!D988)-1))))</f>
        <v/>
      </c>
      <c r="E988" s="81">
        <f>IF(ISNUMBER('Blind Scoring Sheet'!F988),'Blind Scoring Sheet'!F988,VALUE(TRIM(LEFT('Blind Scoring Sheet'!F988,FIND("|",'Blind Scoring Sheet'!F988)-1))))</f>
        <v/>
      </c>
      <c r="F988" s="81">
        <f>IF(ISNUMBER('Blind Scoring Sheet'!H988),'Blind Scoring Sheet'!H988,VALUE(TRIM(LEFT('Blind Scoring Sheet'!H988,FIND("|",'Blind Scoring Sheet'!H988)-1))))</f>
        <v/>
      </c>
      <c r="G988" s="81">
        <f>IF(ISNUMBER('Blind Scoring Sheet'!J988),'Blind Scoring Sheet'!J988,VALUE(TRIM(LEFT('Blind Scoring Sheet'!J988,FIND("|",'Blind Scoring Sheet'!J988)-1))))</f>
        <v/>
      </c>
      <c r="H988" s="80">
        <f>IF(ISNUMBER(SEARCH("|",'Blind Scoring Sheet'!K988)),TRIM(LEFT('Blind Scoring Sheet'!K988,FIND("|",'Blind Scoring Sheet'!K988)-1)),TRIM('Blind Scoring Sheet'!K988))</f>
        <v/>
      </c>
    </row>
    <row r="989" ht="15" customHeight="1" s="38">
      <c r="A989" s="80">
        <f>'Blind Scoring Sheet'!A989</f>
        <v/>
      </c>
      <c r="B989" s="80">
        <f>MID(INDEX('Anonymization Key'!$B$4:$B$1003,MATCH(A989,'Anonymization Key'!$A$4:$A$1003,0)),3,2)</f>
        <v/>
      </c>
      <c r="C989" s="81">
        <f>IF(ISNUMBER('Blind Scoring Sheet'!B989),'Blind Scoring Sheet'!B989,VALUE(TRIM(LEFT('Blind Scoring Sheet'!B989,FIND("|",'Blind Scoring Sheet'!B989)-1))))</f>
        <v/>
      </c>
      <c r="D989" s="81">
        <f>IF(ISNUMBER('Blind Scoring Sheet'!D989),'Blind Scoring Sheet'!D989,VALUE(TRIM(LEFT('Blind Scoring Sheet'!D989,FIND("|",'Blind Scoring Sheet'!D989)-1))))</f>
        <v/>
      </c>
      <c r="E989" s="81">
        <f>IF(ISNUMBER('Blind Scoring Sheet'!F989),'Blind Scoring Sheet'!F989,VALUE(TRIM(LEFT('Blind Scoring Sheet'!F989,FIND("|",'Blind Scoring Sheet'!F989)-1))))</f>
        <v/>
      </c>
      <c r="F989" s="81">
        <f>IF(ISNUMBER('Blind Scoring Sheet'!H989),'Blind Scoring Sheet'!H989,VALUE(TRIM(LEFT('Blind Scoring Sheet'!H989,FIND("|",'Blind Scoring Sheet'!H989)-1))))</f>
        <v/>
      </c>
      <c r="G989" s="81">
        <f>IF(ISNUMBER('Blind Scoring Sheet'!J989),'Blind Scoring Sheet'!J989,VALUE(TRIM(LEFT('Blind Scoring Sheet'!J989,FIND("|",'Blind Scoring Sheet'!J989)-1))))</f>
        <v/>
      </c>
      <c r="H989" s="80">
        <f>IF(ISNUMBER(SEARCH("|",'Blind Scoring Sheet'!K989)),TRIM(LEFT('Blind Scoring Sheet'!K989,FIND("|",'Blind Scoring Sheet'!K989)-1)),TRIM('Blind Scoring Sheet'!K989))</f>
        <v/>
      </c>
    </row>
    <row r="990" ht="15" customHeight="1" s="38">
      <c r="A990" s="80">
        <f>'Blind Scoring Sheet'!A990</f>
        <v/>
      </c>
      <c r="B990" s="80">
        <f>MID(INDEX('Anonymization Key'!$B$4:$B$1003,MATCH(A990,'Anonymization Key'!$A$4:$A$1003,0)),3,2)</f>
        <v/>
      </c>
      <c r="C990" s="81">
        <f>IF(ISNUMBER('Blind Scoring Sheet'!B990),'Blind Scoring Sheet'!B990,VALUE(TRIM(LEFT('Blind Scoring Sheet'!B990,FIND("|",'Blind Scoring Sheet'!B990)-1))))</f>
        <v/>
      </c>
      <c r="D990" s="81">
        <f>IF(ISNUMBER('Blind Scoring Sheet'!D990),'Blind Scoring Sheet'!D990,VALUE(TRIM(LEFT('Blind Scoring Sheet'!D990,FIND("|",'Blind Scoring Sheet'!D990)-1))))</f>
        <v/>
      </c>
      <c r="E990" s="81">
        <f>IF(ISNUMBER('Blind Scoring Sheet'!F990),'Blind Scoring Sheet'!F990,VALUE(TRIM(LEFT('Blind Scoring Sheet'!F990,FIND("|",'Blind Scoring Sheet'!F990)-1))))</f>
        <v/>
      </c>
      <c r="F990" s="81">
        <f>IF(ISNUMBER('Blind Scoring Sheet'!H990),'Blind Scoring Sheet'!H990,VALUE(TRIM(LEFT('Blind Scoring Sheet'!H990,FIND("|",'Blind Scoring Sheet'!H990)-1))))</f>
        <v/>
      </c>
      <c r="G990" s="81">
        <f>IF(ISNUMBER('Blind Scoring Sheet'!J990),'Blind Scoring Sheet'!J990,VALUE(TRIM(LEFT('Blind Scoring Sheet'!J990,FIND("|",'Blind Scoring Sheet'!J990)-1))))</f>
        <v/>
      </c>
      <c r="H990" s="80">
        <f>IF(ISNUMBER(SEARCH("|",'Blind Scoring Sheet'!K990)),TRIM(LEFT('Blind Scoring Sheet'!K990,FIND("|",'Blind Scoring Sheet'!K990)-1)),TRIM('Blind Scoring Sheet'!K990))</f>
        <v/>
      </c>
    </row>
    <row r="991" ht="15" customHeight="1" s="38">
      <c r="A991" s="80">
        <f>'Blind Scoring Sheet'!A991</f>
        <v/>
      </c>
      <c r="B991" s="80">
        <f>MID(INDEX('Anonymization Key'!$B$4:$B$1003,MATCH(A991,'Anonymization Key'!$A$4:$A$1003,0)),3,2)</f>
        <v/>
      </c>
      <c r="C991" s="81">
        <f>IF(ISNUMBER('Blind Scoring Sheet'!B991),'Blind Scoring Sheet'!B991,VALUE(TRIM(LEFT('Blind Scoring Sheet'!B991,FIND("|",'Blind Scoring Sheet'!B991)-1))))</f>
        <v/>
      </c>
      <c r="D991" s="81">
        <f>IF(ISNUMBER('Blind Scoring Sheet'!D991),'Blind Scoring Sheet'!D991,VALUE(TRIM(LEFT('Blind Scoring Sheet'!D991,FIND("|",'Blind Scoring Sheet'!D991)-1))))</f>
        <v/>
      </c>
      <c r="E991" s="81">
        <f>IF(ISNUMBER('Blind Scoring Sheet'!F991),'Blind Scoring Sheet'!F991,VALUE(TRIM(LEFT('Blind Scoring Sheet'!F991,FIND("|",'Blind Scoring Sheet'!F991)-1))))</f>
        <v/>
      </c>
      <c r="F991" s="81">
        <f>IF(ISNUMBER('Blind Scoring Sheet'!H991),'Blind Scoring Sheet'!H991,VALUE(TRIM(LEFT('Blind Scoring Sheet'!H991,FIND("|",'Blind Scoring Sheet'!H991)-1))))</f>
        <v/>
      </c>
      <c r="G991" s="81">
        <f>IF(ISNUMBER('Blind Scoring Sheet'!J991),'Blind Scoring Sheet'!J991,VALUE(TRIM(LEFT('Blind Scoring Sheet'!J991,FIND("|",'Blind Scoring Sheet'!J991)-1))))</f>
        <v/>
      </c>
      <c r="H991" s="80">
        <f>IF(ISNUMBER(SEARCH("|",'Blind Scoring Sheet'!K991)),TRIM(LEFT('Blind Scoring Sheet'!K991,FIND("|",'Blind Scoring Sheet'!K991)-1)),TRIM('Blind Scoring Sheet'!K991))</f>
        <v/>
      </c>
    </row>
    <row r="992" ht="15" customHeight="1" s="38">
      <c r="A992" s="80">
        <f>'Blind Scoring Sheet'!A992</f>
        <v/>
      </c>
      <c r="B992" s="80">
        <f>MID(INDEX('Anonymization Key'!$B$4:$B$1003,MATCH(A992,'Anonymization Key'!$A$4:$A$1003,0)),3,2)</f>
        <v/>
      </c>
      <c r="C992" s="81">
        <f>IF(ISNUMBER('Blind Scoring Sheet'!B992),'Blind Scoring Sheet'!B992,VALUE(TRIM(LEFT('Blind Scoring Sheet'!B992,FIND("|",'Blind Scoring Sheet'!B992)-1))))</f>
        <v/>
      </c>
      <c r="D992" s="81">
        <f>IF(ISNUMBER('Blind Scoring Sheet'!D992),'Blind Scoring Sheet'!D992,VALUE(TRIM(LEFT('Blind Scoring Sheet'!D992,FIND("|",'Blind Scoring Sheet'!D992)-1))))</f>
        <v/>
      </c>
      <c r="E992" s="81">
        <f>IF(ISNUMBER('Blind Scoring Sheet'!F992),'Blind Scoring Sheet'!F992,VALUE(TRIM(LEFT('Blind Scoring Sheet'!F992,FIND("|",'Blind Scoring Sheet'!F992)-1))))</f>
        <v/>
      </c>
      <c r="F992" s="81">
        <f>IF(ISNUMBER('Blind Scoring Sheet'!H992),'Blind Scoring Sheet'!H992,VALUE(TRIM(LEFT('Blind Scoring Sheet'!H992,FIND("|",'Blind Scoring Sheet'!H992)-1))))</f>
        <v/>
      </c>
      <c r="G992" s="81">
        <f>IF(ISNUMBER('Blind Scoring Sheet'!J992),'Blind Scoring Sheet'!J992,VALUE(TRIM(LEFT('Blind Scoring Sheet'!J992,FIND("|",'Blind Scoring Sheet'!J992)-1))))</f>
        <v/>
      </c>
      <c r="H992" s="80">
        <f>IF(ISNUMBER(SEARCH("|",'Blind Scoring Sheet'!K992)),TRIM(LEFT('Blind Scoring Sheet'!K992,FIND("|",'Blind Scoring Sheet'!K992)-1)),TRIM('Blind Scoring Sheet'!K992))</f>
        <v/>
      </c>
    </row>
    <row r="993" ht="15" customHeight="1" s="38">
      <c r="A993" s="80">
        <f>'Blind Scoring Sheet'!A993</f>
        <v/>
      </c>
      <c r="B993" s="80">
        <f>MID(INDEX('Anonymization Key'!$B$4:$B$1003,MATCH(A993,'Anonymization Key'!$A$4:$A$1003,0)),3,2)</f>
        <v/>
      </c>
      <c r="C993" s="81">
        <f>IF(ISNUMBER('Blind Scoring Sheet'!B993),'Blind Scoring Sheet'!B993,VALUE(TRIM(LEFT('Blind Scoring Sheet'!B993,FIND("|",'Blind Scoring Sheet'!B993)-1))))</f>
        <v/>
      </c>
      <c r="D993" s="81">
        <f>IF(ISNUMBER('Blind Scoring Sheet'!D993),'Blind Scoring Sheet'!D993,VALUE(TRIM(LEFT('Blind Scoring Sheet'!D993,FIND("|",'Blind Scoring Sheet'!D993)-1))))</f>
        <v/>
      </c>
      <c r="E993" s="81">
        <f>IF(ISNUMBER('Blind Scoring Sheet'!F993),'Blind Scoring Sheet'!F993,VALUE(TRIM(LEFT('Blind Scoring Sheet'!F993,FIND("|",'Blind Scoring Sheet'!F993)-1))))</f>
        <v/>
      </c>
      <c r="F993" s="81">
        <f>IF(ISNUMBER('Blind Scoring Sheet'!H993),'Blind Scoring Sheet'!H993,VALUE(TRIM(LEFT('Blind Scoring Sheet'!H993,FIND("|",'Blind Scoring Sheet'!H993)-1))))</f>
        <v/>
      </c>
      <c r="G993" s="81">
        <f>IF(ISNUMBER('Blind Scoring Sheet'!J993),'Blind Scoring Sheet'!J993,VALUE(TRIM(LEFT('Blind Scoring Sheet'!J993,FIND("|",'Blind Scoring Sheet'!J993)-1))))</f>
        <v/>
      </c>
      <c r="H993" s="80">
        <f>IF(ISNUMBER(SEARCH("|",'Blind Scoring Sheet'!K993)),TRIM(LEFT('Blind Scoring Sheet'!K993,FIND("|",'Blind Scoring Sheet'!K993)-1)),TRIM('Blind Scoring Sheet'!K993))</f>
        <v/>
      </c>
    </row>
    <row r="994" ht="15" customHeight="1" s="38">
      <c r="A994" s="80">
        <f>'Blind Scoring Sheet'!A994</f>
        <v/>
      </c>
      <c r="B994" s="80">
        <f>MID(INDEX('Anonymization Key'!$B$4:$B$1003,MATCH(A994,'Anonymization Key'!$A$4:$A$1003,0)),3,2)</f>
        <v/>
      </c>
      <c r="C994" s="81">
        <f>IF(ISNUMBER('Blind Scoring Sheet'!B994),'Blind Scoring Sheet'!B994,VALUE(TRIM(LEFT('Blind Scoring Sheet'!B994,FIND("|",'Blind Scoring Sheet'!B994)-1))))</f>
        <v/>
      </c>
      <c r="D994" s="81">
        <f>IF(ISNUMBER('Blind Scoring Sheet'!D994),'Blind Scoring Sheet'!D994,VALUE(TRIM(LEFT('Blind Scoring Sheet'!D994,FIND("|",'Blind Scoring Sheet'!D994)-1))))</f>
        <v/>
      </c>
      <c r="E994" s="81">
        <f>IF(ISNUMBER('Blind Scoring Sheet'!F994),'Blind Scoring Sheet'!F994,VALUE(TRIM(LEFT('Blind Scoring Sheet'!F994,FIND("|",'Blind Scoring Sheet'!F994)-1))))</f>
        <v/>
      </c>
      <c r="F994" s="81">
        <f>IF(ISNUMBER('Blind Scoring Sheet'!H994),'Blind Scoring Sheet'!H994,VALUE(TRIM(LEFT('Blind Scoring Sheet'!H994,FIND("|",'Blind Scoring Sheet'!H994)-1))))</f>
        <v/>
      </c>
      <c r="G994" s="81">
        <f>IF(ISNUMBER('Blind Scoring Sheet'!J994),'Blind Scoring Sheet'!J994,VALUE(TRIM(LEFT('Blind Scoring Sheet'!J994,FIND("|",'Blind Scoring Sheet'!J994)-1))))</f>
        <v/>
      </c>
      <c r="H994" s="80">
        <f>IF(ISNUMBER(SEARCH("|",'Blind Scoring Sheet'!K994)),TRIM(LEFT('Blind Scoring Sheet'!K994,FIND("|",'Blind Scoring Sheet'!K994)-1)),TRIM('Blind Scoring Sheet'!K994))</f>
        <v/>
      </c>
    </row>
    <row r="995" ht="15" customHeight="1" s="38">
      <c r="A995" s="80">
        <f>'Blind Scoring Sheet'!A995</f>
        <v/>
      </c>
      <c r="B995" s="80">
        <f>MID(INDEX('Anonymization Key'!$B$4:$B$1003,MATCH(A995,'Anonymization Key'!$A$4:$A$1003,0)),3,2)</f>
        <v/>
      </c>
      <c r="C995" s="81">
        <f>IF(ISNUMBER('Blind Scoring Sheet'!B995),'Blind Scoring Sheet'!B995,VALUE(TRIM(LEFT('Blind Scoring Sheet'!B995,FIND("|",'Blind Scoring Sheet'!B995)-1))))</f>
        <v/>
      </c>
      <c r="D995" s="81">
        <f>IF(ISNUMBER('Blind Scoring Sheet'!D995),'Blind Scoring Sheet'!D995,VALUE(TRIM(LEFT('Blind Scoring Sheet'!D995,FIND("|",'Blind Scoring Sheet'!D995)-1))))</f>
        <v/>
      </c>
      <c r="E995" s="81">
        <f>IF(ISNUMBER('Blind Scoring Sheet'!F995),'Blind Scoring Sheet'!F995,VALUE(TRIM(LEFT('Blind Scoring Sheet'!F995,FIND("|",'Blind Scoring Sheet'!F995)-1))))</f>
        <v/>
      </c>
      <c r="F995" s="81">
        <f>IF(ISNUMBER('Blind Scoring Sheet'!H995),'Blind Scoring Sheet'!H995,VALUE(TRIM(LEFT('Blind Scoring Sheet'!H995,FIND("|",'Blind Scoring Sheet'!H995)-1))))</f>
        <v/>
      </c>
      <c r="G995" s="81">
        <f>IF(ISNUMBER('Blind Scoring Sheet'!J995),'Blind Scoring Sheet'!J995,VALUE(TRIM(LEFT('Blind Scoring Sheet'!J995,FIND("|",'Blind Scoring Sheet'!J995)-1))))</f>
        <v/>
      </c>
      <c r="H995" s="80">
        <f>IF(ISNUMBER(SEARCH("|",'Blind Scoring Sheet'!K995)),TRIM(LEFT('Blind Scoring Sheet'!K995,FIND("|",'Blind Scoring Sheet'!K995)-1)),TRIM('Blind Scoring Sheet'!K995))</f>
        <v/>
      </c>
    </row>
    <row r="996" ht="15" customHeight="1" s="38">
      <c r="A996" s="80">
        <f>'Blind Scoring Sheet'!A996</f>
        <v/>
      </c>
      <c r="B996" s="80">
        <f>MID(INDEX('Anonymization Key'!$B$4:$B$1003,MATCH(A996,'Anonymization Key'!$A$4:$A$1003,0)),3,2)</f>
        <v/>
      </c>
      <c r="C996" s="81">
        <f>IF(ISNUMBER('Blind Scoring Sheet'!B996),'Blind Scoring Sheet'!B996,VALUE(TRIM(LEFT('Blind Scoring Sheet'!B996,FIND("|",'Blind Scoring Sheet'!B996)-1))))</f>
        <v/>
      </c>
      <c r="D996" s="81">
        <f>IF(ISNUMBER('Blind Scoring Sheet'!D996),'Blind Scoring Sheet'!D996,VALUE(TRIM(LEFT('Blind Scoring Sheet'!D996,FIND("|",'Blind Scoring Sheet'!D996)-1))))</f>
        <v/>
      </c>
      <c r="E996" s="81">
        <f>IF(ISNUMBER('Blind Scoring Sheet'!F996),'Blind Scoring Sheet'!F996,VALUE(TRIM(LEFT('Blind Scoring Sheet'!F996,FIND("|",'Blind Scoring Sheet'!F996)-1))))</f>
        <v/>
      </c>
      <c r="F996" s="81">
        <f>IF(ISNUMBER('Blind Scoring Sheet'!H996),'Blind Scoring Sheet'!H996,VALUE(TRIM(LEFT('Blind Scoring Sheet'!H996,FIND("|",'Blind Scoring Sheet'!H996)-1))))</f>
        <v/>
      </c>
      <c r="G996" s="81">
        <f>IF(ISNUMBER('Blind Scoring Sheet'!J996),'Blind Scoring Sheet'!J996,VALUE(TRIM(LEFT('Blind Scoring Sheet'!J996,FIND("|",'Blind Scoring Sheet'!J996)-1))))</f>
        <v/>
      </c>
      <c r="H996" s="80">
        <f>IF(ISNUMBER(SEARCH("|",'Blind Scoring Sheet'!K996)),TRIM(LEFT('Blind Scoring Sheet'!K996,FIND("|",'Blind Scoring Sheet'!K996)-1)),TRIM('Blind Scoring Sheet'!K996))</f>
        <v/>
      </c>
    </row>
    <row r="997" ht="15" customHeight="1" s="38">
      <c r="A997" s="80">
        <f>'Blind Scoring Sheet'!A997</f>
        <v/>
      </c>
      <c r="B997" s="80">
        <f>MID(INDEX('Anonymization Key'!$B$4:$B$1003,MATCH(A997,'Anonymization Key'!$A$4:$A$1003,0)),3,2)</f>
        <v/>
      </c>
      <c r="C997" s="81">
        <f>IF(ISNUMBER('Blind Scoring Sheet'!B997),'Blind Scoring Sheet'!B997,VALUE(TRIM(LEFT('Blind Scoring Sheet'!B997,FIND("|",'Blind Scoring Sheet'!B997)-1))))</f>
        <v/>
      </c>
      <c r="D997" s="81">
        <f>IF(ISNUMBER('Blind Scoring Sheet'!D997),'Blind Scoring Sheet'!D997,VALUE(TRIM(LEFT('Blind Scoring Sheet'!D997,FIND("|",'Blind Scoring Sheet'!D997)-1))))</f>
        <v/>
      </c>
      <c r="E997" s="81">
        <f>IF(ISNUMBER('Blind Scoring Sheet'!F997),'Blind Scoring Sheet'!F997,VALUE(TRIM(LEFT('Blind Scoring Sheet'!F997,FIND("|",'Blind Scoring Sheet'!F997)-1))))</f>
        <v/>
      </c>
      <c r="F997" s="81">
        <f>IF(ISNUMBER('Blind Scoring Sheet'!H997),'Blind Scoring Sheet'!H997,VALUE(TRIM(LEFT('Blind Scoring Sheet'!H997,FIND("|",'Blind Scoring Sheet'!H997)-1))))</f>
        <v/>
      </c>
      <c r="G997" s="81">
        <f>IF(ISNUMBER('Blind Scoring Sheet'!J997),'Blind Scoring Sheet'!J997,VALUE(TRIM(LEFT('Blind Scoring Sheet'!J997,FIND("|",'Blind Scoring Sheet'!J997)-1))))</f>
        <v/>
      </c>
      <c r="H997" s="80">
        <f>IF(ISNUMBER(SEARCH("|",'Blind Scoring Sheet'!K997)),TRIM(LEFT('Blind Scoring Sheet'!K997,FIND("|",'Blind Scoring Sheet'!K997)-1)),TRIM('Blind Scoring Sheet'!K997))</f>
        <v/>
      </c>
    </row>
    <row r="998" ht="15" customHeight="1" s="38">
      <c r="A998" s="80">
        <f>'Blind Scoring Sheet'!A998</f>
        <v/>
      </c>
      <c r="B998" s="80">
        <f>MID(INDEX('Anonymization Key'!$B$4:$B$1003,MATCH(A998,'Anonymization Key'!$A$4:$A$1003,0)),3,2)</f>
        <v/>
      </c>
      <c r="C998" s="81">
        <f>IF(ISNUMBER('Blind Scoring Sheet'!B998),'Blind Scoring Sheet'!B998,VALUE(TRIM(LEFT('Blind Scoring Sheet'!B998,FIND("|",'Blind Scoring Sheet'!B998)-1))))</f>
        <v/>
      </c>
      <c r="D998" s="81">
        <f>IF(ISNUMBER('Blind Scoring Sheet'!D998),'Blind Scoring Sheet'!D998,VALUE(TRIM(LEFT('Blind Scoring Sheet'!D998,FIND("|",'Blind Scoring Sheet'!D998)-1))))</f>
        <v/>
      </c>
      <c r="E998" s="81">
        <f>IF(ISNUMBER('Blind Scoring Sheet'!F998),'Blind Scoring Sheet'!F998,VALUE(TRIM(LEFT('Blind Scoring Sheet'!F998,FIND("|",'Blind Scoring Sheet'!F998)-1))))</f>
        <v/>
      </c>
      <c r="F998" s="81">
        <f>IF(ISNUMBER('Blind Scoring Sheet'!H998),'Blind Scoring Sheet'!H998,VALUE(TRIM(LEFT('Blind Scoring Sheet'!H998,FIND("|",'Blind Scoring Sheet'!H998)-1))))</f>
        <v/>
      </c>
      <c r="G998" s="81">
        <f>IF(ISNUMBER('Blind Scoring Sheet'!J998),'Blind Scoring Sheet'!J998,VALUE(TRIM(LEFT('Blind Scoring Sheet'!J998,FIND("|",'Blind Scoring Sheet'!J998)-1))))</f>
        <v/>
      </c>
      <c r="H998" s="80">
        <f>IF(ISNUMBER(SEARCH("|",'Blind Scoring Sheet'!K998)),TRIM(LEFT('Blind Scoring Sheet'!K998,FIND("|",'Blind Scoring Sheet'!K998)-1)),TRIM('Blind Scoring Sheet'!K998))</f>
        <v/>
      </c>
    </row>
    <row r="999" ht="15" customHeight="1" s="38">
      <c r="A999" s="80">
        <f>'Blind Scoring Sheet'!A999</f>
        <v/>
      </c>
      <c r="B999" s="80">
        <f>MID(INDEX('Anonymization Key'!$B$4:$B$1003,MATCH(A999,'Anonymization Key'!$A$4:$A$1003,0)),3,2)</f>
        <v/>
      </c>
      <c r="C999" s="81">
        <f>IF(ISNUMBER('Blind Scoring Sheet'!B999),'Blind Scoring Sheet'!B999,VALUE(TRIM(LEFT('Blind Scoring Sheet'!B999,FIND("|",'Blind Scoring Sheet'!B999)-1))))</f>
        <v/>
      </c>
      <c r="D999" s="81">
        <f>IF(ISNUMBER('Blind Scoring Sheet'!D999),'Blind Scoring Sheet'!D999,VALUE(TRIM(LEFT('Blind Scoring Sheet'!D999,FIND("|",'Blind Scoring Sheet'!D999)-1))))</f>
        <v/>
      </c>
      <c r="E999" s="81">
        <f>IF(ISNUMBER('Blind Scoring Sheet'!F999),'Blind Scoring Sheet'!F999,VALUE(TRIM(LEFT('Blind Scoring Sheet'!F999,FIND("|",'Blind Scoring Sheet'!F999)-1))))</f>
        <v/>
      </c>
      <c r="F999" s="81">
        <f>IF(ISNUMBER('Blind Scoring Sheet'!H999),'Blind Scoring Sheet'!H999,VALUE(TRIM(LEFT('Blind Scoring Sheet'!H999,FIND("|",'Blind Scoring Sheet'!H999)-1))))</f>
        <v/>
      </c>
      <c r="G999" s="81">
        <f>IF(ISNUMBER('Blind Scoring Sheet'!J999),'Blind Scoring Sheet'!J999,VALUE(TRIM(LEFT('Blind Scoring Sheet'!J999,FIND("|",'Blind Scoring Sheet'!J999)-1))))</f>
        <v/>
      </c>
      <c r="H999" s="80">
        <f>IF(ISNUMBER(SEARCH("|",'Blind Scoring Sheet'!K999)),TRIM(LEFT('Blind Scoring Sheet'!K999,FIND("|",'Blind Scoring Sheet'!K999)-1)),TRIM('Blind Scoring Sheet'!K999))</f>
        <v/>
      </c>
    </row>
    <row r="1000" ht="15" customHeight="1" s="38">
      <c r="A1000" s="80">
        <f>'Blind Scoring Sheet'!A1000</f>
        <v/>
      </c>
      <c r="B1000" s="80">
        <f>MID(INDEX('Anonymization Key'!$B$4:$B$1003,MATCH(A1000,'Anonymization Key'!$A$4:$A$1003,0)),3,2)</f>
        <v/>
      </c>
      <c r="C1000" s="81">
        <f>IF(ISNUMBER('Blind Scoring Sheet'!B1000),'Blind Scoring Sheet'!B1000,VALUE(TRIM(LEFT('Blind Scoring Sheet'!B1000,FIND("|",'Blind Scoring Sheet'!B1000)-1))))</f>
        <v/>
      </c>
      <c r="D1000" s="81">
        <f>IF(ISNUMBER('Blind Scoring Sheet'!D1000),'Blind Scoring Sheet'!D1000,VALUE(TRIM(LEFT('Blind Scoring Sheet'!D1000,FIND("|",'Blind Scoring Sheet'!D1000)-1))))</f>
        <v/>
      </c>
      <c r="E1000" s="81">
        <f>IF(ISNUMBER('Blind Scoring Sheet'!F1000),'Blind Scoring Sheet'!F1000,VALUE(TRIM(LEFT('Blind Scoring Sheet'!F1000,FIND("|",'Blind Scoring Sheet'!F1000)-1))))</f>
        <v/>
      </c>
      <c r="F1000" s="81">
        <f>IF(ISNUMBER('Blind Scoring Sheet'!H1000),'Blind Scoring Sheet'!H1000,VALUE(TRIM(LEFT('Blind Scoring Sheet'!H1000,FIND("|",'Blind Scoring Sheet'!H1000)-1))))</f>
        <v/>
      </c>
      <c r="G1000" s="81">
        <f>IF(ISNUMBER('Blind Scoring Sheet'!J1000),'Blind Scoring Sheet'!J1000,VALUE(TRIM(LEFT('Blind Scoring Sheet'!J1000,FIND("|",'Blind Scoring Sheet'!J1000)-1))))</f>
        <v/>
      </c>
      <c r="H1000" s="80">
        <f>IF(ISNUMBER(SEARCH("|",'Blind Scoring Sheet'!K1000)),TRIM(LEFT('Blind Scoring Sheet'!K1000,FIND("|",'Blind Scoring Sheet'!K1000)-1)),TRIM('Blind Scoring Sheet'!K1000))</f>
        <v/>
      </c>
    </row>
    <row r="1001" ht="15" customHeight="1" s="38">
      <c r="A1001" s="80">
        <f>'Blind Scoring Sheet'!A1001</f>
        <v/>
      </c>
      <c r="B1001" s="80">
        <f>MID(INDEX('Anonymization Key'!$B$4:$B$1003,MATCH(A1001,'Anonymization Key'!$A$4:$A$1003,0)),3,2)</f>
        <v/>
      </c>
      <c r="C1001" s="81">
        <f>IF(ISNUMBER('Blind Scoring Sheet'!B1001),'Blind Scoring Sheet'!B1001,VALUE(TRIM(LEFT('Blind Scoring Sheet'!B1001,FIND("|",'Blind Scoring Sheet'!B1001)-1))))</f>
        <v/>
      </c>
      <c r="D1001" s="81">
        <f>IF(ISNUMBER('Blind Scoring Sheet'!D1001),'Blind Scoring Sheet'!D1001,VALUE(TRIM(LEFT('Blind Scoring Sheet'!D1001,FIND("|",'Blind Scoring Sheet'!D1001)-1))))</f>
        <v/>
      </c>
      <c r="E1001" s="81">
        <f>IF(ISNUMBER('Blind Scoring Sheet'!F1001),'Blind Scoring Sheet'!F1001,VALUE(TRIM(LEFT('Blind Scoring Sheet'!F1001,FIND("|",'Blind Scoring Sheet'!F1001)-1))))</f>
        <v/>
      </c>
      <c r="F1001" s="81">
        <f>IF(ISNUMBER('Blind Scoring Sheet'!H1001),'Blind Scoring Sheet'!H1001,VALUE(TRIM(LEFT('Blind Scoring Sheet'!H1001,FIND("|",'Blind Scoring Sheet'!H1001)-1))))</f>
        <v/>
      </c>
      <c r="G1001" s="81">
        <f>IF(ISNUMBER('Blind Scoring Sheet'!J1001),'Blind Scoring Sheet'!J1001,VALUE(TRIM(LEFT('Blind Scoring Sheet'!J1001,FIND("|",'Blind Scoring Sheet'!J1001)-1))))</f>
        <v/>
      </c>
      <c r="H1001" s="80">
        <f>IF(ISNUMBER(SEARCH("|",'Blind Scoring Sheet'!K1001)),TRIM(LEFT('Blind Scoring Sheet'!K1001,FIND("|",'Blind Scoring Sheet'!K1001)-1)),TRIM('Blind Scoring Sheet'!K1001))</f>
        <v/>
      </c>
    </row>
    <row r="1002" ht="15" customHeight="1" s="38">
      <c r="A1002" s="80">
        <f>'Blind Scoring Sheet'!A1002</f>
        <v/>
      </c>
      <c r="B1002" s="80">
        <f>MID(INDEX('Anonymization Key'!$B$4:$B$1003,MATCH(A1002,'Anonymization Key'!$A$4:$A$1003,0)),3,2)</f>
        <v/>
      </c>
      <c r="C1002" s="81">
        <f>IF(ISNUMBER('Blind Scoring Sheet'!B1002),'Blind Scoring Sheet'!B1002,VALUE(TRIM(LEFT('Blind Scoring Sheet'!B1002,FIND("|",'Blind Scoring Sheet'!B1002)-1))))</f>
        <v/>
      </c>
      <c r="D1002" s="81">
        <f>IF(ISNUMBER('Blind Scoring Sheet'!D1002),'Blind Scoring Sheet'!D1002,VALUE(TRIM(LEFT('Blind Scoring Sheet'!D1002,FIND("|",'Blind Scoring Sheet'!D1002)-1))))</f>
        <v/>
      </c>
      <c r="E1002" s="81">
        <f>IF(ISNUMBER('Blind Scoring Sheet'!F1002),'Blind Scoring Sheet'!F1002,VALUE(TRIM(LEFT('Blind Scoring Sheet'!F1002,FIND("|",'Blind Scoring Sheet'!F1002)-1))))</f>
        <v/>
      </c>
      <c r="F1002" s="81">
        <f>IF(ISNUMBER('Blind Scoring Sheet'!H1002),'Blind Scoring Sheet'!H1002,VALUE(TRIM(LEFT('Blind Scoring Sheet'!H1002,FIND("|",'Blind Scoring Sheet'!H1002)-1))))</f>
        <v/>
      </c>
      <c r="G1002" s="81">
        <f>IF(ISNUMBER('Blind Scoring Sheet'!J1002),'Blind Scoring Sheet'!J1002,VALUE(TRIM(LEFT('Blind Scoring Sheet'!J1002,FIND("|",'Blind Scoring Sheet'!J1002)-1))))</f>
        <v/>
      </c>
      <c r="H1002" s="80">
        <f>IF(ISNUMBER(SEARCH("|",'Blind Scoring Sheet'!K1002)),TRIM(LEFT('Blind Scoring Sheet'!K1002,FIND("|",'Blind Scoring Sheet'!K1002)-1)),TRIM('Blind Scoring Sheet'!K1002))</f>
        <v/>
      </c>
    </row>
    <row r="1003" ht="15" customHeight="1" s="38">
      <c r="A1003" s="80">
        <f>'Blind Scoring Sheet'!A1003</f>
        <v/>
      </c>
      <c r="B1003" s="80">
        <f>MID(INDEX('Anonymization Key'!$B$4:$B$1003,MATCH(A1003,'Anonymization Key'!$A$4:$A$1003,0)),3,2)</f>
        <v/>
      </c>
      <c r="C1003" s="81">
        <f>IF(ISNUMBER('Blind Scoring Sheet'!B1003),'Blind Scoring Sheet'!B1003,VALUE(TRIM(LEFT('Blind Scoring Sheet'!B1003,FIND("|",'Blind Scoring Sheet'!B1003)-1))))</f>
        <v/>
      </c>
      <c r="D1003" s="81">
        <f>IF(ISNUMBER('Blind Scoring Sheet'!D1003),'Blind Scoring Sheet'!D1003,VALUE(TRIM(LEFT('Blind Scoring Sheet'!D1003,FIND("|",'Blind Scoring Sheet'!D1003)-1))))</f>
        <v/>
      </c>
      <c r="E1003" s="81">
        <f>IF(ISNUMBER('Blind Scoring Sheet'!F1003),'Blind Scoring Sheet'!F1003,VALUE(TRIM(LEFT('Blind Scoring Sheet'!F1003,FIND("|",'Blind Scoring Sheet'!F1003)-1))))</f>
        <v/>
      </c>
      <c r="F1003" s="81">
        <f>IF(ISNUMBER('Blind Scoring Sheet'!H1003),'Blind Scoring Sheet'!H1003,VALUE(TRIM(LEFT('Blind Scoring Sheet'!H1003,FIND("|",'Blind Scoring Sheet'!H1003)-1))))</f>
        <v/>
      </c>
      <c r="G1003" s="81">
        <f>IF(ISNUMBER('Blind Scoring Sheet'!J1003),'Blind Scoring Sheet'!J1003,VALUE(TRIM(LEFT('Blind Scoring Sheet'!J1003,FIND("|",'Blind Scoring Sheet'!J1003)-1))))</f>
        <v/>
      </c>
      <c r="H1003" s="80">
        <f>IF(ISNUMBER(SEARCH("|",'Blind Scoring Sheet'!K1003)),TRIM(LEFT('Blind Scoring Sheet'!K1003,FIND("|",'Blind Scoring Sheet'!K1003)-1)),TRIM('Blind Scoring Sheet'!K1003))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2026-05-29T12:23:57Z</dcterms:created>
  <dcterms:modified xmlns:dcterms="http://purl.org/dc/terms/" xmlns:xsi="http://www.w3.org/2001/XMLSchema-instance" xsi:type="dcterms:W3CDTF">2026-06-03T23:42:57Z</dcterms:modified>
  <cp:revision>14</cp:revision>
</cp:coreProperties>
</file>